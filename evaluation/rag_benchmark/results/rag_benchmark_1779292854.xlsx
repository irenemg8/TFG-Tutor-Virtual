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_Tutor_EDA" sheetId="1" state="visible" r:id="rId1"/>
    <sheet xmlns:r="http://schemas.openxmlformats.org/officeDocument/2006/relationships" name="Resultados_deepseek-r1_32b" sheetId="2" state="visible" r:id="rId2"/>
    <sheet xmlns:r="http://schemas.openxmlformats.org/officeDocument/2006/relationships" name="Resultados_deepseek-r1_7b" sheetId="3" state="visible" r:id="rId3"/>
    <sheet xmlns:r="http://schemas.openxmlformats.org/officeDocument/2006/relationships" name="Resultados_gemma" sheetId="4" state="visible" r:id="rId4"/>
    <sheet xmlns:r="http://schemas.openxmlformats.org/officeDocument/2006/relationships" name="Resultados_gemma3_27b" sheetId="5" state="visible" r:id="rId5"/>
    <sheet xmlns:r="http://schemas.openxmlformats.org/officeDocument/2006/relationships" name="Resultados_gemma3_4b" sheetId="6" state="visible" r:id="rId6"/>
    <sheet xmlns:r="http://schemas.openxmlformats.org/officeDocument/2006/relationships" name="Resultados_llama-mini" sheetId="7" state="visible" r:id="rId7"/>
    <sheet xmlns:r="http://schemas.openxmlformats.org/officeDocument/2006/relationships" name="Resultados_llama3.1_8b" sheetId="8" state="visible" r:id="rId8"/>
    <sheet xmlns:r="http://schemas.openxmlformats.org/officeDocument/2006/relationships" name="Resultados_llama3.2_3b" sheetId="9" state="visible" r:id="rId9"/>
    <sheet xmlns:r="http://schemas.openxmlformats.org/officeDocument/2006/relationships" name="Resultados_llama3.3_70b" sheetId="10" state="visible" r:id="rId10"/>
    <sheet xmlns:r="http://schemas.openxmlformats.org/officeDocument/2006/relationships" name="Resultados_phi4-mini_3.8b" sheetId="11" state="visible" r:id="rId11"/>
    <sheet xmlns:r="http://schemas.openxmlformats.org/officeDocument/2006/relationships" name="Resultados_poligpt" sheetId="12" state="visible" r:id="rId12"/>
    <sheet xmlns:r="http://schemas.openxmlformats.org/officeDocument/2006/relationships" name="Resultados_qwen3_32b" sheetId="13" state="visible" r:id="rId13"/>
    <sheet xmlns:r="http://schemas.openxmlformats.org/officeDocument/2006/relationships" name="Resultados_qwen3_4b" sheetId="14" state="visible" r:id="rId14"/>
    <sheet xmlns:r="http://schemas.openxmlformats.org/officeDocument/2006/relationships" name="Resultados_qwq" sheetId="15" state="visible" r:id="rId15"/>
    <sheet xmlns:r="http://schemas.openxmlformats.org/officeDocument/2006/relationships" name="Metadata" sheetId="16" state="visible" r:id="rId16"/>
    <sheet xmlns:r="http://schemas.openxmlformats.org/officeDocument/2006/relationships" name="Ranking" sheetId="17" state="visible" r:id="rId17"/>
    <sheet xmlns:r="http://schemas.openxmlformats.org/officeDocument/2006/relationships" name="Resultados_Articulo" sheetId="18" state="visible" r:id="rId18"/>
    <sheet xmlns:r="http://schemas.openxmlformats.org/officeDocument/2006/relationships" name="Eficiencia" sheetId="19" state="visible" r:id="rId19"/>
    <sheet xmlns:r="http://schemas.openxmlformats.org/officeDocument/2006/relationships" name="Análisis CoT" sheetId="20" state="visible" r:id="rId2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41</v>
      </c>
      <c r="B2" t="n">
        <v>17</v>
      </c>
      <c r="C2" t="n">
        <v>1</v>
      </c>
      <c r="D2" t="n">
        <v>1</v>
      </c>
      <c r="E2" t="inlineStr">
        <is>
          <t>R1 y R2 dado que las dos resistencia forman un divisor de tensión</t>
        </is>
      </c>
      <c r="F2" t="inlineStr">
        <is>
          <t>¿Todas las resistencias entre N2 y 0 contribuyen a la diferencia de potencial?</t>
        </is>
      </c>
      <c r="G2" t="n">
        <v>3</v>
      </c>
      <c r="H2" t="n">
        <v>3</v>
      </c>
      <c r="I2" t="n">
        <v>3</v>
      </c>
      <c r="J2" t="n">
        <v>5</v>
      </c>
      <c r="K2" t="n">
        <v>14</v>
      </c>
      <c r="L2" t="n">
        <v>0.765</v>
      </c>
      <c r="M2" t="n">
        <v>23</v>
      </c>
      <c r="N2" t="n">
        <v>78.39</v>
      </c>
      <c r="O2" t="inlineStr">
        <is>
          <t>AC9</t>
        </is>
      </c>
      <c r="P2" t="inlineStr">
        <is>
          <t>AC9</t>
        </is>
      </c>
      <c r="Q2" t="n">
        <v>1</v>
      </c>
      <c r="R2" t="n">
        <v>1</v>
      </c>
      <c r="S2" t="n">
        <v>1</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42</v>
      </c>
      <c r="B3" t="n">
        <v>17</v>
      </c>
      <c r="C3" t="n">
        <v>2</v>
      </c>
      <c r="D3" t="n">
        <v>1</v>
      </c>
      <c r="E3" t="inlineStr">
        <is>
          <t>R1 y R2 dado que se pide la tensión en R2</t>
        </is>
      </c>
      <c r="F3" t="inlineStr">
        <is>
          <t>¿Cómo se calcula la tensión en R2 si R1 y R2 están en serie?</t>
        </is>
      </c>
      <c r="G3" t="n">
        <v>3</v>
      </c>
      <c r="H3" t="n">
        <v>3</v>
      </c>
      <c r="I3" t="n">
        <v>5</v>
      </c>
      <c r="J3" t="n">
        <v>5</v>
      </c>
      <c r="K3" t="n">
        <v>16</v>
      </c>
      <c r="L3" t="n">
        <v>0.624</v>
      </c>
      <c r="M3" t="n">
        <v>22</v>
      </c>
      <c r="N3" t="n">
        <v>96.15000000000001</v>
      </c>
      <c r="O3" t="inlineStr">
        <is>
          <t>AC9</t>
        </is>
      </c>
      <c r="P3" t="inlineStr"/>
      <c r="Q3" t="n">
        <v>1</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43</v>
      </c>
      <c r="B4" t="n">
        <v>17</v>
      </c>
      <c r="C4" t="n">
        <v>3</v>
      </c>
      <c r="D4" t="n">
        <v>1</v>
      </c>
      <c r="E4" t="inlineStr">
        <is>
          <t>R1 y R2 por identificar un divisor de tensión</t>
        </is>
      </c>
      <c r="F4" t="inlineStr">
        <is>
          <t>¿Cómo se calcula la tensión en R2 si R1 y R2 están en serie?</t>
        </is>
      </c>
      <c r="G4" t="n">
        <v>3</v>
      </c>
      <c r="H4" t="n">
        <v>3</v>
      </c>
      <c r="I4" t="n">
        <v>5</v>
      </c>
      <c r="J4" t="n">
        <v>5</v>
      </c>
      <c r="K4" t="n">
        <v>16</v>
      </c>
      <c r="L4" t="n">
        <v>0.694</v>
      </c>
      <c r="M4" t="n">
        <v>22</v>
      </c>
      <c r="N4" t="n">
        <v>86.42</v>
      </c>
      <c r="O4" t="inlineStr">
        <is>
          <t>AC9</t>
        </is>
      </c>
      <c r="P4" t="inlineStr"/>
      <c r="Q4" t="n">
        <v>1</v>
      </c>
      <c r="R4" t="n">
        <v>0</v>
      </c>
      <c r="S4" t="n">
        <v>0</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44</v>
      </c>
      <c r="B5" t="n">
        <v>18</v>
      </c>
      <c r="C5" t="n">
        <v>1</v>
      </c>
      <c r="D5" t="n">
        <v>1</v>
      </c>
      <c r="E5" t="inlineStr">
        <is>
          <t>R1 y R2 hacen un divisor de tensión</t>
        </is>
      </c>
      <c r="F5" t="inlineStr">
        <is>
          <t>¿Y qué ocurre con la corriente en una rama interrumpida?</t>
        </is>
      </c>
      <c r="G5" t="n">
        <v>3</v>
      </c>
      <c r="H5" t="n">
        <v>2</v>
      </c>
      <c r="I5" t="n">
        <v>3</v>
      </c>
      <c r="J5" t="n">
        <v>5</v>
      </c>
      <c r="K5" t="n">
        <v>13</v>
      </c>
      <c r="L5" t="n">
        <v>0.579</v>
      </c>
      <c r="M5" t="n">
        <v>20</v>
      </c>
      <c r="N5" t="n">
        <v>103.59</v>
      </c>
      <c r="O5" t="inlineStr">
        <is>
          <t>AC9</t>
        </is>
      </c>
      <c r="P5" t="inlineStr">
        <is>
          <t>AC1</t>
        </is>
      </c>
      <c r="Q5" t="n">
        <v>0</v>
      </c>
      <c r="R5" t="n">
        <v>0</v>
      </c>
      <c r="S5" t="n">
        <v>0</v>
      </c>
      <c r="T5" t="inlineStr"/>
      <c r="U5" t="inlineStr"/>
      <c r="V5" t="inlineStr"/>
      <c r="W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6">
      <c r="A6" t="n">
        <v>45</v>
      </c>
      <c r="B6" t="n">
        <v>18</v>
      </c>
      <c r="C6" t="n">
        <v>2</v>
      </c>
      <c r="D6" t="n">
        <v>1</v>
      </c>
      <c r="E6" t="inlineStr">
        <is>
          <t>R1, R2, R3 y R4 porque R5 está cortocircuitada</t>
        </is>
      </c>
      <c r="F6" t="inlineStr">
        <is>
          <t>¿Qué ocurre cuando un componente se coloca en paralelo con otro?</t>
        </is>
      </c>
      <c r="G6" t="n">
        <v>4</v>
      </c>
      <c r="H6" t="n">
        <v>2</v>
      </c>
      <c r="I6" t="n">
        <v>3</v>
      </c>
      <c r="J6" t="n">
        <v>5</v>
      </c>
      <c r="K6" t="n">
        <v>14</v>
      </c>
      <c r="L6" t="n">
        <v>0.539</v>
      </c>
      <c r="M6" t="n">
        <v>18</v>
      </c>
      <c r="N6" t="n">
        <v>111.41</v>
      </c>
      <c r="O6" t="inlineStr">
        <is>
          <t>AC1, AC6</t>
        </is>
      </c>
      <c r="P6" t="inlineStr"/>
      <c r="Q6" t="n">
        <v>1</v>
      </c>
      <c r="R6" t="n">
        <v>0</v>
      </c>
      <c r="S6" t="n">
        <v>0</v>
      </c>
      <c r="T6" t="inlineStr"/>
      <c r="U6" t="inlineStr"/>
      <c r="V6" t="inlineStr"/>
      <c r="W6"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7">
      <c r="A7" t="n">
        <v>46</v>
      </c>
      <c r="B7" t="n">
        <v>18</v>
      </c>
      <c r="C7" t="n">
        <v>3</v>
      </c>
      <c r="D7" t="n">
        <v>1</v>
      </c>
      <c r="E7" t="inlineStr">
        <is>
          <t>R1, R2, R3 y R4 porque por R5 no circula corriente</t>
        </is>
      </c>
      <c r="F7" t="inlineStr">
        <is>
          <t>¿Y si R5 no estuviera en el circuito?</t>
        </is>
      </c>
      <c r="G7" t="n">
        <v>3</v>
      </c>
      <c r="H7" t="n">
        <v>2</v>
      </c>
      <c r="I7" t="n">
        <v>3</v>
      </c>
      <c r="J7" t="n">
        <v>5</v>
      </c>
      <c r="K7" t="n">
        <v>13</v>
      </c>
      <c r="L7" t="n">
        <v>0.464</v>
      </c>
      <c r="M7" t="n">
        <v>15</v>
      </c>
      <c r="N7" t="n">
        <v>129.41</v>
      </c>
      <c r="O7" t="inlineStr">
        <is>
          <t>AC1, AC6</t>
        </is>
      </c>
      <c r="P7" t="inlineStr"/>
      <c r="Q7" t="n">
        <v>1</v>
      </c>
      <c r="R7" t="n">
        <v>0</v>
      </c>
      <c r="S7" t="n">
        <v>0</v>
      </c>
      <c r="T7" t="inlineStr"/>
      <c r="U7" t="inlineStr"/>
      <c r="V7" t="inlineStr"/>
      <c r="W7"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8">
      <c r="A8" t="n">
        <v>47</v>
      </c>
      <c r="B8" t="n">
        <v>19</v>
      </c>
      <c r="C8" t="n">
        <v>1</v>
      </c>
      <c r="D8" t="n">
        <v>1</v>
      </c>
      <c r="E8" t="inlineStr">
        <is>
          <t>R1, R2, R3 y R4 porque R5 se quita</t>
        </is>
      </c>
      <c r="F8" t="inlineStr">
        <is>
          <t>¿Qué tienen en común los dos terminales de R5 mirando el netlist?</t>
        </is>
      </c>
      <c r="G8" t="n">
        <v>3</v>
      </c>
      <c r="H8" t="n">
        <v>2</v>
      </c>
      <c r="I8" t="n">
        <v>3</v>
      </c>
      <c r="J8" t="n">
        <v>5</v>
      </c>
      <c r="K8" t="n">
        <v>13</v>
      </c>
      <c r="L8" t="n">
        <v>0.526</v>
      </c>
      <c r="M8" t="n">
        <v>19</v>
      </c>
      <c r="N8" t="n">
        <v>114.07</v>
      </c>
      <c r="O8" t="inlineStr">
        <is>
          <t>AC1, AC6</t>
        </is>
      </c>
      <c r="P8" t="inlineStr">
        <is>
          <t>AC6</t>
        </is>
      </c>
      <c r="Q8" t="n">
        <v>1</v>
      </c>
      <c r="R8" t="n">
        <v>0.5</v>
      </c>
      <c r="S8" t="n">
        <v>0.667</v>
      </c>
      <c r="T8" t="inlineStr"/>
      <c r="U8" t="inlineStr"/>
      <c r="V8" t="inlineStr"/>
      <c r="W8"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9">
      <c r="A9" t="n">
        <v>48</v>
      </c>
      <c r="B9" t="n">
        <v>19</v>
      </c>
      <c r="C9" t="n">
        <v>2</v>
      </c>
      <c r="D9" t="n">
        <v>1</v>
      </c>
      <c r="E9" t="inlineStr">
        <is>
          <t>R1, R3 y R4 porque R2 está en paralelo con la fuente y R5 corctocircuitada</t>
        </is>
      </c>
      <c r="F9" t="inlineStr">
        <is>
          <t>¿Cómo afecta a la resistencia total de una red el cortocircuito de una rama?</t>
        </is>
      </c>
      <c r="G9" t="n">
        <v>4</v>
      </c>
      <c r="H9" t="n">
        <v>3</v>
      </c>
      <c r="I9" t="n">
        <v>3</v>
      </c>
      <c r="J9" t="n">
        <v>5</v>
      </c>
      <c r="K9" t="n">
        <v>15</v>
      </c>
      <c r="L9" t="n">
        <v>0.613</v>
      </c>
      <c r="M9" t="n">
        <v>23</v>
      </c>
      <c r="N9" t="n">
        <v>97.95</v>
      </c>
      <c r="O9" t="inlineStr">
        <is>
          <t>AC1, AC6</t>
        </is>
      </c>
      <c r="P9" t="inlineStr">
        <is>
          <t>AC6</t>
        </is>
      </c>
      <c r="Q9" t="n">
        <v>1</v>
      </c>
      <c r="R9" t="n">
        <v>0.5</v>
      </c>
      <c r="S9" t="n">
        <v>0.667</v>
      </c>
      <c r="T9" t="inlineStr"/>
      <c r="U9" t="inlineStr"/>
      <c r="V9" t="inlineStr"/>
      <c r="W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0">
      <c r="A10" t="n">
        <v>49</v>
      </c>
      <c r="B10" t="n">
        <v>19</v>
      </c>
      <c r="C10" t="n">
        <v>3</v>
      </c>
      <c r="D10" t="n">
        <v>1</v>
      </c>
      <c r="E10" t="inlineStr">
        <is>
          <t>R1, R4 y R5 porque R2 se elimina y R3 también</t>
        </is>
      </c>
      <c r="F10" t="inlineStr">
        <is>
          <t>¿Qué tiene en común los dos terminales de R2 mirando el netlist?</t>
        </is>
      </c>
      <c r="G10" t="n">
        <v>3</v>
      </c>
      <c r="H10" t="n">
        <v>2</v>
      </c>
      <c r="I10" t="n">
        <v>3</v>
      </c>
      <c r="J10" t="n">
        <v>5</v>
      </c>
      <c r="K10" t="n">
        <v>13</v>
      </c>
      <c r="L10" t="n">
        <v>0.527</v>
      </c>
      <c r="M10" t="n">
        <v>19</v>
      </c>
      <c r="N10" t="n">
        <v>113.88</v>
      </c>
      <c r="O10" t="inlineStr">
        <is>
          <t>AC1, AC6</t>
        </is>
      </c>
      <c r="P10" t="inlineStr">
        <is>
          <t>AC6</t>
        </is>
      </c>
      <c r="Q10" t="n">
        <v>1</v>
      </c>
      <c r="R10" t="n">
        <v>0.5</v>
      </c>
      <c r="S10" t="n">
        <v>0.667</v>
      </c>
      <c r="T10" t="inlineStr"/>
      <c r="U10" t="inlineStr"/>
      <c r="V10" t="inlineStr"/>
      <c r="W1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1">
      <c r="A11" t="n">
        <v>50</v>
      </c>
      <c r="B11" t="n">
        <v>20</v>
      </c>
      <c r="C11" t="n">
        <v>1</v>
      </c>
      <c r="D11" t="n">
        <v>1</v>
      </c>
      <c r="E11" t="inlineStr">
        <is>
          <t>R1 y R4 dado que R2 está en paralelo con la fuente, R3 en circuito abierto y R5 cortocircuitada</t>
        </is>
      </c>
      <c r="F11" t="inlineStr">
        <is>
          <t>¿Qué ocurriría si se retirara el interruptor del circuito?</t>
        </is>
      </c>
      <c r="G11" t="n">
        <v>3</v>
      </c>
      <c r="H11" t="n">
        <v>2</v>
      </c>
      <c r="I11" t="n">
        <v>3</v>
      </c>
      <c r="J11" t="n">
        <v>5</v>
      </c>
      <c r="K11" t="n">
        <v>13</v>
      </c>
      <c r="L11" t="n">
        <v>0.512</v>
      </c>
      <c r="M11" t="n">
        <v>18</v>
      </c>
      <c r="N11" t="n">
        <v>117.27</v>
      </c>
      <c r="O11" t="inlineStr">
        <is>
          <t>AC1, AC6</t>
        </is>
      </c>
      <c r="P11" t="inlineStr">
        <is>
          <t>AC1</t>
        </is>
      </c>
      <c r="Q11" t="n">
        <v>1</v>
      </c>
      <c r="R11" t="n">
        <v>0.5</v>
      </c>
      <c r="S11" t="n">
        <v>0.667</v>
      </c>
      <c r="T11" t="inlineStr"/>
      <c r="U11" t="inlineStr"/>
      <c r="V11" t="inlineStr"/>
      <c r="W1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146</v>
      </c>
      <c r="B2" t="n">
        <v>58</v>
      </c>
      <c r="C2" t="n">
        <v>3</v>
      </c>
      <c r="D2" t="n">
        <v>1</v>
      </c>
      <c r="E2" t="inlineStr">
        <is>
          <t>R1, R2, R3 y R4 porque por R5 no circula corriente</t>
        </is>
      </c>
      <c r="F2" t="inlineStr">
        <is>
          <t>¿Por qué crees que no circula corriente por R5?</t>
        </is>
      </c>
      <c r="G2" t="n">
        <v>4</v>
      </c>
      <c r="H2" t="n">
        <v>2</v>
      </c>
      <c r="I2" t="n">
        <v>3</v>
      </c>
      <c r="J2" t="n">
        <v>5</v>
      </c>
      <c r="K2" t="n">
        <v>14</v>
      </c>
      <c r="L2" t="n">
        <v>8.704000000000001</v>
      </c>
      <c r="M2" t="n">
        <v>289</v>
      </c>
      <c r="N2" t="n">
        <v>6.89</v>
      </c>
      <c r="O2" t="inlineStr">
        <is>
          <t>AC1, AC6</t>
        </is>
      </c>
      <c r="P2" t="inlineStr">
        <is>
          <t>AC1</t>
        </is>
      </c>
      <c r="Q2" t="n">
        <v>1</v>
      </c>
      <c r="R2" t="n">
        <v>0.5</v>
      </c>
      <c r="S2" t="n">
        <v>0.667</v>
      </c>
      <c r="T2" t="inlineStr"/>
      <c r="U2" t="inlineStr"/>
      <c r="V2" t="inlineStr"/>
      <c r="W2"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3">
      <c r="A3" t="n">
        <v>147</v>
      </c>
      <c r="B3" t="n">
        <v>59</v>
      </c>
      <c r="C3" t="n">
        <v>1</v>
      </c>
      <c r="D3" t="n">
        <v>1</v>
      </c>
      <c r="E3" t="inlineStr">
        <is>
          <t>R1, R2, R3 y R4 porque R5 se quita</t>
        </is>
      </c>
      <c r="F3" t="inlineStr">
        <is>
          <t>¿Has considerado cómo afecta el estado del interruptor entre N2 y N3 a la corriente que circula por R3?</t>
        </is>
      </c>
      <c r="G3" t="n">
        <v>3</v>
      </c>
      <c r="H3" t="n">
        <v>3</v>
      </c>
      <c r="I3" t="n">
        <v>3</v>
      </c>
      <c r="J3" t="n">
        <v>5</v>
      </c>
      <c r="K3" t="n">
        <v>14</v>
      </c>
      <c r="L3" t="n">
        <v>8.439</v>
      </c>
      <c r="M3" t="n">
        <v>333</v>
      </c>
      <c r="N3" t="n">
        <v>7.11</v>
      </c>
      <c r="O3" t="inlineStr">
        <is>
          <t>AC1, AC6</t>
        </is>
      </c>
      <c r="P3" t="inlineStr">
        <is>
          <t>AC1</t>
        </is>
      </c>
      <c r="Q3" t="n">
        <v>1</v>
      </c>
      <c r="R3" t="n">
        <v>0.5</v>
      </c>
      <c r="S3" t="n">
        <v>0.667</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148</v>
      </c>
      <c r="B4" t="n">
        <v>59</v>
      </c>
      <c r="C4" t="n">
        <v>2</v>
      </c>
      <c r="D4" t="n">
        <v>1</v>
      </c>
      <c r="E4" t="inlineStr">
        <is>
          <t>R1, R3 y R4 porque R2 está en paralelo con la fuente y R5 corctocircuitada</t>
        </is>
      </c>
      <c r="F4" t="inlineStr">
        <is>
          <t>¿Cómo afecta la disposición en paralelo de R2 con la fuente a su participación en el flujo total de corriente?</t>
        </is>
      </c>
      <c r="G4" t="n">
        <v>4</v>
      </c>
      <c r="H4" t="n">
        <v>3</v>
      </c>
      <c r="I4" t="n">
        <v>3</v>
      </c>
      <c r="J4" t="n">
        <v>5</v>
      </c>
      <c r="K4" t="n">
        <v>15</v>
      </c>
      <c r="L4" t="n">
        <v>7.3</v>
      </c>
      <c r="M4" t="n">
        <v>337</v>
      </c>
      <c r="N4" t="n">
        <v>8.220000000000001</v>
      </c>
      <c r="O4" t="inlineStr">
        <is>
          <t>AC1, AC6</t>
        </is>
      </c>
      <c r="P4" t="inlineStr">
        <is>
          <t>AC1</t>
        </is>
      </c>
      <c r="Q4" t="n">
        <v>1</v>
      </c>
      <c r="R4" t="n">
        <v>0.5</v>
      </c>
      <c r="S4" t="n">
        <v>0.667</v>
      </c>
      <c r="T4" t="inlineStr"/>
      <c r="U4" t="inlineStr"/>
      <c r="V4" t="inlineStr"/>
      <c r="W4"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5">
      <c r="A5" t="n">
        <v>150</v>
      </c>
      <c r="B5" t="n">
        <v>60</v>
      </c>
      <c r="C5" t="n">
        <v>1</v>
      </c>
      <c r="D5" t="n">
        <v>1</v>
      </c>
      <c r="E5" t="inlineStr">
        <is>
          <t>R1 y R4 dado que R2 está en paralelo con la fuente, R3 en circuito abierto y R5 cortocircuitada</t>
        </is>
      </c>
      <c r="F5" t="inlineStr">
        <is>
          <t>¿Has</t>
        </is>
      </c>
      <c r="G5" t="n">
        <v>1</v>
      </c>
      <c r="H5" t="n">
        <v>2</v>
      </c>
      <c r="I5" t="n">
        <v>2</v>
      </c>
      <c r="J5" t="n">
        <v>5</v>
      </c>
      <c r="K5" t="n">
        <v>10</v>
      </c>
      <c r="L5" t="n">
        <v>9.382999999999999</v>
      </c>
      <c r="M5" t="n">
        <v>400</v>
      </c>
      <c r="N5" t="n">
        <v>6.39</v>
      </c>
      <c r="O5" t="inlineStr">
        <is>
          <t>AC1, AC6</t>
        </is>
      </c>
      <c r="P5" t="inlineStr"/>
      <c r="Q5" t="n">
        <v>1</v>
      </c>
      <c r="R5" t="n">
        <v>0</v>
      </c>
      <c r="S5" t="n">
        <v>0</v>
      </c>
      <c r="T5" t="inlineStr"/>
      <c r="U5" t="inlineStr"/>
      <c r="V5" t="inlineStr"/>
      <c r="W5" t="inlineStr">
        <is>
          <t>Socraticidad 1/5 (Instructivo): No termina en pregunta; el tutor es instructivo. Precisión Conceptual 2/5 (Pobre): Respuesta genérica: sin vocabulario técnico ni diagnóstico del error. Desempeño aceptable; necesita mejorar precisión o metodología socrática.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101</v>
      </c>
      <c r="B2" t="n">
        <v>41</v>
      </c>
      <c r="C2" t="n">
        <v>1</v>
      </c>
      <c r="D2" t="n">
        <v>1</v>
      </c>
      <c r="E2" t="inlineStr">
        <is>
          <t>R1 y R2 dado que las dos resistencia forman un divisor de tensión</t>
        </is>
      </c>
      <c r="F2" t="inlineStr">
        <is>
          <t>¿Cómo afecta el interruptor entre N2 y N3 al flujo de corriente?</t>
        </is>
      </c>
      <c r="G2" t="n">
        <v>4</v>
      </c>
      <c r="H2" t="n">
        <v>3</v>
      </c>
      <c r="I2" t="n">
        <v>3</v>
      </c>
      <c r="J2" t="n">
        <v>5</v>
      </c>
      <c r="K2" t="n">
        <v>15</v>
      </c>
      <c r="L2" t="n">
        <v>53.287</v>
      </c>
      <c r="M2" t="n">
        <v>201</v>
      </c>
      <c r="N2" t="n">
        <v>1.13</v>
      </c>
      <c r="O2" t="inlineStr">
        <is>
          <t>AC9</t>
        </is>
      </c>
      <c r="P2" t="inlineStr">
        <is>
          <t>AC1</t>
        </is>
      </c>
      <c r="Q2" t="n">
        <v>0</v>
      </c>
      <c r="R2" t="n">
        <v>0</v>
      </c>
      <c r="S2" t="n">
        <v>0</v>
      </c>
      <c r="T2" t="inlineStr"/>
      <c r="U2" t="inlineStr"/>
      <c r="V2" t="inlineStr"/>
      <c r="W2"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
      <c r="A3" t="n">
        <v>102</v>
      </c>
      <c r="B3" t="n">
        <v>41</v>
      </c>
      <c r="C3" t="n">
        <v>2</v>
      </c>
      <c r="D3" t="n">
        <v>1</v>
      </c>
      <c r="E3" t="inlineStr">
        <is>
          <t>R1 y R2 dado que se pide la tensión en R2</t>
        </is>
      </c>
      <c r="F3" t="inlineStr">
        <is>
          <t>¿Cómo afecta la suma de R1 y R2 al cálculo de la tensión en R2?</t>
        </is>
      </c>
      <c r="G3" t="n">
        <v>4</v>
      </c>
      <c r="H3" t="n">
        <v>2</v>
      </c>
      <c r="I3" t="n">
        <v>5</v>
      </c>
      <c r="J3" t="n">
        <v>5</v>
      </c>
      <c r="K3" t="n">
        <v>16</v>
      </c>
      <c r="L3" t="n">
        <v>1.639</v>
      </c>
      <c r="M3" t="n">
        <v>189</v>
      </c>
      <c r="N3" t="n">
        <v>36.62</v>
      </c>
      <c r="O3" t="inlineStr">
        <is>
          <t>AC9</t>
        </is>
      </c>
      <c r="P3" t="inlineStr"/>
      <c r="Q3" t="n">
        <v>1</v>
      </c>
      <c r="R3" t="n">
        <v>0</v>
      </c>
      <c r="S3" t="n">
        <v>0</v>
      </c>
      <c r="T3" t="inlineStr"/>
      <c r="U3" t="inlineStr"/>
      <c r="V3" t="inlineStr"/>
      <c r="W3"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4">
      <c r="A4" t="n">
        <v>103</v>
      </c>
      <c r="B4" t="n">
        <v>41</v>
      </c>
      <c r="C4" t="n">
        <v>3</v>
      </c>
      <c r="D4" t="n">
        <v>1</v>
      </c>
      <c r="E4" t="inlineStr">
        <is>
          <t>R1 y R2 por identificar un divisor de tensión</t>
        </is>
      </c>
      <c r="F4" t="inlineStr">
        <is>
          <t>¿Cómo afecta la relación entre R1 y R2 al cálculo de la tensión en R2?</t>
        </is>
      </c>
      <c r="G4" t="n">
        <v>4</v>
      </c>
      <c r="H4" t="n">
        <v>2</v>
      </c>
      <c r="I4" t="n">
        <v>5</v>
      </c>
      <c r="J4" t="n">
        <v>5</v>
      </c>
      <c r="K4" t="n">
        <v>16</v>
      </c>
      <c r="L4" t="n">
        <v>1.946</v>
      </c>
      <c r="M4" t="n">
        <v>262</v>
      </c>
      <c r="N4" t="n">
        <v>30.83</v>
      </c>
      <c r="O4" t="inlineStr">
        <is>
          <t>AC9</t>
        </is>
      </c>
      <c r="P4" t="inlineStr"/>
      <c r="Q4" t="n">
        <v>1</v>
      </c>
      <c r="R4" t="n">
        <v>0</v>
      </c>
      <c r="S4" t="n">
        <v>0</v>
      </c>
      <c r="T4" t="inlineStr"/>
      <c r="U4" t="inlineStr"/>
      <c r="V4" t="inlineStr"/>
      <c r="W4"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5">
      <c r="A5" t="n">
        <v>104</v>
      </c>
      <c r="B5" t="n">
        <v>42</v>
      </c>
      <c r="C5" t="n">
        <v>1</v>
      </c>
      <c r="D5" t="n">
        <v>1</v>
      </c>
      <c r="E5" t="inlineStr">
        <is>
          <t>R1 y R2 hacen un divisor de tensión</t>
        </is>
      </c>
      <c r="F5" t="inlineStr">
        <is>
          <t>¿Cuáles son las resistorencias que forman el camino completo desde el nodo N2 hasta el nulo del circuito?</t>
        </is>
      </c>
      <c r="G5" t="n">
        <v>3</v>
      </c>
      <c r="H5" t="n">
        <v>3</v>
      </c>
      <c r="I5" t="n">
        <v>3</v>
      </c>
      <c r="J5" t="n">
        <v>5</v>
      </c>
      <c r="K5" t="n">
        <v>14</v>
      </c>
      <c r="L5" t="n">
        <v>1.894</v>
      </c>
      <c r="M5" t="n">
        <v>253</v>
      </c>
      <c r="N5" t="n">
        <v>31.68</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105</v>
      </c>
      <c r="B6" t="n">
        <v>42</v>
      </c>
      <c r="C6" t="n">
        <v>2</v>
      </c>
      <c r="D6" t="n">
        <v>1</v>
      </c>
      <c r="E6" t="inlineStr">
        <is>
          <t>R1, R2, R3 y R4 porque R5 está cortocircuitada</t>
        </is>
      </c>
      <c r="F6" t="inlineStr">
        <is>
          <t>¿Cómo están conectados R1 y R2 con el resto del circuito?</t>
        </is>
      </c>
      <c r="G6" t="n">
        <v>3</v>
      </c>
      <c r="H6" t="n">
        <v>2</v>
      </c>
      <c r="I6" t="n">
        <v>3</v>
      </c>
      <c r="J6" t="n">
        <v>5</v>
      </c>
      <c r="K6" t="n">
        <v>13</v>
      </c>
      <c r="L6" t="n">
        <v>1.988</v>
      </c>
      <c r="M6" t="n">
        <v>285</v>
      </c>
      <c r="N6" t="n">
        <v>30.18</v>
      </c>
      <c r="O6" t="inlineStr">
        <is>
          <t>AC1, AC6</t>
        </is>
      </c>
      <c r="P6" t="inlineStr"/>
      <c r="Q6" t="n">
        <v>1</v>
      </c>
      <c r="R6" t="n">
        <v>0</v>
      </c>
      <c r="S6" t="n">
        <v>0</v>
      </c>
      <c r="T6" t="inlineStr"/>
      <c r="U6" t="inlineStr"/>
      <c r="V6" t="inlineStr"/>
      <c r="W6"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7">
      <c r="A7" t="n">
        <v>106</v>
      </c>
      <c r="B7" t="n">
        <v>42</v>
      </c>
      <c r="C7" t="n">
        <v>3</v>
      </c>
      <c r="D7" t="n">
        <v>1</v>
      </c>
      <c r="E7" t="inlineStr">
        <is>
          <t>R1, R2, R3 y R4 porque por R5 no circula corriente</t>
        </is>
      </c>
      <c r="F7" t="inlineStr">
        <is>
          <t>¿Cómo contribuyen R1 y R2 al functions como divisor de tensión en el circuito?</t>
        </is>
      </c>
      <c r="G7" t="n">
        <v>3</v>
      </c>
      <c r="H7" t="n">
        <v>2</v>
      </c>
      <c r="I7" t="n">
        <v>3</v>
      </c>
      <c r="J7" t="n">
        <v>5</v>
      </c>
      <c r="K7" t="n">
        <v>13</v>
      </c>
      <c r="L7" t="n">
        <v>2.761</v>
      </c>
      <c r="M7" t="n">
        <v>290</v>
      </c>
      <c r="N7" t="n">
        <v>21.73</v>
      </c>
      <c r="O7" t="inlineStr">
        <is>
          <t>AC1, AC6</t>
        </is>
      </c>
      <c r="P7" t="inlineStr"/>
      <c r="Q7" t="n">
        <v>1</v>
      </c>
      <c r="R7" t="n">
        <v>0</v>
      </c>
      <c r="S7" t="n">
        <v>0</v>
      </c>
      <c r="T7" t="inlineStr"/>
      <c r="U7" t="inlineStr"/>
      <c r="V7" t="inlineStr"/>
      <c r="W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8">
      <c r="A8" t="n">
        <v>107</v>
      </c>
      <c r="B8" t="n">
        <v>43</v>
      </c>
      <c r="C8" t="n">
        <v>1</v>
      </c>
      <c r="D8" t="n">
        <v>1</v>
      </c>
      <c r="E8" t="inlineStr">
        <is>
          <t>R1, R2, R3 y R4 porque R5 se quita</t>
        </is>
      </c>
      <c r="F8" t="inlineStr">
        <is>
          <t>¿Cuáles de las resistoridades (R1, R2, R3, R4, R5) forman una ruta continua desde el nodo N1 hasta el tierra sin interrupción o cortocircuitos?</t>
        </is>
      </c>
      <c r="G8" t="n">
        <v>3</v>
      </c>
      <c r="H8" t="n">
        <v>3</v>
      </c>
      <c r="I8" t="n">
        <v>5</v>
      </c>
      <c r="J8" t="n">
        <v>5</v>
      </c>
      <c r="K8" t="n">
        <v>16</v>
      </c>
      <c r="L8" t="n">
        <v>2.875</v>
      </c>
      <c r="M8" t="n">
        <v>231</v>
      </c>
      <c r="N8" t="n">
        <v>20.87</v>
      </c>
      <c r="O8" t="inlineStr">
        <is>
          <t>AC1, AC6</t>
        </is>
      </c>
      <c r="P8" t="inlineStr">
        <is>
          <t>AC6, AC9</t>
        </is>
      </c>
      <c r="Q8" t="n">
        <v>0.5</v>
      </c>
      <c r="R8" t="n">
        <v>0.5</v>
      </c>
      <c r="S8" t="n">
        <v>0.5</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109</v>
      </c>
      <c r="B9" t="n">
        <v>43</v>
      </c>
      <c r="C9" t="n">
        <v>3</v>
      </c>
      <c r="D9" t="n">
        <v>1</v>
      </c>
      <c r="E9" t="inlineStr">
        <is>
          <t>R1, R4 y R5 porque R2 se elimina y R3 también</t>
        </is>
      </c>
      <c r="F9" t="inlineStr">
        <is>
          <t>¿Cómo affects la presencia de R5 en la rutacontinua del circuito? ¿Qué roles jueban los resistorios R2 y R3 en la conexión desde N1 al tierra?</t>
        </is>
      </c>
      <c r="G9" t="n">
        <v>3</v>
      </c>
      <c r="H9" t="n">
        <v>2</v>
      </c>
      <c r="I9" t="n">
        <v>4</v>
      </c>
      <c r="J9" t="n">
        <v>5</v>
      </c>
      <c r="K9" t="n">
        <v>14</v>
      </c>
      <c r="L9" t="n">
        <v>2.824</v>
      </c>
      <c r="M9" t="n">
        <v>237</v>
      </c>
      <c r="N9" t="n">
        <v>21.25</v>
      </c>
      <c r="O9" t="inlineStr">
        <is>
          <t>AC1, AC6</t>
        </is>
      </c>
      <c r="P9" t="inlineStr">
        <is>
          <t>AC9</t>
        </is>
      </c>
      <c r="Q9" t="n">
        <v>0</v>
      </c>
      <c r="R9" t="n">
        <v>0</v>
      </c>
      <c r="S9" t="n">
        <v>0</v>
      </c>
      <c r="T9" t="inlineStr"/>
      <c r="U9" t="inlineStr"/>
      <c r="V9" t="inlineStr"/>
      <c r="W9"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21</v>
      </c>
      <c r="B2" t="n">
        <v>9</v>
      </c>
      <c r="C2" t="n">
        <v>1</v>
      </c>
      <c r="D2" t="n">
        <v>1</v>
      </c>
      <c r="E2" t="inlineStr">
        <is>
          <t>R1 y R2 dado que las dos resistencia forman un divisor de tensión</t>
        </is>
      </c>
      <c r="F2" t="inlineStr">
        <is>
          <t>Considerando que el interruptor entre N2 y N3 está abierto, ¿cómo afecta la ausencia de un camino directo entre esos nodos al valor del potencial en N2 con respecto a tierra, y qué papel juegan las resistencias R1 y R2 en ese proceso, específicamente en relación con el potencial en N2?</t>
        </is>
      </c>
      <c r="G2" t="n">
        <v>4</v>
      </c>
      <c r="H2" t="n">
        <v>3</v>
      </c>
      <c r="I2" t="n">
        <v>4</v>
      </c>
      <c r="J2" t="n">
        <v>5</v>
      </c>
      <c r="K2" t="n">
        <v>16</v>
      </c>
      <c r="L2" t="n">
        <v>1.323</v>
      </c>
      <c r="M2" t="n">
        <v>65</v>
      </c>
      <c r="N2" t="n">
        <v>45.37</v>
      </c>
      <c r="O2" t="inlineStr">
        <is>
          <t>AC9</t>
        </is>
      </c>
      <c r="P2" t="inlineStr">
        <is>
          <t>AC1, AC9</t>
        </is>
      </c>
      <c r="Q2" t="n">
        <v>0.5</v>
      </c>
      <c r="R2" t="n">
        <v>1</v>
      </c>
      <c r="S2" t="n">
        <v>0.667</v>
      </c>
      <c r="T2" t="inlineStr"/>
      <c r="U2" t="inlineStr"/>
      <c r="V2" t="inlineStr"/>
      <c r="W2"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3">
      <c r="A3" t="n">
        <v>22</v>
      </c>
      <c r="B3" t="n">
        <v>9</v>
      </c>
      <c r="C3" t="n">
        <v>2</v>
      </c>
      <c r="D3" t="n">
        <v>1</v>
      </c>
      <c r="E3" t="inlineStr">
        <is>
          <t>R1 y R2 dado que se pide la tensión en R2</t>
        </is>
      </c>
      <c r="F3" t="inlineStr">
        <is>
          <t>Si la corriente fluye a través de R2, ¿cómo se relaciona la intensidad de esa corriente con la diferencia de potencial que estás intentando medir a través de ella, y qué influencia tiene la resistencia de R2 en esa relación, específicamente en relación con la tensión en R2?</t>
        </is>
      </c>
      <c r="G3" t="n">
        <v>3</v>
      </c>
      <c r="H3" t="n">
        <v>3</v>
      </c>
      <c r="I3" t="n">
        <v>4</v>
      </c>
      <c r="J3" t="n">
        <v>5</v>
      </c>
      <c r="K3" t="n">
        <v>15</v>
      </c>
      <c r="L3" t="n">
        <v>1.142</v>
      </c>
      <c r="M3" t="n">
        <v>59</v>
      </c>
      <c r="N3" t="n">
        <v>52.54</v>
      </c>
      <c r="O3" t="inlineStr">
        <is>
          <t>AC9</t>
        </is>
      </c>
      <c r="P3" t="inlineStr">
        <is>
          <t>AC1</t>
        </is>
      </c>
      <c r="Q3" t="n">
        <v>0</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23</v>
      </c>
      <c r="B4" t="n">
        <v>9</v>
      </c>
      <c r="C4" t="n">
        <v>3</v>
      </c>
      <c r="D4" t="n">
        <v>1</v>
      </c>
      <c r="E4" t="inlineStr">
        <is>
          <t>R1 y R2 por identificar un divisor de tensión</t>
        </is>
      </c>
      <c r="F4" t="inlineStr">
        <is>
          <t>Asumiendo que el circuito está en equilibrio, ¿cómo se relacionaría la carga que fluye a través de R2 con la caída de tensión en R2, considerando la configuración del divisor de tensión?</t>
        </is>
      </c>
      <c r="G4" t="n">
        <v>3</v>
      </c>
      <c r="H4" t="n">
        <v>2</v>
      </c>
      <c r="I4" t="n">
        <v>4</v>
      </c>
      <c r="J4" t="n">
        <v>5</v>
      </c>
      <c r="K4" t="n">
        <v>14</v>
      </c>
      <c r="L4" t="n">
        <v>0.994</v>
      </c>
      <c r="M4" t="n">
        <v>43</v>
      </c>
      <c r="N4" t="n">
        <v>60.33</v>
      </c>
      <c r="O4" t="inlineStr">
        <is>
          <t>AC9</t>
        </is>
      </c>
      <c r="P4" t="inlineStr"/>
      <c r="Q4" t="n">
        <v>1</v>
      </c>
      <c r="R4" t="n">
        <v>0</v>
      </c>
      <c r="S4" t="n">
        <v>0</v>
      </c>
      <c r="T4" t="inlineStr"/>
      <c r="U4" t="inlineStr"/>
      <c r="V4" t="inlineStr"/>
      <c r="W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5">
      <c r="A5" t="n">
        <v>24</v>
      </c>
      <c r="B5" t="n">
        <v>10</v>
      </c>
      <c r="C5" t="n">
        <v>1</v>
      </c>
      <c r="D5" t="n">
        <v>1</v>
      </c>
      <c r="E5" t="inlineStr">
        <is>
          <t>R1 y R2 hacen un divisor de tensión</t>
        </is>
      </c>
      <c r="F5" t="inlineStr">
        <is>
          <t>Considerando que el interruptor está abierto, ¿qué efecto tiene la ausencia de una conexión continua entre N2 y N3 en la distribución del potencial a través de las resistencias R1 y R2, respectivamente?</t>
        </is>
      </c>
      <c r="G5" t="n">
        <v>3</v>
      </c>
      <c r="H5" t="n">
        <v>3</v>
      </c>
      <c r="I5" t="n">
        <v>4</v>
      </c>
      <c r="J5" t="n">
        <v>5</v>
      </c>
      <c r="K5" t="n">
        <v>15</v>
      </c>
      <c r="L5" t="n">
        <v>0.947</v>
      </c>
      <c r="M5" t="n">
        <v>44</v>
      </c>
      <c r="N5" t="n">
        <v>63.36</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25</v>
      </c>
      <c r="B6" t="n">
        <v>10</v>
      </c>
      <c r="C6" t="n">
        <v>2</v>
      </c>
      <c r="D6" t="n">
        <v>1</v>
      </c>
      <c r="E6" t="inlineStr">
        <is>
          <t>R1, R2, R3 y R4 porque R5 está cortocircuitada</t>
        </is>
      </c>
      <c r="F6" t="inlineStr">
        <is>
          <t>Si el circuito está cortocircuitado, ¿qué implicaría la presencia de una caída de voltaje cero a través de R5, considerando el comportamiento de los componentes en un cortocircuito?</t>
        </is>
      </c>
      <c r="G6" t="n">
        <v>3</v>
      </c>
      <c r="H6" t="n">
        <v>3</v>
      </c>
      <c r="I6" t="n">
        <v>3</v>
      </c>
      <c r="J6" t="n">
        <v>5</v>
      </c>
      <c r="K6" t="n">
        <v>14</v>
      </c>
      <c r="L6" t="n">
        <v>0.797</v>
      </c>
      <c r="M6" t="n">
        <v>40</v>
      </c>
      <c r="N6" t="n">
        <v>75.29000000000001</v>
      </c>
      <c r="O6" t="inlineStr">
        <is>
          <t>AC1, AC6</t>
        </is>
      </c>
      <c r="P6" t="inlineStr">
        <is>
          <t>AC6</t>
        </is>
      </c>
      <c r="Q6" t="n">
        <v>1</v>
      </c>
      <c r="R6" t="n">
        <v>0.5</v>
      </c>
      <c r="S6" t="n">
        <v>0.667</v>
      </c>
      <c r="T6" t="inlineStr"/>
      <c r="U6" t="inlineStr"/>
      <c r="V6" t="inlineStr"/>
      <c r="W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7">
      <c r="A7" t="n">
        <v>26</v>
      </c>
      <c r="B7" t="n">
        <v>10</v>
      </c>
      <c r="C7" t="n">
        <v>3</v>
      </c>
      <c r="D7" t="n">
        <v>1</v>
      </c>
      <c r="E7" t="inlineStr">
        <is>
          <t>R1, R2, R3 y R4 porque por R5 no circula corriente</t>
        </is>
      </c>
      <c r="F7" t="inlineStr">
        <is>
          <t>Si R5 está cortocircuitada, ¿cómo afectaría la distribución de la corriente a través de los otros componentes del circuito, considerando la ley de Ohm y la resistencia de cada rama?</t>
        </is>
      </c>
      <c r="G7" t="n">
        <v>3</v>
      </c>
      <c r="H7" t="n">
        <v>3</v>
      </c>
      <c r="I7" t="n">
        <v>3</v>
      </c>
      <c r="J7" t="n">
        <v>5</v>
      </c>
      <c r="K7" t="n">
        <v>14</v>
      </c>
      <c r="L7" t="n">
        <v>0.783</v>
      </c>
      <c r="M7" t="n">
        <v>40</v>
      </c>
      <c r="N7" t="n">
        <v>76.67</v>
      </c>
      <c r="O7" t="inlineStr">
        <is>
          <t>AC1, AC6</t>
        </is>
      </c>
      <c r="P7" t="inlineStr">
        <is>
          <t>AC1</t>
        </is>
      </c>
      <c r="Q7" t="n">
        <v>1</v>
      </c>
      <c r="R7" t="n">
        <v>0.5</v>
      </c>
      <c r="S7" t="n">
        <v>0.667</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27</v>
      </c>
      <c r="B8" t="n">
        <v>11</v>
      </c>
      <c r="C8" t="n">
        <v>1</v>
      </c>
      <c r="D8" t="n">
        <v>1</v>
      </c>
      <c r="E8" t="inlineStr">
        <is>
          <t>R1, R2, R3 y R4 porque R5 se quita</t>
        </is>
      </c>
      <c r="F8" t="inlineStr">
        <is>
          <t>Considerando que R3 está en un circuito abierto y R5 está cortocircuitado, ¿qué papel juegan las resistencias R1, R2 y R4 en la determinación de la diferencia de potencial entre N2 y 0?</t>
        </is>
      </c>
      <c r="G8" t="n">
        <v>3</v>
      </c>
      <c r="H8" t="n">
        <v>4</v>
      </c>
      <c r="I8" t="n">
        <v>4</v>
      </c>
      <c r="J8" t="n">
        <v>5</v>
      </c>
      <c r="K8" t="n">
        <v>16</v>
      </c>
      <c r="L8" t="n">
        <v>1.11</v>
      </c>
      <c r="M8" t="n">
        <v>49</v>
      </c>
      <c r="N8" t="n">
        <v>54.06</v>
      </c>
      <c r="O8" t="inlineStr">
        <is>
          <t>AC1, AC6</t>
        </is>
      </c>
      <c r="P8" t="inlineStr">
        <is>
          <t>AC1, AC9</t>
        </is>
      </c>
      <c r="Q8" t="n">
        <v>0.5</v>
      </c>
      <c r="R8" t="n">
        <v>0.5</v>
      </c>
      <c r="S8" t="n">
        <v>0.5</v>
      </c>
      <c r="T8" t="inlineStr"/>
      <c r="U8" t="inlineStr"/>
      <c r="V8" t="inlineStr"/>
      <c r="W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9">
      <c r="A9" t="n">
        <v>28</v>
      </c>
      <c r="B9" t="n">
        <v>11</v>
      </c>
      <c r="C9" t="n">
        <v>2</v>
      </c>
      <c r="D9" t="n">
        <v>1</v>
      </c>
      <c r="E9" t="inlineStr">
        <is>
          <t>R1, R3 y R4 porque R2 está en paralelo con la fuente y R5 corctocircuitada</t>
        </is>
      </c>
      <c r="F9" t="inlineStr">
        <is>
          <t>Si R2 realmente está en paralelo con la fuente, ¿cómo afectaría esa configuración a la corriente que fluye a través de R1 y R3, considerando que R3 está abierto?</t>
        </is>
      </c>
      <c r="G9" t="n">
        <v>3</v>
      </c>
      <c r="H9" t="n">
        <v>3</v>
      </c>
      <c r="I9" t="n">
        <v>4</v>
      </c>
      <c r="J9" t="n">
        <v>5</v>
      </c>
      <c r="K9" t="n">
        <v>15</v>
      </c>
      <c r="L9" t="n">
        <v>0.925</v>
      </c>
      <c r="M9" t="n">
        <v>40</v>
      </c>
      <c r="N9" t="n">
        <v>64.87</v>
      </c>
      <c r="O9" t="inlineStr">
        <is>
          <t>AC1, AC6</t>
        </is>
      </c>
      <c r="P9" t="inlineStr">
        <is>
          <t>AC1</t>
        </is>
      </c>
      <c r="Q9" t="n">
        <v>1</v>
      </c>
      <c r="R9" t="n">
        <v>0.5</v>
      </c>
      <c r="S9" t="n">
        <v>0.667</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29</v>
      </c>
      <c r="B10" t="n">
        <v>11</v>
      </c>
      <c r="C10" t="n">
        <v>3</v>
      </c>
      <c r="D10" t="n">
        <v>1</v>
      </c>
      <c r="E10" t="inlineStr">
        <is>
          <t>R1, R4 y R5 porque R2 se elimina y R3 también</t>
        </is>
      </c>
      <c r="F10" t="inlineStr">
        <is>
          <t>Dado que R2 está efectivamente eliminada y R3 también está en un estado de circuito abierto, ¿qué efecto tiene esta modificación en la distribución de la corriente a través de las resistencias R1 y R4?</t>
        </is>
      </c>
      <c r="G10" t="n">
        <v>3</v>
      </c>
      <c r="H10" t="n">
        <v>4</v>
      </c>
      <c r="I10" t="n">
        <v>5</v>
      </c>
      <c r="J10" t="n">
        <v>5</v>
      </c>
      <c r="K10" t="n">
        <v>17</v>
      </c>
      <c r="L10" t="n">
        <v>0.928</v>
      </c>
      <c r="M10" t="n">
        <v>44</v>
      </c>
      <c r="N10" t="n">
        <v>64.67</v>
      </c>
      <c r="O10" t="inlineStr">
        <is>
          <t>AC1, AC6</t>
        </is>
      </c>
      <c r="P10" t="inlineStr">
        <is>
          <t>AC1, AC9</t>
        </is>
      </c>
      <c r="Q10" t="n">
        <v>0.5</v>
      </c>
      <c r="R10" t="n">
        <v>0.5</v>
      </c>
      <c r="S10" t="n">
        <v>0.5</v>
      </c>
      <c r="T10" t="inlineStr"/>
      <c r="U10" t="inlineStr"/>
      <c r="V10" t="inlineStr"/>
      <c r="W10"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11">
      <c r="A11" t="n">
        <v>30</v>
      </c>
      <c r="B11" t="n">
        <v>12</v>
      </c>
      <c r="C11" t="n">
        <v>1</v>
      </c>
      <c r="D11" t="n">
        <v>1</v>
      </c>
      <c r="E11" t="inlineStr">
        <is>
          <t>R1 y R4 dado que R2 está en paralelo con la fuente, R3 en circuito abierto y R5 cortocircuitada</t>
        </is>
      </c>
      <c r="F11" t="inlineStr">
        <is>
          <t>Considerando que R3 está efectivamente en circuito abierto, ¿podrías describir cómo la presencia de R5, conectando dos nodos, podría afectar el flujo de corriente hacia N2?</t>
        </is>
      </c>
      <c r="G11" t="n">
        <v>3</v>
      </c>
      <c r="H11" t="n">
        <v>4</v>
      </c>
      <c r="I11" t="n">
        <v>3</v>
      </c>
      <c r="J11" t="n">
        <v>5</v>
      </c>
      <c r="K11" t="n">
        <v>15</v>
      </c>
      <c r="L11" t="n">
        <v>0.983</v>
      </c>
      <c r="M11" t="n">
        <v>39</v>
      </c>
      <c r="N11" t="n">
        <v>61.04</v>
      </c>
      <c r="O11" t="inlineStr">
        <is>
          <t>AC1, AC6</t>
        </is>
      </c>
      <c r="P11" t="inlineStr">
        <is>
          <t>AC1</t>
        </is>
      </c>
      <c r="Q11" t="n">
        <v>1</v>
      </c>
      <c r="R11" t="n">
        <v>0.5</v>
      </c>
      <c r="S11" t="n">
        <v>0.667</v>
      </c>
      <c r="T11" t="inlineStr"/>
      <c r="U11" t="inlineStr"/>
      <c r="V11" t="inlineStr"/>
      <c r="W1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111</v>
      </c>
      <c r="B2" t="n">
        <v>45</v>
      </c>
      <c r="C2" t="n">
        <v>1</v>
      </c>
      <c r="D2" t="n">
        <v>1</v>
      </c>
      <c r="E2" t="inlineStr">
        <is>
          <t>R1 y R2 dado que las dos resistencia forman un divisor de tensión</t>
        </is>
      </c>
      <c r="F2" t="inlineStr">
        <is>
          <t>Considerando que el interruptor entre N2 y N3 está abierto, ¿cómo afecta esto al flujo de corriente a través de todas las resistencias conectadas a esos nodos?</t>
        </is>
      </c>
      <c r="G2" t="n">
        <v>4</v>
      </c>
      <c r="H2" t="n">
        <v>4</v>
      </c>
      <c r="I2" t="n">
        <v>3</v>
      </c>
      <c r="J2" t="n">
        <v>5</v>
      </c>
      <c r="K2" t="n">
        <v>16</v>
      </c>
      <c r="L2" t="n">
        <v>110.4</v>
      </c>
      <c r="M2" t="n">
        <v>36</v>
      </c>
      <c r="N2" t="n">
        <v>0.54</v>
      </c>
      <c r="O2" t="inlineStr">
        <is>
          <t>AC9</t>
        </is>
      </c>
      <c r="P2" t="inlineStr">
        <is>
          <t>AC1, AC9</t>
        </is>
      </c>
      <c r="Q2" t="n">
        <v>0.5</v>
      </c>
      <c r="R2" t="n">
        <v>1</v>
      </c>
      <c r="S2" t="n">
        <v>0.667</v>
      </c>
      <c r="T2" t="inlineStr"/>
      <c r="U2" t="inlineStr"/>
      <c r="V2" t="inlineStr"/>
      <c r="W2"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3">
      <c r="A3" t="n">
        <v>112</v>
      </c>
      <c r="B3" t="n">
        <v>45</v>
      </c>
      <c r="C3" t="n">
        <v>2</v>
      </c>
      <c r="D3" t="n">
        <v>1</v>
      </c>
      <c r="E3" t="inlineStr">
        <is>
          <t>R1 y R2 dado que se pide la tensión en R2</t>
        </is>
      </c>
      <c r="F3" t="inlineStr">
        <is>
          <t>Si conoces el voltaje total aplicado al divisor de voltaje y la resistencia de R1, ¿qué información adicional necesitarías para calcular el voltaje en R2 utilizando el principio del divisor de voltaje?</t>
        </is>
      </c>
      <c r="G3" t="n">
        <v>3</v>
      </c>
      <c r="H3" t="n">
        <v>3</v>
      </c>
      <c r="I3" t="n">
        <v>5</v>
      </c>
      <c r="J3" t="n">
        <v>5</v>
      </c>
      <c r="K3" t="n">
        <v>16</v>
      </c>
      <c r="L3" t="n">
        <v>1.925</v>
      </c>
      <c r="M3" t="n">
        <v>40</v>
      </c>
      <c r="N3" t="n">
        <v>31.16</v>
      </c>
      <c r="O3" t="inlineStr">
        <is>
          <t>AC9</t>
        </is>
      </c>
      <c r="P3" t="inlineStr"/>
      <c r="Q3" t="n">
        <v>1</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113</v>
      </c>
      <c r="B4" t="n">
        <v>45</v>
      </c>
      <c r="C4" t="n">
        <v>3</v>
      </c>
      <c r="D4" t="n">
        <v>1</v>
      </c>
      <c r="E4" t="inlineStr">
        <is>
          <t>R1 y R2 por identificar un divisor de tensión</t>
        </is>
      </c>
      <c r="F4" t="inlineStr">
        <is>
          <t>Si el voltaje total se distribuye entre R1 y R2 en función de sus resistencias, ¿cómo describirías la relación matemática que define esta distribución en un divisor de voltaje?</t>
        </is>
      </c>
      <c r="G4" t="n">
        <v>3</v>
      </c>
      <c r="H4" t="n">
        <v>3</v>
      </c>
      <c r="I4" t="n">
        <v>5</v>
      </c>
      <c r="J4" t="n">
        <v>5</v>
      </c>
      <c r="K4" t="n">
        <v>16</v>
      </c>
      <c r="L4" t="n">
        <v>1.417</v>
      </c>
      <c r="M4" t="n">
        <v>37</v>
      </c>
      <c r="N4" t="n">
        <v>42.33</v>
      </c>
      <c r="O4" t="inlineStr">
        <is>
          <t>AC9</t>
        </is>
      </c>
      <c r="P4" t="inlineStr">
        <is>
          <t>AC9</t>
        </is>
      </c>
      <c r="Q4" t="n">
        <v>1</v>
      </c>
      <c r="R4" t="n">
        <v>1</v>
      </c>
      <c r="S4" t="n">
        <v>1</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114</v>
      </c>
      <c r="B5" t="n">
        <v>46</v>
      </c>
      <c r="C5" t="n">
        <v>1</v>
      </c>
      <c r="D5" t="n">
        <v>1</v>
      </c>
      <c r="E5" t="inlineStr">
        <is>
          <t>R1 y R2 hacen un divisor de tensión</t>
        </is>
      </c>
      <c r="F5" t="inlineStr">
        <is>
          <t>Si consideramos el nodo N2, ¿existe alguna otra ruta para la corriente hacia tierra, además de la que mencionas, que podría influir en el potencial en ese punto?</t>
        </is>
      </c>
      <c r="G5" t="n">
        <v>3</v>
      </c>
      <c r="H5" t="n">
        <v>3</v>
      </c>
      <c r="I5" t="n">
        <v>3</v>
      </c>
      <c r="J5" t="n">
        <v>5</v>
      </c>
      <c r="K5" t="n">
        <v>14</v>
      </c>
      <c r="L5" t="n">
        <v>1.677</v>
      </c>
      <c r="M5" t="n">
        <v>38</v>
      </c>
      <c r="N5" t="n">
        <v>35.78</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115</v>
      </c>
      <c r="B6" t="n">
        <v>46</v>
      </c>
      <c r="C6" t="n">
        <v>2</v>
      </c>
      <c r="D6" t="n">
        <v>1</v>
      </c>
      <c r="E6" t="inlineStr">
        <is>
          <t>R1, R2, R3 y R4 porque R5 está cortocircuitada</t>
        </is>
      </c>
      <c r="F6" t="inlineStr">
        <is>
          <t>Si R5 está en cortocircuito, ¿cómo afecta esto a la corriente que fluye a través de R4 y, por lo tanto, a la efectividad del divisor de tensión formado por R1 y R2?</t>
        </is>
      </c>
      <c r="G6" t="n">
        <v>4</v>
      </c>
      <c r="H6" t="n">
        <v>4</v>
      </c>
      <c r="I6" t="n">
        <v>4</v>
      </c>
      <c r="J6" t="n">
        <v>5</v>
      </c>
      <c r="K6" t="n">
        <v>17</v>
      </c>
      <c r="L6" t="n">
        <v>2.296</v>
      </c>
      <c r="M6" t="n">
        <v>47</v>
      </c>
      <c r="N6" t="n">
        <v>26.13</v>
      </c>
      <c r="O6" t="inlineStr">
        <is>
          <t>AC1, AC6</t>
        </is>
      </c>
      <c r="P6" t="inlineStr">
        <is>
          <t>AC1, AC6</t>
        </is>
      </c>
      <c r="Q6" t="n">
        <v>1</v>
      </c>
      <c r="R6" t="n">
        <v>1</v>
      </c>
      <c r="S6" t="n">
        <v>1</v>
      </c>
      <c r="T6" t="inlineStr"/>
      <c r="U6" t="inlineStr"/>
      <c r="V6" t="inlineStr"/>
      <c r="W6" t="inlineStr">
        <is>
          <t>Socraticidad 4/5 (Andamiaje para detección): Andamiaje para detección: identifica el área del error y plantea pregunta que confronta con la teoría. Precisión Conceptual 4/5 (Bueno): Bueno: identifica claramente la concepción alternativa con lenguaje técnico preciso. Tutor de alto rendimiento: guía socrática experta con diagnóstico preciso.</t>
        </is>
      </c>
    </row>
    <row r="7">
      <c r="A7" t="n">
        <v>116</v>
      </c>
      <c r="B7" t="n">
        <v>46</v>
      </c>
      <c r="C7" t="n">
        <v>3</v>
      </c>
      <c r="D7" t="n">
        <v>1</v>
      </c>
      <c r="E7" t="inlineStr">
        <is>
          <t>R1, R2, R3 y R4 porque por R5 no circula corriente</t>
        </is>
      </c>
      <c r="F7" t="inlineStr">
        <is>
          <t>Si no circula corriente por R5 debido al cortocircuito, ¿cómo describirías la diferencia de potencial entre los extremos de este componente y cómo impacta esto en el resto del circuito?</t>
        </is>
      </c>
      <c r="G7" t="n">
        <v>3</v>
      </c>
      <c r="H7" t="n">
        <v>4</v>
      </c>
      <c r="I7" t="n">
        <v>3</v>
      </c>
      <c r="J7" t="n">
        <v>5</v>
      </c>
      <c r="K7" t="n">
        <v>15</v>
      </c>
      <c r="L7" t="n">
        <v>1.939</v>
      </c>
      <c r="M7" t="n">
        <v>39</v>
      </c>
      <c r="N7" t="n">
        <v>30.95</v>
      </c>
      <c r="O7" t="inlineStr">
        <is>
          <t>AC1, AC6</t>
        </is>
      </c>
      <c r="P7" t="inlineStr">
        <is>
          <t>AC1, AC6, AC9</t>
        </is>
      </c>
      <c r="Q7" t="n">
        <v>0.667</v>
      </c>
      <c r="R7" t="n">
        <v>1</v>
      </c>
      <c r="S7" t="n">
        <v>0.8</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8">
      <c r="A8" t="n">
        <v>117</v>
      </c>
      <c r="B8" t="n">
        <v>47</v>
      </c>
      <c r="C8" t="n">
        <v>1</v>
      </c>
      <c r="D8" t="n">
        <v>1</v>
      </c>
      <c r="E8" t="inlineStr">
        <is>
          <t>R1, R2, R3 y R4 porque R5 se quita</t>
        </is>
      </c>
      <c r="F8" t="inlineStr">
        <is>
          <t>Si revisas el netlist, ¿qué relación observas entre los nodos conectados a los terminales de R5, y cómo afecta esto al flujo de corriente en esa rama?</t>
        </is>
      </c>
      <c r="G8" t="n">
        <v>3</v>
      </c>
      <c r="H8" t="n">
        <v>4</v>
      </c>
      <c r="I8" t="n">
        <v>3</v>
      </c>
      <c r="J8" t="n">
        <v>5</v>
      </c>
      <c r="K8" t="n">
        <v>15</v>
      </c>
      <c r="L8" t="n">
        <v>1.826</v>
      </c>
      <c r="M8" t="n">
        <v>37</v>
      </c>
      <c r="N8" t="n">
        <v>32.87</v>
      </c>
      <c r="O8" t="inlineStr">
        <is>
          <t>AC1, AC6</t>
        </is>
      </c>
      <c r="P8" t="inlineStr">
        <is>
          <t>AC1, AC6</t>
        </is>
      </c>
      <c r="Q8" t="n">
        <v>1</v>
      </c>
      <c r="R8" t="n">
        <v>1</v>
      </c>
      <c r="S8" t="n">
        <v>1</v>
      </c>
      <c r="T8" t="inlineStr"/>
      <c r="U8" t="inlineStr"/>
      <c r="V8" t="inlineStr"/>
      <c r="W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9">
      <c r="A9" t="n">
        <v>118</v>
      </c>
      <c r="B9" t="n">
        <v>47</v>
      </c>
      <c r="C9" t="n">
        <v>2</v>
      </c>
      <c r="D9" t="n">
        <v>1</v>
      </c>
      <c r="E9" t="inlineStr">
        <is>
          <t>R1, R3 y R4 porque R2 está en paralelo con la fuente y R5 corctocircuitada</t>
        </is>
      </c>
      <c r="F9" t="inlineStr">
        <is>
          <t>Considerando que un cortocircuito implica una resistencia cercana a cero, ¿cómo impacta esto en la distribución de la corriente total del circuito y en la tensión sobre los demás componentes en paralelo?</t>
        </is>
      </c>
      <c r="G9" t="n">
        <v>3</v>
      </c>
      <c r="H9" t="n">
        <v>4</v>
      </c>
      <c r="I9" t="n">
        <v>3</v>
      </c>
      <c r="J9" t="n">
        <v>5</v>
      </c>
      <c r="K9" t="n">
        <v>15</v>
      </c>
      <c r="L9" t="n">
        <v>1.497</v>
      </c>
      <c r="M9" t="n">
        <v>40</v>
      </c>
      <c r="N9" t="n">
        <v>40.09</v>
      </c>
      <c r="O9" t="inlineStr">
        <is>
          <t>AC1, AC6</t>
        </is>
      </c>
      <c r="P9" t="inlineStr">
        <is>
          <t>AC1, AC6</t>
        </is>
      </c>
      <c r="Q9" t="n">
        <v>1</v>
      </c>
      <c r="R9" t="n">
        <v>1</v>
      </c>
      <c r="S9" t="n">
        <v>1</v>
      </c>
      <c r="T9" t="inlineStr"/>
      <c r="U9" t="inlineStr"/>
      <c r="V9" t="inlineStr"/>
      <c r="W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0">
      <c r="A10" t="n">
        <v>119</v>
      </c>
      <c r="B10" t="n">
        <v>47</v>
      </c>
      <c r="C10" t="n">
        <v>3</v>
      </c>
      <c r="D10" t="n">
        <v>1</v>
      </c>
      <c r="E10" t="inlineStr">
        <is>
          <t>R1, R4 y R5 porque R2 se elimina y R3 también</t>
        </is>
      </c>
      <c r="F10" t="inlineStr">
        <is>
          <t>Si R2 está en paralelo con la fuente, ¿cómo afecta su eliminación a la corriente que circula por R1 y R4, considerando las leyes de los circuitos eléctricos?</t>
        </is>
      </c>
      <c r="G10" t="n">
        <v>4</v>
      </c>
      <c r="H10" t="n">
        <v>3</v>
      </c>
      <c r="I10" t="n">
        <v>4</v>
      </c>
      <c r="J10" t="n">
        <v>5</v>
      </c>
      <c r="K10" t="n">
        <v>16</v>
      </c>
      <c r="L10" t="n">
        <v>1.72</v>
      </c>
      <c r="M10" t="n">
        <v>36</v>
      </c>
      <c r="N10" t="n">
        <v>34.87</v>
      </c>
      <c r="O10" t="inlineStr">
        <is>
          <t>AC1, AC6</t>
        </is>
      </c>
      <c r="P10" t="inlineStr">
        <is>
          <t>AC1</t>
        </is>
      </c>
      <c r="Q10" t="n">
        <v>1</v>
      </c>
      <c r="R10" t="n">
        <v>0.5</v>
      </c>
      <c r="S10" t="n">
        <v>0.667</v>
      </c>
      <c r="T10" t="inlineStr"/>
      <c r="U10" t="inlineStr"/>
      <c r="V10" t="inlineStr"/>
      <c r="W10"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1">
      <c r="A11" t="n">
        <v>120</v>
      </c>
      <c r="B11" t="n">
        <v>48</v>
      </c>
      <c r="C11" t="n">
        <v>1</v>
      </c>
      <c r="D11" t="n">
        <v>1</v>
      </c>
      <c r="E11" t="inlineStr">
        <is>
          <t>R1 y R4 dado que R2 está en paralelo con la fuente, R3 en circuito abierto y R5 cortocircuitada</t>
        </is>
      </c>
      <c r="F11" t="inlineStr">
        <is>
          <t>Considerando que R2 está en paralelo con la fuente, ¿cómo afecta esta configuración a la corriente que fluye a través de R2 en comparación con la que fluye a través de R1?</t>
        </is>
      </c>
      <c r="G11" t="n">
        <v>4</v>
      </c>
      <c r="H11" t="n">
        <v>3</v>
      </c>
      <c r="I11" t="n">
        <v>3</v>
      </c>
      <c r="J11" t="n">
        <v>5</v>
      </c>
      <c r="K11" t="n">
        <v>15</v>
      </c>
      <c r="L11" t="n">
        <v>1.906</v>
      </c>
      <c r="M11" t="n">
        <v>42</v>
      </c>
      <c r="N11" t="n">
        <v>31.48</v>
      </c>
      <c r="O11" t="inlineStr">
        <is>
          <t>AC1, AC6</t>
        </is>
      </c>
      <c r="P11" t="inlineStr">
        <is>
          <t>AC1</t>
        </is>
      </c>
      <c r="Q11" t="n">
        <v>1</v>
      </c>
      <c r="R11" t="n">
        <v>0.5</v>
      </c>
      <c r="S11" t="n">
        <v>0.667</v>
      </c>
      <c r="T11" t="inlineStr"/>
      <c r="U11" t="inlineStr"/>
      <c r="V11" t="inlineStr"/>
      <c r="W11"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91</v>
      </c>
      <c r="B2" t="n">
        <v>37</v>
      </c>
      <c r="C2" t="n">
        <v>1</v>
      </c>
      <c r="D2" t="n">
        <v>1</v>
      </c>
      <c r="E2" t="inlineStr">
        <is>
          <t>R1 y R2 dado que las dos resistencia forman un divisor de tensión</t>
        </is>
      </c>
      <c r="F2" t="inlineStr">
        <is>
          <t>Considerando que el interruptor entre N2 y N3 está abierto, ¿cómo afecta esta condición a la distribución de la corriente y, por lo tanto, a la caída de tensión en las resistencias R1 y R2 que has identificado?</t>
        </is>
      </c>
      <c r="G2" t="n">
        <v>4</v>
      </c>
      <c r="H2" t="n">
        <v>3</v>
      </c>
      <c r="I2" t="n">
        <v>5</v>
      </c>
      <c r="J2" t="n">
        <v>5</v>
      </c>
      <c r="K2" t="n">
        <v>17</v>
      </c>
      <c r="L2" t="n">
        <v>0.911</v>
      </c>
      <c r="M2" t="n">
        <v>50</v>
      </c>
      <c r="N2" t="n">
        <v>65.87</v>
      </c>
      <c r="O2" t="inlineStr">
        <is>
          <t>AC9</t>
        </is>
      </c>
      <c r="P2" t="inlineStr">
        <is>
          <t>AC1, AC9</t>
        </is>
      </c>
      <c r="Q2" t="n">
        <v>0.5</v>
      </c>
      <c r="R2" t="n">
        <v>1</v>
      </c>
      <c r="S2" t="n">
        <v>0.667</v>
      </c>
      <c r="T2" t="inlineStr"/>
      <c r="U2" t="inlineStr"/>
      <c r="V2" t="inlineStr"/>
      <c r="W2"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row r="3">
      <c r="A3" t="n">
        <v>92</v>
      </c>
      <c r="B3" t="n">
        <v>37</v>
      </c>
      <c r="C3" t="n">
        <v>2</v>
      </c>
      <c r="D3" t="n">
        <v>1</v>
      </c>
      <c r="E3" t="inlineStr">
        <is>
          <t>R1 y R2 dado que se pide la tensión en R2</t>
        </is>
      </c>
      <c r="F3" t="inlineStr">
        <is>
          <t>Si la corriente total fluye a través de R1, ¿cómo se relaciona la magnitud de esa corriente con la caída de tensión en R2, considerando la ley de Ohm?</t>
        </is>
      </c>
      <c r="G3" t="n">
        <v>3</v>
      </c>
      <c r="H3" t="n">
        <v>3</v>
      </c>
      <c r="I3" t="n">
        <v>5</v>
      </c>
      <c r="J3" t="n">
        <v>5</v>
      </c>
      <c r="K3" t="n">
        <v>16</v>
      </c>
      <c r="L3" t="n">
        <v>0.778</v>
      </c>
      <c r="M3" t="n">
        <v>37</v>
      </c>
      <c r="N3" t="n">
        <v>77.09999999999999</v>
      </c>
      <c r="O3" t="inlineStr">
        <is>
          <t>AC9</t>
        </is>
      </c>
      <c r="P3" t="inlineStr">
        <is>
          <t>AC1</t>
        </is>
      </c>
      <c r="Q3" t="n">
        <v>0</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93</v>
      </c>
      <c r="B4" t="n">
        <v>37</v>
      </c>
      <c r="C4" t="n">
        <v>3</v>
      </c>
      <c r="D4" t="n">
        <v>1</v>
      </c>
      <c r="E4" t="inlineStr">
        <is>
          <t>R1 y R2 por identificar un divisor de tensión</t>
        </is>
      </c>
      <c r="F4" t="inlineStr">
        <is>
          <t>Si la corriente que fluye a través de R1 es la misma que fluye a través de R2, ¿qué implica esto sobre la relación entre las resistencias y la tensión total en el circuito?</t>
        </is>
      </c>
      <c r="G4" t="n">
        <v>3</v>
      </c>
      <c r="H4" t="n">
        <v>3</v>
      </c>
      <c r="I4" t="n">
        <v>4</v>
      </c>
      <c r="J4" t="n">
        <v>5</v>
      </c>
      <c r="K4" t="n">
        <v>15</v>
      </c>
      <c r="L4" t="n">
        <v>0.797</v>
      </c>
      <c r="M4" t="n">
        <v>42</v>
      </c>
      <c r="N4" t="n">
        <v>75.33</v>
      </c>
      <c r="O4" t="inlineStr">
        <is>
          <t>AC9</t>
        </is>
      </c>
      <c r="P4" t="inlineStr">
        <is>
          <t>AC1, AC9</t>
        </is>
      </c>
      <c r="Q4" t="n">
        <v>0.5</v>
      </c>
      <c r="R4" t="n">
        <v>1</v>
      </c>
      <c r="S4" t="n">
        <v>0.667</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94</v>
      </c>
      <c r="B5" t="n">
        <v>38</v>
      </c>
      <c r="C5" t="n">
        <v>1</v>
      </c>
      <c r="D5" t="n">
        <v>1</v>
      </c>
      <c r="E5" t="inlineStr">
        <is>
          <t>R1 y R2 hacen un divisor de tensión</t>
        </is>
      </c>
      <c r="F5" t="inlineStr">
        <is>
          <t>Si la diferencia de potencial entre N2 y 0 depende únicamente de R1 y R2, ¿qué sucede con el flujo de corriente a través de estas resistencias cuando el interruptor entre N2 y N3 está abierto, y cómo afecta esto al valor del voltaje en N2?.</t>
        </is>
      </c>
      <c r="G5" t="n">
        <v>1</v>
      </c>
      <c r="H5" t="n">
        <v>3</v>
      </c>
      <c r="I5" t="n">
        <v>3</v>
      </c>
      <c r="J5" t="n">
        <v>5</v>
      </c>
      <c r="K5" t="n">
        <v>12</v>
      </c>
      <c r="L5" t="n">
        <v>0.912</v>
      </c>
      <c r="M5" t="n">
        <v>59</v>
      </c>
      <c r="N5" t="n">
        <v>65.76000000000001</v>
      </c>
      <c r="O5" t="inlineStr">
        <is>
          <t>AC9</t>
        </is>
      </c>
      <c r="P5" t="inlineStr">
        <is>
          <t>AC1, AC9</t>
        </is>
      </c>
      <c r="Q5" t="n">
        <v>0.5</v>
      </c>
      <c r="R5" t="n">
        <v>1</v>
      </c>
      <c r="S5" t="n">
        <v>0.667</v>
      </c>
      <c r="T5" t="inlineStr"/>
      <c r="U5" t="inlineStr"/>
      <c r="V5" t="inlineStr"/>
      <c r="W5"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6">
      <c r="A6" t="n">
        <v>95</v>
      </c>
      <c r="B6" t="n">
        <v>38</v>
      </c>
      <c r="C6" t="n">
        <v>2</v>
      </c>
      <c r="D6" t="n">
        <v>1</v>
      </c>
      <c r="E6" t="inlineStr">
        <is>
          <t>R1, R2, R3 y R4 porque R5 está cortocircuitada</t>
        </is>
      </c>
      <c r="F6" t="inlineStr">
        <is>
          <t>Si la corriente fluye a través de R3 y R4 cuando el interruptor está cerrado, ¿cómo se relaciona la resistencia de R5 con la configuración del circuito y el flujo de corriente a través de las resistencias R3 y R4, respectivamente?</t>
        </is>
      </c>
      <c r="G6" t="n">
        <v>3</v>
      </c>
      <c r="H6" t="n">
        <v>4</v>
      </c>
      <c r="I6" t="n">
        <v>3</v>
      </c>
      <c r="J6" t="n">
        <v>5</v>
      </c>
      <c r="K6" t="n">
        <v>15</v>
      </c>
      <c r="L6" t="n">
        <v>0.861</v>
      </c>
      <c r="M6" t="n">
        <v>53</v>
      </c>
      <c r="N6" t="n">
        <v>69.70999999999999</v>
      </c>
      <c r="O6" t="inlineStr">
        <is>
          <t>AC1, AC6</t>
        </is>
      </c>
      <c r="P6" t="inlineStr">
        <is>
          <t>AC1, AC9</t>
        </is>
      </c>
      <c r="Q6" t="n">
        <v>0.5</v>
      </c>
      <c r="R6" t="n">
        <v>0.5</v>
      </c>
      <c r="S6" t="n">
        <v>0.5</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96</v>
      </c>
      <c r="B7" t="n">
        <v>38</v>
      </c>
      <c r="C7" t="n">
        <v>3</v>
      </c>
      <c r="D7" t="n">
        <v>1</v>
      </c>
      <c r="E7" t="inlineStr">
        <is>
          <t>R1, R2, R3 y R4 porque por R5 no circula corriente</t>
        </is>
      </c>
      <c r="F7" t="inlineStr">
        <is>
          <t>Considerando que R5 está efectivamente en cortocircuito, ¿cómo se altera la distribución de la corriente a través de R1, R2, R3 y R4, y qué implica esto para la caída de tensión en cada una de ellas?</t>
        </is>
      </c>
      <c r="G7" t="n">
        <v>3</v>
      </c>
      <c r="H7" t="n">
        <v>4</v>
      </c>
      <c r="I7" t="n">
        <v>5</v>
      </c>
      <c r="J7" t="n">
        <v>5</v>
      </c>
      <c r="K7" t="n">
        <v>17</v>
      </c>
      <c r="L7" t="n">
        <v>0.826</v>
      </c>
      <c r="M7" t="n">
        <v>52</v>
      </c>
      <c r="N7" t="n">
        <v>72.66</v>
      </c>
      <c r="O7" t="inlineStr">
        <is>
          <t>AC1, AC6</t>
        </is>
      </c>
      <c r="P7" t="inlineStr">
        <is>
          <t>AC1, AC6</t>
        </is>
      </c>
      <c r="Q7" t="n">
        <v>1</v>
      </c>
      <c r="R7" t="n">
        <v>1</v>
      </c>
      <c r="S7" t="n">
        <v>1</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Tutor de alto rendimiento: guía socrática experta con diagnóstico preciso.</t>
        </is>
      </c>
    </row>
    <row r="8">
      <c r="A8" t="n">
        <v>97</v>
      </c>
      <c r="B8" t="n">
        <v>39</v>
      </c>
      <c r="C8" t="n">
        <v>1</v>
      </c>
      <c r="D8" t="n">
        <v>1</v>
      </c>
      <c r="E8" t="inlineStr">
        <is>
          <t>R1, R2, R3 y R4 porque R5 se quita</t>
        </is>
      </c>
      <c r="F8" t="inlineStr">
        <is>
          <t>Considerando que R3 está físicamente desconectada, ¿cómo afecta esta desconexión al flujo de corriente y, por lo tanto, a la diferencia de potencial entre N2 y 0?</t>
        </is>
      </c>
      <c r="G8" t="n">
        <v>4</v>
      </c>
      <c r="H8" t="n">
        <v>3</v>
      </c>
      <c r="I8" t="n">
        <v>3</v>
      </c>
      <c r="J8" t="n">
        <v>5</v>
      </c>
      <c r="K8" t="n">
        <v>15</v>
      </c>
      <c r="L8" t="n">
        <v>0.967</v>
      </c>
      <c r="M8" t="n">
        <v>42</v>
      </c>
      <c r="N8" t="n">
        <v>62.04</v>
      </c>
      <c r="O8" t="inlineStr">
        <is>
          <t>AC1, AC6</t>
        </is>
      </c>
      <c r="P8" t="inlineStr">
        <is>
          <t>AC1</t>
        </is>
      </c>
      <c r="Q8" t="n">
        <v>1</v>
      </c>
      <c r="R8" t="n">
        <v>0.5</v>
      </c>
      <c r="S8" t="n">
        <v>0.667</v>
      </c>
      <c r="T8" t="inlineStr"/>
      <c r="U8" t="inlineStr"/>
      <c r="V8" t="inlineStr"/>
      <c r="W8"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9">
      <c r="A9" t="n">
        <v>98</v>
      </c>
      <c r="B9" t="n">
        <v>39</v>
      </c>
      <c r="C9" t="n">
        <v>2</v>
      </c>
      <c r="D9" t="n">
        <v>1</v>
      </c>
      <c r="E9" t="inlineStr">
        <is>
          <t>R1, R3 y R4 porque R2 está en paralelo con la fuente y R5 corctocircuitada</t>
        </is>
      </c>
      <c r="F9" t="inlineStr">
        <is>
          <t>Si R2 ahora forma un paralelo con la fuente, ¿cómo cambiaría la relación entre la corriente que fluye a través de R1 y R4, y cómo se vería esto en términos de la caída de voltaje en cada resistor?</t>
        </is>
      </c>
      <c r="G9" t="n">
        <v>3</v>
      </c>
      <c r="H9" t="n">
        <v>3</v>
      </c>
      <c r="I9" t="n">
        <v>4</v>
      </c>
      <c r="J9" t="n">
        <v>5</v>
      </c>
      <c r="K9" t="n">
        <v>15</v>
      </c>
      <c r="L9" t="n">
        <v>0.87</v>
      </c>
      <c r="M9" t="n">
        <v>50</v>
      </c>
      <c r="N9" t="n">
        <v>68.97</v>
      </c>
      <c r="O9" t="inlineStr">
        <is>
          <t>AC1, AC6</t>
        </is>
      </c>
      <c r="P9" t="inlineStr">
        <is>
          <t>AC1</t>
        </is>
      </c>
      <c r="Q9" t="n">
        <v>1</v>
      </c>
      <c r="R9" t="n">
        <v>0.5</v>
      </c>
      <c r="S9" t="n">
        <v>0.667</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99</v>
      </c>
      <c r="B10" t="n">
        <v>39</v>
      </c>
      <c r="C10" t="n">
        <v>3</v>
      </c>
      <c r="D10" t="n">
        <v>1</v>
      </c>
      <c r="E10" t="inlineStr">
        <is>
          <t>R1, R4 y R5 porque R2 se elimina y R3 también</t>
        </is>
      </c>
      <c r="F10" t="inlineStr">
        <is>
          <t>Si R3 también se elimina, ¿cómo influye esta desconexión adicional en la distribución de la corriente y la tensión a lo largo de los componentes restantes del circuito?</t>
        </is>
      </c>
      <c r="G10" t="n">
        <v>4</v>
      </c>
      <c r="H10" t="n">
        <v>3</v>
      </c>
      <c r="I10" t="n">
        <v>3</v>
      </c>
      <c r="J10" t="n">
        <v>5</v>
      </c>
      <c r="K10" t="n">
        <v>15</v>
      </c>
      <c r="L10" t="n">
        <v>0.775</v>
      </c>
      <c r="M10" t="n">
        <v>36</v>
      </c>
      <c r="N10" t="n">
        <v>77.43000000000001</v>
      </c>
      <c r="O10" t="inlineStr">
        <is>
          <t>AC1, AC6</t>
        </is>
      </c>
      <c r="P10" t="inlineStr">
        <is>
          <t>AC1</t>
        </is>
      </c>
      <c r="Q10" t="n">
        <v>1</v>
      </c>
      <c r="R10" t="n">
        <v>0.5</v>
      </c>
      <c r="S10" t="n">
        <v>0.667</v>
      </c>
      <c r="T10" t="inlineStr"/>
      <c r="U10" t="inlineStr"/>
      <c r="V10" t="inlineStr"/>
      <c r="W10"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1">
      <c r="A11" t="n">
        <v>100</v>
      </c>
      <c r="B11" t="n">
        <v>40</v>
      </c>
      <c r="C11" t="n">
        <v>1</v>
      </c>
      <c r="D11" t="n">
        <v>1</v>
      </c>
      <c r="E11" t="inlineStr">
        <is>
          <t>R1 y R4 dado que R2 está en paralelo con la fuente, R3 en circuito abierto y R5 cortocircuitada</t>
        </is>
      </c>
      <c r="F11" t="inlineStr">
        <is>
          <t>Considerando que R3 está efectivamente en circuito abierto, ¿qué efecto tiene la presencia de un cortocircuito en R5 sobre la trayectoria de la corriente desde la fuente hacia el nodo N2, y cómo podría esto influir en el potencial entre N2 y tierra?.</t>
        </is>
      </c>
      <c r="G11" t="n">
        <v>1</v>
      </c>
      <c r="H11" t="n">
        <v>5</v>
      </c>
      <c r="I11" t="n">
        <v>3</v>
      </c>
      <c r="J11" t="n">
        <v>5</v>
      </c>
      <c r="K11" t="n">
        <v>14</v>
      </c>
      <c r="L11" t="n">
        <v>0.894</v>
      </c>
      <c r="M11" t="n">
        <v>56</v>
      </c>
      <c r="N11" t="n">
        <v>67.08</v>
      </c>
      <c r="O11" t="inlineStr">
        <is>
          <t>AC1, AC6</t>
        </is>
      </c>
      <c r="P11" t="inlineStr">
        <is>
          <t>AC1, AC6, AC9</t>
        </is>
      </c>
      <c r="Q11" t="n">
        <v>0.667</v>
      </c>
      <c r="R11" t="n">
        <v>1</v>
      </c>
      <c r="S11" t="n">
        <v>0.8</v>
      </c>
      <c r="T11" t="inlineStr"/>
      <c r="U11" t="inlineStr"/>
      <c r="V11" t="inlineStr"/>
      <c r="W11" t="inlineStr">
        <is>
          <t>Socraticidad 1/5 (Instructivo): No termina en pregunta; el tutor es instructivo. Precisión Conceptual 5/5 (Excelente): Excelente: identifica la concepción alternativa específica y la conecta con la topología del circuito. Buen desempeño general; hay margen de mejora en profundidad socrática.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11</v>
      </c>
      <c r="B2" t="n">
        <v>5</v>
      </c>
      <c r="C2" t="n">
        <v>1</v>
      </c>
      <c r="D2" t="n">
        <v>1</v>
      </c>
      <c r="E2" t="inlineStr">
        <is>
          <t>R1 y R2 dado que las dos resistencia forman un divisor de tensión</t>
        </is>
      </c>
      <c r="F2" t="inlineStr">
        <is>
          <t>¿No estaría también R4 en el camino entre N2 y tierra, afectando así la diferencia de potencial?.</t>
        </is>
      </c>
      <c r="G2" t="n">
        <v>1</v>
      </c>
      <c r="H2" t="n">
        <v>3</v>
      </c>
      <c r="I2" t="n">
        <v>3</v>
      </c>
      <c r="J2" t="n">
        <v>5</v>
      </c>
      <c r="K2" t="n">
        <v>12</v>
      </c>
      <c r="L2" t="n">
        <v>53.957</v>
      </c>
      <c r="M2" t="n">
        <v>27</v>
      </c>
      <c r="N2" t="n">
        <v>1.11</v>
      </c>
      <c r="O2" t="inlineStr">
        <is>
          <t>AC9</t>
        </is>
      </c>
      <c r="P2" t="inlineStr">
        <is>
          <t>AC1, AC9</t>
        </is>
      </c>
      <c r="Q2" t="n">
        <v>0.5</v>
      </c>
      <c r="R2" t="n">
        <v>1</v>
      </c>
      <c r="S2" t="n">
        <v>0.667</v>
      </c>
      <c r="T2" t="inlineStr"/>
      <c r="U2" t="inlineStr"/>
      <c r="V2" t="inlineStr"/>
      <c r="W2"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3">
      <c r="A3" t="n">
        <v>12</v>
      </c>
      <c r="B3" t="n">
        <v>5</v>
      </c>
      <c r="C3" t="n">
        <v>2</v>
      </c>
      <c r="D3" t="n">
        <v>1</v>
      </c>
      <c r="E3" t="inlineStr">
        <is>
          <t>R1 y R2 dado que se pide la tensión en R2</t>
        </is>
      </c>
      <c r="F3" t="inlineStr">
        <is>
          <t>¿Cómo podría afectar el valor de R1 a la relación entre las tensiones V2/V1 si se cumple la condición de que R1=R2?.</t>
        </is>
      </c>
      <c r="G3" t="n">
        <v>1</v>
      </c>
      <c r="H3" t="n">
        <v>2</v>
      </c>
      <c r="I3" t="n">
        <v>5</v>
      </c>
      <c r="J3" t="n">
        <v>5</v>
      </c>
      <c r="K3" t="n">
        <v>13</v>
      </c>
      <c r="L3" t="n">
        <v>0.819</v>
      </c>
      <c r="M3" t="n">
        <v>36</v>
      </c>
      <c r="N3" t="n">
        <v>73.3</v>
      </c>
      <c r="O3" t="inlineStr">
        <is>
          <t>AC9</t>
        </is>
      </c>
      <c r="P3" t="inlineStr"/>
      <c r="Q3" t="n">
        <v>1</v>
      </c>
      <c r="R3" t="n">
        <v>0</v>
      </c>
      <c r="S3" t="n">
        <v>0</v>
      </c>
      <c r="T3" t="inlineStr"/>
      <c r="U3" t="inlineStr"/>
      <c r="V3" t="inlineStr"/>
      <c r="W3" t="inlineStr">
        <is>
          <t>Socraticidad 1/5 (Instructivo): No termina en pregunta; el tutor es instructivo. Precisión Conceptual 2/5 (Pobre): Respuesta genérica: sin vocabulario técnico ni diagnóstico del error. Buen desempeño general; hay margen de mejora en profundidad socrática.</t>
        </is>
      </c>
    </row>
    <row r="4">
      <c r="A4" t="n">
        <v>13</v>
      </c>
      <c r="B4" t="n">
        <v>5</v>
      </c>
      <c r="C4" t="n">
        <v>3</v>
      </c>
      <c r="D4" t="n">
        <v>1</v>
      </c>
      <c r="E4" t="inlineStr">
        <is>
          <t>R1 y R2 por identificar un divisor de tensión</t>
        </is>
      </c>
      <c r="F4" t="inlineStr">
        <is>
          <t>¿Es entonces una propiedad clave del divisor de tensión que no importa el valor real de las resistencias?.</t>
        </is>
      </c>
      <c r="G4" t="n">
        <v>1</v>
      </c>
      <c r="H4" t="n">
        <v>3</v>
      </c>
      <c r="I4" t="n">
        <v>3</v>
      </c>
      <c r="J4" t="n">
        <v>5</v>
      </c>
      <c r="K4" t="n">
        <v>12</v>
      </c>
      <c r="L4" t="n">
        <v>0.591</v>
      </c>
      <c r="M4" t="n">
        <v>24</v>
      </c>
      <c r="N4" t="n">
        <v>101.55</v>
      </c>
      <c r="O4" t="inlineStr">
        <is>
          <t>AC9</t>
        </is>
      </c>
      <c r="P4" t="inlineStr">
        <is>
          <t>AC9</t>
        </is>
      </c>
      <c r="Q4" t="n">
        <v>1</v>
      </c>
      <c r="R4" t="n">
        <v>1</v>
      </c>
      <c r="S4" t="n">
        <v>1</v>
      </c>
      <c r="T4" t="inlineStr"/>
      <c r="U4" t="inlineStr"/>
      <c r="V4" t="inlineStr"/>
      <c r="W4"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5">
      <c r="A5" t="n">
        <v>14</v>
      </c>
      <c r="B5" t="n">
        <v>6</v>
      </c>
      <c r="C5" t="n">
        <v>1</v>
      </c>
      <c r="D5" t="n">
        <v>1</v>
      </c>
      <c r="E5" t="inlineStr">
        <is>
          <t>R1 y R2 hacen un divisor de tensión</t>
        </is>
      </c>
      <c r="F5" t="inlineStr">
        <is>
          <t>¿Si R1 y R2 están en paralelo, ¿cómo influye su conexión sobre el funcionamiento del divisor de tensión entre N2 y 0?</t>
        </is>
      </c>
      <c r="G5" t="n">
        <v>4</v>
      </c>
      <c r="H5" t="n">
        <v>3</v>
      </c>
      <c r="I5" t="n">
        <v>5</v>
      </c>
      <c r="J5" t="n">
        <v>5</v>
      </c>
      <c r="K5" t="n">
        <v>17</v>
      </c>
      <c r="L5" t="n">
        <v>0.873</v>
      </c>
      <c r="M5" t="n">
        <v>37</v>
      </c>
      <c r="N5" t="n">
        <v>68.69</v>
      </c>
      <c r="O5" t="inlineStr">
        <is>
          <t>AC9</t>
        </is>
      </c>
      <c r="P5" t="inlineStr">
        <is>
          <t>AC1</t>
        </is>
      </c>
      <c r="Q5" t="n">
        <v>0</v>
      </c>
      <c r="R5" t="n">
        <v>0</v>
      </c>
      <c r="S5" t="n">
        <v>0</v>
      </c>
      <c r="T5" t="inlineStr"/>
      <c r="U5" t="inlineStr"/>
      <c r="V5" t="inlineStr"/>
      <c r="W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Tutor de alto rendimiento: guía socrática experta con diagnóstico preciso.</t>
        </is>
      </c>
    </row>
    <row r="6">
      <c r="A6" t="n">
        <v>15</v>
      </c>
      <c r="B6" t="n">
        <v>6</v>
      </c>
      <c r="C6" t="n">
        <v>2</v>
      </c>
      <c r="D6" t="n">
        <v>1</v>
      </c>
      <c r="E6" t="inlineStr">
        <is>
          <t>R1, R2, R3 y R4 porque R5 está cortocircuitada</t>
        </is>
      </c>
      <c r="F6" t="inlineStr">
        <is>
          <t>¿Cuál es el efecto sobre la resistencia equivalente cuando R5 está conectada y no hay un cortocircuito?</t>
        </is>
      </c>
      <c r="G6" t="n">
        <v>3</v>
      </c>
      <c r="H6" t="n">
        <v>3</v>
      </c>
      <c r="I6" t="n">
        <v>3</v>
      </c>
      <c r="J6" t="n">
        <v>5</v>
      </c>
      <c r="K6" t="n">
        <v>14</v>
      </c>
      <c r="L6" t="n">
        <v>1.151</v>
      </c>
      <c r="M6" t="n">
        <v>29</v>
      </c>
      <c r="N6" t="n">
        <v>52.11</v>
      </c>
      <c r="O6" t="inlineStr">
        <is>
          <t>AC1, AC6</t>
        </is>
      </c>
      <c r="P6" t="inlineStr">
        <is>
          <t>AC6</t>
        </is>
      </c>
      <c r="Q6" t="n">
        <v>1</v>
      </c>
      <c r="R6" t="n">
        <v>0.5</v>
      </c>
      <c r="S6" t="n">
        <v>0.667</v>
      </c>
      <c r="T6" t="inlineStr"/>
      <c r="U6" t="inlineStr"/>
      <c r="V6" t="inlineStr"/>
      <c r="W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7">
      <c r="A7" t="n">
        <v>16</v>
      </c>
      <c r="B7" t="n">
        <v>6</v>
      </c>
      <c r="C7" t="n">
        <v>3</v>
      </c>
      <c r="D7" t="n">
        <v>1</v>
      </c>
      <c r="E7" t="inlineStr">
        <is>
          <t>R1, R2, R3 y R4 porque por R5 no circula corriente</t>
        </is>
      </c>
      <c r="F7" t="inlineStr">
        <is>
          <t>¿Puede la resistencia de R5 influir en el flujo de corriente a través del circuito si efectivamente no hay un cortocircuito?</t>
        </is>
      </c>
      <c r="G7" t="n">
        <v>3</v>
      </c>
      <c r="H7" t="n">
        <v>4</v>
      </c>
      <c r="I7" t="n">
        <v>3</v>
      </c>
      <c r="J7" t="n">
        <v>5</v>
      </c>
      <c r="K7" t="n">
        <v>15</v>
      </c>
      <c r="L7" t="n">
        <v>0.87</v>
      </c>
      <c r="M7" t="n">
        <v>36</v>
      </c>
      <c r="N7" t="n">
        <v>68.93000000000001</v>
      </c>
      <c r="O7" t="inlineStr">
        <is>
          <t>AC1, AC6</t>
        </is>
      </c>
      <c r="P7" t="inlineStr">
        <is>
          <t>AC1, AC6</t>
        </is>
      </c>
      <c r="Q7" t="n">
        <v>1</v>
      </c>
      <c r="R7" t="n">
        <v>1</v>
      </c>
      <c r="S7" t="n">
        <v>1</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8">
      <c r="A8" t="n">
        <v>17</v>
      </c>
      <c r="B8" t="n">
        <v>7</v>
      </c>
      <c r="C8" t="n">
        <v>1</v>
      </c>
      <c r="D8" t="n">
        <v>1</v>
      </c>
      <c r="E8" t="inlineStr">
        <is>
          <t>R1, R2, R3 y R4 porque R5 se quita</t>
        </is>
      </c>
      <c r="F8" t="inlineStr">
        <is>
          <t>¿Qué sucede con una rama de un circuito eléctrico si no tiene camino para que circule corriente?</t>
        </is>
      </c>
      <c r="G8" t="n">
        <v>3</v>
      </c>
      <c r="H8" t="n">
        <v>3</v>
      </c>
      <c r="I8" t="n">
        <v>3</v>
      </c>
      <c r="J8" t="n">
        <v>5</v>
      </c>
      <c r="K8" t="n">
        <v>14</v>
      </c>
      <c r="L8" t="n">
        <v>0.819</v>
      </c>
      <c r="M8" t="n">
        <v>28</v>
      </c>
      <c r="N8" t="n">
        <v>73.22</v>
      </c>
      <c r="O8" t="inlineStr">
        <is>
          <t>AC1, AC6</t>
        </is>
      </c>
      <c r="P8" t="inlineStr">
        <is>
          <t>AC1, AC9</t>
        </is>
      </c>
      <c r="Q8" t="n">
        <v>0.5</v>
      </c>
      <c r="R8" t="n">
        <v>0.5</v>
      </c>
      <c r="S8" t="n">
        <v>0.5</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18</v>
      </c>
      <c r="B9" t="n">
        <v>7</v>
      </c>
      <c r="C9" t="n">
        <v>2</v>
      </c>
      <c r="D9" t="n">
        <v>1</v>
      </c>
      <c r="E9" t="inlineStr">
        <is>
          <t>R1, R3 y R4 porque R2 está en paralelo con la fuente y R5 corctocircuitada</t>
        </is>
      </c>
      <c r="F9" t="inlineStr">
        <is>
          <t>¿Qué ocurre cuando dos resistencias están conectadas entre una fuente y tierra, pero solo una de ellas está directamente alimentada por la fuente?</t>
        </is>
      </c>
      <c r="G9" t="n">
        <v>3</v>
      </c>
      <c r="H9" t="n">
        <v>2</v>
      </c>
      <c r="I9" t="n">
        <v>3</v>
      </c>
      <c r="J9" t="n">
        <v>5</v>
      </c>
      <c r="K9" t="n">
        <v>13</v>
      </c>
      <c r="L9" t="n">
        <v>0.755</v>
      </c>
      <c r="M9" t="n">
        <v>35</v>
      </c>
      <c r="N9" t="n">
        <v>79.5</v>
      </c>
      <c r="O9" t="inlineStr">
        <is>
          <t>AC1, AC6</t>
        </is>
      </c>
      <c r="P9" t="inlineStr">
        <is>
          <t>AC1, AC9</t>
        </is>
      </c>
      <c r="Q9" t="n">
        <v>0.5</v>
      </c>
      <c r="R9" t="n">
        <v>0.5</v>
      </c>
      <c r="S9" t="n">
        <v>0.5</v>
      </c>
      <c r="T9" t="inlineStr"/>
      <c r="U9" t="inlineStr"/>
      <c r="V9" t="inlineStr"/>
      <c r="W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0">
      <c r="A10" t="n">
        <v>19</v>
      </c>
      <c r="B10" t="n">
        <v>7</v>
      </c>
      <c r="C10" t="n">
        <v>3</v>
      </c>
      <c r="D10" t="n">
        <v>1</v>
      </c>
      <c r="E10" t="inlineStr">
        <is>
          <t>R1, R4 y R5 porque R2 se elimina y R3 también</t>
        </is>
      </c>
      <c r="F10" t="inlineStr">
        <is>
          <t>¿Puede un circuito eléctrico seguir funcionando correctamente si hay una conexión directa entre dos puntos?</t>
        </is>
      </c>
      <c r="G10" t="n">
        <v>3</v>
      </c>
      <c r="H10" t="n">
        <v>2</v>
      </c>
      <c r="I10" t="n">
        <v>3</v>
      </c>
      <c r="J10" t="n">
        <v>5</v>
      </c>
      <c r="K10" t="n">
        <v>13</v>
      </c>
      <c r="L10" t="n">
        <v>0.666</v>
      </c>
      <c r="M10" t="n">
        <v>24</v>
      </c>
      <c r="N10" t="n">
        <v>90.06999999999999</v>
      </c>
      <c r="O10" t="inlineStr">
        <is>
          <t>AC1, AC6</t>
        </is>
      </c>
      <c r="P10" t="inlineStr">
        <is>
          <t>AC9</t>
        </is>
      </c>
      <c r="Q10" t="n">
        <v>0</v>
      </c>
      <c r="R10" t="n">
        <v>0</v>
      </c>
      <c r="S10" t="n">
        <v>0</v>
      </c>
      <c r="T10" t="inlineStr"/>
      <c r="U10" t="inlineStr"/>
      <c r="V10" t="inlineStr"/>
      <c r="W10" t="inlineStr">
        <is>
          <t>Socraticidad 3/5 (Clarificación): Pregunta genérica: pide clarificación sin atacar la raíz del error. Precisión Conceptual 2/5 (Pobre): Respuesta genérica: sin vocabulario técnico ni diagnóstico del error. Buen desempeño general; hay margen de mejora en profundidad socrática.</t>
        </is>
      </c>
    </row>
    <row r="11">
      <c r="A11" t="n">
        <v>20</v>
      </c>
      <c r="B11" t="n">
        <v>8</v>
      </c>
      <c r="C11" t="n">
        <v>1</v>
      </c>
      <c r="D11" t="n">
        <v>1</v>
      </c>
      <c r="E11" t="inlineStr">
        <is>
          <t>R1 y R4 dado que R2 está en paralelo con la fuente, R3 en circuito abierto y R5 cortocircuitada</t>
        </is>
      </c>
      <c r="F11" t="inlineStr">
        <is>
          <t>¿Qué pasaría con el valor de R2 si fuese sustituido por una resistencia perfectamente conductora?</t>
        </is>
      </c>
      <c r="G11" t="n">
        <v>3</v>
      </c>
      <c r="H11" t="n">
        <v>2</v>
      </c>
      <c r="I11" t="n">
        <v>3</v>
      </c>
      <c r="J11" t="n">
        <v>5</v>
      </c>
      <c r="K11" t="n">
        <v>13</v>
      </c>
      <c r="L11" t="n">
        <v>0.961</v>
      </c>
      <c r="M11" t="n">
        <v>26</v>
      </c>
      <c r="N11" t="n">
        <v>62.46</v>
      </c>
      <c r="O11" t="inlineStr">
        <is>
          <t>AC1, AC6</t>
        </is>
      </c>
      <c r="P11" t="inlineStr"/>
      <c r="Q11" t="n">
        <v>1</v>
      </c>
      <c r="R11" t="n">
        <v>0</v>
      </c>
      <c r="S11" t="n">
        <v>0</v>
      </c>
      <c r="T11" t="inlineStr"/>
      <c r="U11" t="inlineStr"/>
      <c r="V11" t="inlineStr"/>
      <c r="W1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71</v>
      </c>
      <c r="B2" t="n">
        <v>29</v>
      </c>
      <c r="C2" t="n">
        <v>1</v>
      </c>
      <c r="D2" t="n">
        <v>1</v>
      </c>
      <c r="E2" t="inlineStr">
        <is>
          <t>R1 y R2 dado que las dos resistencia forman un divisor de tensión</t>
        </is>
      </c>
      <c r="F2" t="inlineStr">
        <is>
          <t>¿Cuál es el valor de la diferencia de potencial entre N2 y 0 si se desconecta R1 del circuito, dejando intactas las otras resistencias?.</t>
        </is>
      </c>
      <c r="G2" t="n">
        <v>1</v>
      </c>
      <c r="H2" t="n">
        <v>3</v>
      </c>
      <c r="I2" t="n">
        <v>4</v>
      </c>
      <c r="J2" t="n">
        <v>5</v>
      </c>
      <c r="K2" t="n">
        <v>13</v>
      </c>
      <c r="L2" t="n">
        <v>3.758</v>
      </c>
      <c r="M2" t="n">
        <v>38</v>
      </c>
      <c r="N2" t="n">
        <v>15.97</v>
      </c>
      <c r="O2" t="inlineStr">
        <is>
          <t>AC9</t>
        </is>
      </c>
      <c r="P2" t="inlineStr">
        <is>
          <t>AC1, AC9</t>
        </is>
      </c>
      <c r="Q2" t="n">
        <v>0.5</v>
      </c>
      <c r="R2" t="n">
        <v>1</v>
      </c>
      <c r="S2" t="n">
        <v>0.667</v>
      </c>
      <c r="T2" t="inlineStr"/>
      <c r="U2" t="inlineStr"/>
      <c r="V2" t="inlineStr"/>
      <c r="W2"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3">
      <c r="A3" t="n">
        <v>72</v>
      </c>
      <c r="B3" t="n">
        <v>29</v>
      </c>
      <c r="C3" t="n">
        <v>2</v>
      </c>
      <c r="D3" t="n">
        <v>1</v>
      </c>
      <c r="E3" t="inlineStr">
        <is>
          <t>R1 y R2 dado que se pide la tensión en R2</t>
        </is>
      </c>
      <c r="F3" t="inlineStr">
        <is>
          <t>¿Qué ocurre con el valor de la resistencia equivalente del divisor de tensión si se conecta R1 en paralelo a R3?.</t>
        </is>
      </c>
      <c r="G3" t="n">
        <v>1</v>
      </c>
      <c r="H3" t="n">
        <v>3</v>
      </c>
      <c r="I3" t="n">
        <v>4</v>
      </c>
      <c r="J3" t="n">
        <v>5</v>
      </c>
      <c r="K3" t="n">
        <v>13</v>
      </c>
      <c r="L3" t="n">
        <v>0.626</v>
      </c>
      <c r="M3" t="n">
        <v>33</v>
      </c>
      <c r="N3" t="n">
        <v>95.81999999999999</v>
      </c>
      <c r="O3" t="inlineStr">
        <is>
          <t>AC9</t>
        </is>
      </c>
      <c r="P3" t="inlineStr"/>
      <c r="Q3" t="n">
        <v>1</v>
      </c>
      <c r="R3" t="n">
        <v>0</v>
      </c>
      <c r="S3" t="n">
        <v>0</v>
      </c>
      <c r="T3" t="inlineStr"/>
      <c r="U3" t="inlineStr"/>
      <c r="V3" t="inlineStr"/>
      <c r="W3" t="inlineStr">
        <is>
          <t>Socraticidad 1/5 (Instructivo): No termina en pregunta; el tutor es instructivo. Precisión Conceptual 3/5 (Suficiente): Suficiente: identifica que hay un error y usa conceptos correctos, pero el diagnóstico es algo vago. Buen desempeño general; hay margen de mejora en profundidad socrática.</t>
        </is>
      </c>
    </row>
    <row r="4">
      <c r="A4" t="n">
        <v>73</v>
      </c>
      <c r="B4" t="n">
        <v>29</v>
      </c>
      <c r="C4" t="n">
        <v>3</v>
      </c>
      <c r="D4" t="n">
        <v>1</v>
      </c>
      <c r="E4" t="inlineStr">
        <is>
          <t>R1 y R2 por identificar un divisor de tensión</t>
        </is>
      </c>
      <c r="F4" t="inlineStr">
        <is>
          <t>¿Cuál es el valor de R3 en comparación con R1 y R2 para mantener la proporción del divisor de tensión?.</t>
        </is>
      </c>
      <c r="G4" t="n">
        <v>1</v>
      </c>
      <c r="H4" t="n">
        <v>2</v>
      </c>
      <c r="I4" t="n">
        <v>5</v>
      </c>
      <c r="J4" t="n">
        <v>5</v>
      </c>
      <c r="K4" t="n">
        <v>13</v>
      </c>
      <c r="L4" t="n">
        <v>0.636</v>
      </c>
      <c r="M4" t="n">
        <v>31</v>
      </c>
      <c r="N4" t="n">
        <v>94.29000000000001</v>
      </c>
      <c r="O4" t="inlineStr">
        <is>
          <t>AC9</t>
        </is>
      </c>
      <c r="P4" t="inlineStr"/>
      <c r="Q4" t="n">
        <v>1</v>
      </c>
      <c r="R4" t="n">
        <v>0</v>
      </c>
      <c r="S4" t="n">
        <v>0</v>
      </c>
      <c r="T4" t="inlineStr"/>
      <c r="U4" t="inlineStr"/>
      <c r="V4" t="inlineStr"/>
      <c r="W4" t="inlineStr">
        <is>
          <t>Socraticidad 1/5 (Instructivo): No termina en pregunta; el tutor es instructivo. Precisión Conceptual 2/5 (Pobre): Pobre: responde de forma genérica sin diagnosticar el error conceptual. Buen desempeño general; hay margen de mejora en profundidad socrática.</t>
        </is>
      </c>
    </row>
    <row r="5">
      <c r="A5" t="n">
        <v>74</v>
      </c>
      <c r="B5" t="n">
        <v>30</v>
      </c>
      <c r="C5" t="n">
        <v>1</v>
      </c>
      <c r="D5" t="n">
        <v>1</v>
      </c>
      <c r="E5" t="inlineStr">
        <is>
          <t>R1 y R2 hacen un divisor de tensión</t>
        </is>
      </c>
      <c r="F5" t="inlineStr">
        <is>
          <t>¿Y qué sucede con las resistencias entre N2 y 0 cuando R1 y R2 están en serie, no en paralelo?</t>
        </is>
      </c>
      <c r="G5" t="n">
        <v>3</v>
      </c>
      <c r="H5" t="n">
        <v>3</v>
      </c>
      <c r="I5" t="n">
        <v>5</v>
      </c>
      <c r="J5" t="n">
        <v>5</v>
      </c>
      <c r="K5" t="n">
        <v>16</v>
      </c>
      <c r="L5" t="n">
        <v>0.799</v>
      </c>
      <c r="M5" t="n">
        <v>32</v>
      </c>
      <c r="N5" t="n">
        <v>75.06999999999999</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75</v>
      </c>
      <c r="B6" t="n">
        <v>30</v>
      </c>
      <c r="C6" t="n">
        <v>2</v>
      </c>
      <c r="D6" t="n">
        <v>1</v>
      </c>
      <c r="E6" t="inlineStr">
        <is>
          <t>R1, R2, R3 y R4 porque R5 está cortocircuitada</t>
        </is>
      </c>
      <c r="F6" t="inlineStr">
        <is>
          <t>¿Cómo sabes con certeza que R5 está cortocircuitada y no es simplemente un interruptor abierto o una conexión rotura?</t>
        </is>
      </c>
      <c r="G6" t="n">
        <v>1</v>
      </c>
      <c r="H6" t="n">
        <v>2</v>
      </c>
      <c r="I6" t="n">
        <v>3</v>
      </c>
      <c r="J6" t="n">
        <v>5</v>
      </c>
      <c r="K6" t="n">
        <v>11</v>
      </c>
      <c r="L6" t="n">
        <v>0.65</v>
      </c>
      <c r="M6" t="n">
        <v>32</v>
      </c>
      <c r="N6" t="n">
        <v>92.31999999999999</v>
      </c>
      <c r="O6" t="inlineStr">
        <is>
          <t>AC1, AC6</t>
        </is>
      </c>
      <c r="P6" t="inlineStr">
        <is>
          <t>AC1</t>
        </is>
      </c>
      <c r="Q6" t="n">
        <v>1</v>
      </c>
      <c r="R6" t="n">
        <v>0.5</v>
      </c>
      <c r="S6" t="n">
        <v>0.667</v>
      </c>
      <c r="T6" t="inlineStr"/>
      <c r="U6" t="inlineStr"/>
      <c r="V6" t="inlineStr"/>
      <c r="W6" t="inlineStr">
        <is>
          <t>Socraticidad 1/5 (Instructivo): Da la respuesta directamente antes de preguntar. Precisión Conceptual 2/5 (Pobre): Pobre: responde de forma genérica sin diagnosticar el error conceptual. Desempeño aceptable; necesita mejorar precisión o metodología socrática.</t>
        </is>
      </c>
    </row>
    <row r="7">
      <c r="A7" t="n">
        <v>76</v>
      </c>
      <c r="B7" t="n">
        <v>30</v>
      </c>
      <c r="C7" t="n">
        <v>3</v>
      </c>
      <c r="D7" t="n">
        <v>1</v>
      </c>
      <c r="E7" t="inlineStr">
        <is>
          <t>R1, R2, R3 y R4 porque por R5 no circula corriente</t>
        </is>
      </c>
      <c r="F7" t="inlineStr">
        <is>
          <t>¿Puedes explicarme cómo la presencia o ausencia de una corriente afecta a los nodos en serie?</t>
        </is>
      </c>
      <c r="G7" t="n">
        <v>3</v>
      </c>
      <c r="H7" t="n">
        <v>3</v>
      </c>
      <c r="I7" t="n">
        <v>3</v>
      </c>
      <c r="J7" t="n">
        <v>5</v>
      </c>
      <c r="K7" t="n">
        <v>14</v>
      </c>
      <c r="L7" t="n">
        <v>0.582</v>
      </c>
      <c r="M7" t="n">
        <v>28</v>
      </c>
      <c r="N7" t="n">
        <v>103.05</v>
      </c>
      <c r="O7" t="inlineStr">
        <is>
          <t>AC1, AC6</t>
        </is>
      </c>
      <c r="P7" t="inlineStr">
        <is>
          <t>AC1</t>
        </is>
      </c>
      <c r="Q7" t="n">
        <v>1</v>
      </c>
      <c r="R7" t="n">
        <v>0.5</v>
      </c>
      <c r="S7" t="n">
        <v>0.667</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77</v>
      </c>
      <c r="B8" t="n">
        <v>31</v>
      </c>
      <c r="C8" t="n">
        <v>1</v>
      </c>
      <c r="D8" t="n">
        <v>1</v>
      </c>
      <c r="E8" t="inlineStr">
        <is>
          <t>R1, R2, R3 y R4 porque R5 se quita</t>
        </is>
      </c>
      <c r="F8" t="inlineStr">
        <is>
          <t>¿Podría haber corriente circulando por una rama interrumpida en el circuito?.</t>
        </is>
      </c>
      <c r="G8" t="n">
        <v>1</v>
      </c>
      <c r="H8" t="n">
        <v>2</v>
      </c>
      <c r="I8" t="n">
        <v>3</v>
      </c>
      <c r="J8" t="n">
        <v>5</v>
      </c>
      <c r="K8" t="n">
        <v>11</v>
      </c>
      <c r="L8" t="n">
        <v>1.006</v>
      </c>
      <c r="M8" t="n">
        <v>25</v>
      </c>
      <c r="N8" t="n">
        <v>59.64</v>
      </c>
      <c r="O8" t="inlineStr">
        <is>
          <t>AC1, AC6</t>
        </is>
      </c>
      <c r="P8" t="inlineStr">
        <is>
          <t>AC1</t>
        </is>
      </c>
      <c r="Q8" t="n">
        <v>1</v>
      </c>
      <c r="R8" t="n">
        <v>0.5</v>
      </c>
      <c r="S8" t="n">
        <v>0.667</v>
      </c>
      <c r="T8" t="inlineStr"/>
      <c r="U8" t="inlineStr"/>
      <c r="V8" t="inlineStr"/>
      <c r="W8"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9">
      <c r="A9" t="n">
        <v>78</v>
      </c>
      <c r="B9" t="n">
        <v>31</v>
      </c>
      <c r="C9" t="n">
        <v>2</v>
      </c>
      <c r="D9" t="n">
        <v>1</v>
      </c>
      <c r="E9" t="inlineStr">
        <is>
          <t>R1, R3 y R4 porque R2 está en paralelo con la fuente y R5 corctocircuitada</t>
        </is>
      </c>
      <c r="F9" t="inlineStr">
        <is>
          <t>¿Cuál es el efecto de conectar una resistencia en paralelo a la fuente en un circuito?.</t>
        </is>
      </c>
      <c r="G9" t="n">
        <v>1</v>
      </c>
      <c r="H9" t="n">
        <v>3</v>
      </c>
      <c r="I9" t="n">
        <v>3</v>
      </c>
      <c r="J9" t="n">
        <v>5</v>
      </c>
      <c r="K9" t="n">
        <v>12</v>
      </c>
      <c r="L9" t="n">
        <v>0.526</v>
      </c>
      <c r="M9" t="n">
        <v>26</v>
      </c>
      <c r="N9" t="n">
        <v>114.07</v>
      </c>
      <c r="O9" t="inlineStr">
        <is>
          <t>AC1, AC6</t>
        </is>
      </c>
      <c r="P9" t="inlineStr"/>
      <c r="Q9" t="n">
        <v>1</v>
      </c>
      <c r="R9" t="n">
        <v>0</v>
      </c>
      <c r="S9" t="n">
        <v>0</v>
      </c>
      <c r="T9" t="inlineStr"/>
      <c r="U9" t="inlineStr"/>
      <c r="V9" t="inlineStr"/>
      <c r="W9"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10">
      <c r="A10" t="n">
        <v>79</v>
      </c>
      <c r="B10" t="n">
        <v>31</v>
      </c>
      <c r="C10" t="n">
        <v>3</v>
      </c>
      <c r="D10" t="n">
        <v>1</v>
      </c>
      <c r="E10" t="inlineStr">
        <is>
          <t>R1, R4 y R5 porque R2 se elimina y R3 también</t>
        </is>
      </c>
      <c r="F10" t="inlineStr">
        <is>
          <t>¿Qué ocurriría si la resistencia en paralelo con la fuente no fuera R2 sino otra resistencia del circuito?.</t>
        </is>
      </c>
      <c r="G10" t="n">
        <v>1</v>
      </c>
      <c r="H10" t="n">
        <v>3</v>
      </c>
      <c r="I10" t="n">
        <v>3</v>
      </c>
      <c r="J10" t="n">
        <v>5</v>
      </c>
      <c r="K10" t="n">
        <v>12</v>
      </c>
      <c r="L10" t="n">
        <v>0.594</v>
      </c>
      <c r="M10" t="n">
        <v>31</v>
      </c>
      <c r="N10" t="n">
        <v>101.03</v>
      </c>
      <c r="O10" t="inlineStr">
        <is>
          <t>AC1, AC6</t>
        </is>
      </c>
      <c r="P10" t="inlineStr"/>
      <c r="Q10" t="n">
        <v>1</v>
      </c>
      <c r="R10" t="n">
        <v>0</v>
      </c>
      <c r="S10" t="n">
        <v>0</v>
      </c>
      <c r="T10" t="inlineStr"/>
      <c r="U10" t="inlineStr"/>
      <c r="V10" t="inlineStr"/>
      <c r="W10"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11">
      <c r="A11" t="n">
        <v>80</v>
      </c>
      <c r="B11" t="n">
        <v>32</v>
      </c>
      <c r="C11" t="n">
        <v>1</v>
      </c>
      <c r="D11" t="n">
        <v>1</v>
      </c>
      <c r="E11" t="inlineStr">
        <is>
          <t>R1 y R4 dado que R2 está en paralelo con la fuente, R3 en circuito abierto y R5 cortocircuitada</t>
        </is>
      </c>
      <c r="F11" t="inlineStr">
        <is>
          <t>¿Puedes explicar por qué piensas que R2 está en paralelo con la fuente, cuando no hay nada entre el nudo N1 y la fuente?</t>
        </is>
      </c>
      <c r="G11" t="n">
        <v>3</v>
      </c>
      <c r="H11" t="n">
        <v>2</v>
      </c>
      <c r="I11" t="n">
        <v>3</v>
      </c>
      <c r="J11" t="n">
        <v>5</v>
      </c>
      <c r="K11" t="n">
        <v>13</v>
      </c>
      <c r="L11" t="n">
        <v>0.735</v>
      </c>
      <c r="M11" t="n">
        <v>40</v>
      </c>
      <c r="N11" t="n">
        <v>81.64</v>
      </c>
      <c r="O11" t="inlineStr">
        <is>
          <t>AC1, AC6</t>
        </is>
      </c>
      <c r="P11" t="inlineStr"/>
      <c r="Q11" t="n">
        <v>1</v>
      </c>
      <c r="R11" t="n">
        <v>0</v>
      </c>
      <c r="S11" t="n">
        <v>0</v>
      </c>
      <c r="T11" t="inlineStr"/>
      <c r="U11" t="inlineStr"/>
      <c r="V11" t="inlineStr"/>
      <c r="W11" t="inlineStr">
        <is>
          <t>Socraticidad 3/5 (Clarificación): Clarificación: pide que el alumno explique su razonamiento.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81</v>
      </c>
      <c r="B2" t="n">
        <v>33</v>
      </c>
      <c r="C2" t="n">
        <v>1</v>
      </c>
      <c r="D2" t="n">
        <v>1</v>
      </c>
      <c r="E2" t="inlineStr">
        <is>
          <t>R1 y R2 dado que las dos resistencia forman un divisor de tensión</t>
        </is>
      </c>
      <c r="F2" t="inlineStr">
        <is>
          <t>¿Cuál es el componente del camino entre N2 y tierra, a menos que se forme un cortocircuito en esa rama?</t>
        </is>
      </c>
      <c r="G2" t="n">
        <v>3</v>
      </c>
      <c r="H2" t="n">
        <v>3</v>
      </c>
      <c r="I2" t="n">
        <v>3</v>
      </c>
      <c r="J2" t="n">
        <v>5</v>
      </c>
      <c r="K2" t="n">
        <v>14</v>
      </c>
      <c r="L2" t="n">
        <v>22.243</v>
      </c>
      <c r="M2" t="n">
        <v>31</v>
      </c>
      <c r="N2" t="n">
        <v>2.7</v>
      </c>
      <c r="O2" t="inlineStr">
        <is>
          <t>AC9</t>
        </is>
      </c>
      <c r="P2" t="inlineStr">
        <is>
          <t>AC1, AC6, AC9</t>
        </is>
      </c>
      <c r="Q2" t="n">
        <v>0.333</v>
      </c>
      <c r="R2" t="n">
        <v>1</v>
      </c>
      <c r="S2" t="n">
        <v>0.5</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82</v>
      </c>
      <c r="B3" t="n">
        <v>33</v>
      </c>
      <c r="C3" t="n">
        <v>2</v>
      </c>
      <c r="D3" t="n">
        <v>1</v>
      </c>
      <c r="E3" t="inlineStr">
        <is>
          <t>R1 y R2 dado que se pide la tensión en R2</t>
        </is>
      </c>
      <c r="F3" t="inlineStr">
        <is>
          <t>¿Qué sucede con el voltaje aplicado a R1 cuando se conecta un interruptor que abre la circuitería entre R1 y N2?</t>
        </is>
      </c>
      <c r="G3" t="n">
        <v>4</v>
      </c>
      <c r="H3" t="n">
        <v>3</v>
      </c>
      <c r="I3" t="n">
        <v>4</v>
      </c>
      <c r="J3" t="n">
        <v>5</v>
      </c>
      <c r="K3" t="n">
        <v>16</v>
      </c>
      <c r="L3" t="n">
        <v>0.54</v>
      </c>
      <c r="M3" t="n">
        <v>35</v>
      </c>
      <c r="N3" t="n">
        <v>111.2</v>
      </c>
      <c r="O3" t="inlineStr">
        <is>
          <t>AC9</t>
        </is>
      </c>
      <c r="P3" t="inlineStr">
        <is>
          <t>AC1</t>
        </is>
      </c>
      <c r="Q3" t="n">
        <v>0</v>
      </c>
      <c r="R3" t="n">
        <v>0</v>
      </c>
      <c r="S3" t="n">
        <v>0</v>
      </c>
      <c r="T3" t="inlineStr"/>
      <c r="U3" t="inlineStr"/>
      <c r="V3" t="inlineStr"/>
      <c r="W3"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4">
      <c r="A4" t="n">
        <v>83</v>
      </c>
      <c r="B4" t="n">
        <v>33</v>
      </c>
      <c r="C4" t="n">
        <v>3</v>
      </c>
      <c r="D4" t="n">
        <v>1</v>
      </c>
      <c r="E4" t="inlineStr">
        <is>
          <t>R1 y R2 por identificar un divisor de tensión</t>
        </is>
      </c>
      <c r="F4" t="inlineStr">
        <is>
          <t>¿Qué sucede con el voltaje en R1 y N1 cuando se mide la tensión en la punta del interruptor, pero no hay conexión entre N2 y tierra?</t>
        </is>
      </c>
      <c r="G4" t="n">
        <v>4</v>
      </c>
      <c r="H4" t="n">
        <v>3</v>
      </c>
      <c r="I4" t="n">
        <v>4</v>
      </c>
      <c r="J4" t="n">
        <v>5</v>
      </c>
      <c r="K4" t="n">
        <v>16</v>
      </c>
      <c r="L4" t="n">
        <v>0.572</v>
      </c>
      <c r="M4" t="n">
        <v>41</v>
      </c>
      <c r="N4" t="n">
        <v>104.95</v>
      </c>
      <c r="O4" t="inlineStr">
        <is>
          <t>AC9</t>
        </is>
      </c>
      <c r="P4" t="inlineStr">
        <is>
          <t>AC1, AC9</t>
        </is>
      </c>
      <c r="Q4" t="n">
        <v>0.5</v>
      </c>
      <c r="R4" t="n">
        <v>1</v>
      </c>
      <c r="S4" t="n">
        <v>0.667</v>
      </c>
      <c r="T4" t="inlineStr"/>
      <c r="U4" t="inlineStr"/>
      <c r="V4" t="inlineStr"/>
      <c r="W4"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5">
      <c r="A5" t="n">
        <v>84</v>
      </c>
      <c r="B5" t="n">
        <v>34</v>
      </c>
      <c r="C5" t="n">
        <v>1</v>
      </c>
      <c r="D5" t="n">
        <v>1</v>
      </c>
      <c r="E5" t="inlineStr">
        <is>
          <t>R1 y R2 hacen un divisor de tensión</t>
        </is>
      </c>
      <c r="F5" t="inlineStr">
        <is>
          <t>¿Qué pasaría si R1 o R2 no existieran en el circuito, y ¿cómo afectaría eso a la diferencia de potencial entre N2 y 0?</t>
        </is>
      </c>
      <c r="G5" t="n">
        <v>3</v>
      </c>
      <c r="H5" t="n">
        <v>2</v>
      </c>
      <c r="I5" t="n">
        <v>5</v>
      </c>
      <c r="J5" t="n">
        <v>5</v>
      </c>
      <c r="K5" t="n">
        <v>15</v>
      </c>
      <c r="L5" t="n">
        <v>0.654</v>
      </c>
      <c r="M5" t="n">
        <v>39</v>
      </c>
      <c r="N5" t="n">
        <v>91.69</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6">
      <c r="A6" t="n">
        <v>85</v>
      </c>
      <c r="B6" t="n">
        <v>34</v>
      </c>
      <c r="C6" t="n">
        <v>2</v>
      </c>
      <c r="D6" t="n">
        <v>1</v>
      </c>
      <c r="E6" t="inlineStr">
        <is>
          <t>R1, R2, R3 y R4 porque R5 está cortocircuitada</t>
        </is>
      </c>
      <c r="F6" t="inlineStr">
        <is>
          <t>¿Qué pasaría si R5 no estuviera cortocircuitada, y cómo afectaría eso a la capacidad de las resistencias para dividir la tensión?</t>
        </is>
      </c>
      <c r="G6" t="n">
        <v>3</v>
      </c>
      <c r="H6" t="n">
        <v>3</v>
      </c>
      <c r="I6" t="n">
        <v>3</v>
      </c>
      <c r="J6" t="n">
        <v>5</v>
      </c>
      <c r="K6" t="n">
        <v>14</v>
      </c>
      <c r="L6" t="n">
        <v>0.757</v>
      </c>
      <c r="M6" t="n">
        <v>36</v>
      </c>
      <c r="N6" t="n">
        <v>79.22</v>
      </c>
      <c r="O6" t="inlineStr">
        <is>
          <t>AC1, AC6</t>
        </is>
      </c>
      <c r="P6" t="inlineStr">
        <is>
          <t>AC9</t>
        </is>
      </c>
      <c r="Q6" t="n">
        <v>0</v>
      </c>
      <c r="R6" t="n">
        <v>0</v>
      </c>
      <c r="S6" t="n">
        <v>0</v>
      </c>
      <c r="T6" t="inlineStr"/>
      <c r="U6" t="inlineStr"/>
      <c r="V6" t="inlineStr"/>
      <c r="W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7">
      <c r="A7" t="n">
        <v>86</v>
      </c>
      <c r="B7" t="n">
        <v>34</v>
      </c>
      <c r="C7" t="n">
        <v>3</v>
      </c>
      <c r="D7" t="n">
        <v>1</v>
      </c>
      <c r="E7" t="inlineStr">
        <is>
          <t>R1, R2, R3 y R4 porque por R5 no circula corriente</t>
        </is>
      </c>
      <c r="F7" t="inlineStr">
        <is>
          <t>¿Cuál es el resultado de una resistencia cortocircuitada en un divisor de tensión, y cómo afectaría eso a las otras resistencias?</t>
        </is>
      </c>
      <c r="G7" t="n">
        <v>3</v>
      </c>
      <c r="H7" t="n">
        <v>3</v>
      </c>
      <c r="I7" t="n">
        <v>3</v>
      </c>
      <c r="J7" t="n">
        <v>5</v>
      </c>
      <c r="K7" t="n">
        <v>14</v>
      </c>
      <c r="L7" t="n">
        <v>0.622</v>
      </c>
      <c r="M7" t="n">
        <v>33</v>
      </c>
      <c r="N7" t="n">
        <v>96.44</v>
      </c>
      <c r="O7" t="inlineStr">
        <is>
          <t>AC1, AC6</t>
        </is>
      </c>
      <c r="P7" t="inlineStr">
        <is>
          <t>AC9</t>
        </is>
      </c>
      <c r="Q7" t="n">
        <v>0</v>
      </c>
      <c r="R7" t="n">
        <v>0</v>
      </c>
      <c r="S7" t="n">
        <v>0</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87</v>
      </c>
      <c r="B8" t="n">
        <v>35</v>
      </c>
      <c r="C8" t="n">
        <v>1</v>
      </c>
      <c r="D8" t="n">
        <v>1</v>
      </c>
      <c r="E8" t="inlineStr">
        <is>
          <t>R1, R2, R3 y R4 porque R5 se quita</t>
        </is>
      </c>
      <c r="F8" t="inlineStr">
        <is>
          <t>¿Qué sucede a las resistencias R3 y R4 cuando el interruptor entre N2 y N3 está abierto?</t>
        </is>
      </c>
      <c r="G8" t="n">
        <v>3</v>
      </c>
      <c r="H8" t="n">
        <v>3</v>
      </c>
      <c r="I8" t="n">
        <v>3</v>
      </c>
      <c r="J8" t="n">
        <v>5</v>
      </c>
      <c r="K8" t="n">
        <v>14</v>
      </c>
      <c r="L8" t="n">
        <v>0.852</v>
      </c>
      <c r="M8" t="n">
        <v>28</v>
      </c>
      <c r="N8" t="n">
        <v>70.45999999999999</v>
      </c>
      <c r="O8" t="inlineStr">
        <is>
          <t>AC1, AC6</t>
        </is>
      </c>
      <c r="P8" t="inlineStr">
        <is>
          <t>AC1, AC9</t>
        </is>
      </c>
      <c r="Q8" t="n">
        <v>0.5</v>
      </c>
      <c r="R8" t="n">
        <v>0.5</v>
      </c>
      <c r="S8" t="n">
        <v>0.5</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88</v>
      </c>
      <c r="B9" t="n">
        <v>35</v>
      </c>
      <c r="C9" t="n">
        <v>2</v>
      </c>
      <c r="D9" t="n">
        <v>1</v>
      </c>
      <c r="E9" t="inlineStr">
        <is>
          <t>R1, R3 y R4 porque R2 está en paralelo con la fuente y R5 corctocircuitada</t>
        </is>
      </c>
      <c r="F9" t="inlineStr">
        <is>
          <t>¿Cuál es el efecto de cortocircuitar R5 en el circuito cuando se supone que R1 y R4 están en serie?</t>
        </is>
      </c>
      <c r="G9" t="n">
        <v>3</v>
      </c>
      <c r="H9" t="n">
        <v>2</v>
      </c>
      <c r="I9" t="n">
        <v>4</v>
      </c>
      <c r="J9" t="n">
        <v>5</v>
      </c>
      <c r="K9" t="n">
        <v>14</v>
      </c>
      <c r="L9" t="n">
        <v>0.586</v>
      </c>
      <c r="M9" t="n">
        <v>33</v>
      </c>
      <c r="N9" t="n">
        <v>102.35</v>
      </c>
      <c r="O9" t="inlineStr">
        <is>
          <t>AC1, AC6</t>
        </is>
      </c>
      <c r="P9" t="inlineStr"/>
      <c r="Q9" t="n">
        <v>1</v>
      </c>
      <c r="R9" t="n">
        <v>0</v>
      </c>
      <c r="S9" t="n">
        <v>0</v>
      </c>
      <c r="T9" t="inlineStr"/>
      <c r="U9" t="inlineStr"/>
      <c r="V9" t="inlineStr"/>
      <c r="W9"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0">
      <c r="A10" t="n">
        <v>89</v>
      </c>
      <c r="B10" t="n">
        <v>35</v>
      </c>
      <c r="C10" t="n">
        <v>3</v>
      </c>
      <c r="D10" t="n">
        <v>1</v>
      </c>
      <c r="E10" t="inlineStr">
        <is>
          <t>R1, R4 y R5 porque R2 se elimina y R3 también</t>
        </is>
      </c>
      <c r="F10" t="inlineStr">
        <is>
          <t>¿Qué pasaría si el interruptor entre N1 y N4 se abre mientras R5 está cortocircuitada con R3?</t>
        </is>
      </c>
      <c r="G10" t="n">
        <v>3</v>
      </c>
      <c r="H10" t="n">
        <v>2</v>
      </c>
      <c r="I10" t="n">
        <v>3</v>
      </c>
      <c r="J10" t="n">
        <v>5</v>
      </c>
      <c r="K10" t="n">
        <v>13</v>
      </c>
      <c r="L10" t="n">
        <v>0.57</v>
      </c>
      <c r="M10" t="n">
        <v>29</v>
      </c>
      <c r="N10" t="n">
        <v>105.28</v>
      </c>
      <c r="O10" t="inlineStr">
        <is>
          <t>AC1, AC6</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11">
      <c r="A11" t="n">
        <v>90</v>
      </c>
      <c r="B11" t="n">
        <v>36</v>
      </c>
      <c r="C11" t="n">
        <v>1</v>
      </c>
      <c r="D11" t="n">
        <v>1</v>
      </c>
      <c r="E11" t="inlineStr">
        <is>
          <t>R1 y R4 dado que R2 está en paralelo con la fuente, R3 en circuito abierto y R5 cortocircuitada</t>
        </is>
      </c>
      <c r="F11" t="inlineStr">
        <is>
          <t>¿Qué resistencias contribuyen a la diferencia de potencial entre N2 y 0, considerando que R3 está en circuito abierto y R5 está cortocircuitada?</t>
        </is>
      </c>
      <c r="G11" t="n">
        <v>3</v>
      </c>
      <c r="H11" t="n">
        <v>4</v>
      </c>
      <c r="I11" t="n">
        <v>3</v>
      </c>
      <c r="J11" t="n">
        <v>5</v>
      </c>
      <c r="K11" t="n">
        <v>15</v>
      </c>
      <c r="L11" t="n">
        <v>0.626</v>
      </c>
      <c r="M11" t="n">
        <v>40</v>
      </c>
      <c r="N11" t="n">
        <v>95.8</v>
      </c>
      <c r="O11" t="inlineStr">
        <is>
          <t>AC1, AC6</t>
        </is>
      </c>
      <c r="P11" t="inlineStr">
        <is>
          <t>AC1, AC9</t>
        </is>
      </c>
      <c r="Q11" t="n">
        <v>0.5</v>
      </c>
      <c r="R11" t="n">
        <v>0.5</v>
      </c>
      <c r="S11" t="n">
        <v>0.5</v>
      </c>
      <c r="T11" t="inlineStr"/>
      <c r="U11" t="inlineStr"/>
      <c r="V11" t="inlineStr"/>
      <c r="W1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161</v>
      </c>
      <c r="B2" t="n">
        <v>65</v>
      </c>
      <c r="C2" t="n">
        <v>1</v>
      </c>
      <c r="D2" t="n">
        <v>1</v>
      </c>
      <c r="E2" t="inlineStr">
        <is>
          <t>R1 y R2 dado que las dos resistencia forman un divisor de tensión</t>
        </is>
      </c>
      <c r="F2" t="inlineStr">
        <is>
          <t>¿Consideraste todas las resistencias que se encuentran en el camino eléctrico desde el nodo N2 hasta el nodo de tierra, o solo te enfocaste en las resistencias R1 y R2 que forman el divisor de tensión?</t>
        </is>
      </c>
      <c r="G2" t="n">
        <v>3</v>
      </c>
      <c r="H2" t="n">
        <v>5</v>
      </c>
      <c r="I2" t="n">
        <v>5</v>
      </c>
      <c r="J2" t="n">
        <v>5</v>
      </c>
      <c r="K2" t="n">
        <v>18</v>
      </c>
      <c r="L2" t="n">
        <v>3.182</v>
      </c>
      <c r="M2" t="n">
        <v>54</v>
      </c>
      <c r="N2" t="n">
        <v>18.86</v>
      </c>
      <c r="O2" t="inlineStr">
        <is>
          <t>AC9</t>
        </is>
      </c>
      <c r="P2" t="inlineStr">
        <is>
          <t>AC9</t>
        </is>
      </c>
      <c r="Q2" t="n">
        <v>1</v>
      </c>
      <c r="R2" t="n">
        <v>1</v>
      </c>
      <c r="S2" t="n">
        <v>1</v>
      </c>
      <c r="T2" t="inlineStr"/>
      <c r="U2" t="inlineStr"/>
      <c r="V2" t="inlineStr"/>
      <c r="W2"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3">
      <c r="A3" t="n">
        <v>162</v>
      </c>
      <c r="B3" t="n">
        <v>65</v>
      </c>
      <c r="C3" t="n">
        <v>2</v>
      </c>
      <c r="D3" t="n">
        <v>1</v>
      </c>
      <c r="E3" t="inlineStr">
        <is>
          <t>R1 y R2 dado que se pide la tensión en R2</t>
        </is>
      </c>
      <c r="F3" t="inlineStr">
        <is>
          <t>¿La tensión en R2 se puede determinar solo conociendo los valores de R1 y R2, o también depende de la fuente de alimentación y la configuración del circuito?</t>
        </is>
      </c>
      <c r="G3" t="n">
        <v>3</v>
      </c>
      <c r="H3" t="n">
        <v>2</v>
      </c>
      <c r="I3" t="n">
        <v>5</v>
      </c>
      <c r="J3" t="n">
        <v>5</v>
      </c>
      <c r="K3" t="n">
        <v>15</v>
      </c>
      <c r="L3" t="n">
        <v>3.277</v>
      </c>
      <c r="M3" t="n">
        <v>44</v>
      </c>
      <c r="N3" t="n">
        <v>18.31</v>
      </c>
      <c r="O3" t="inlineStr">
        <is>
          <t>AC9</t>
        </is>
      </c>
      <c r="P3" t="inlineStr"/>
      <c r="Q3" t="n">
        <v>1</v>
      </c>
      <c r="R3" t="n">
        <v>0</v>
      </c>
      <c r="S3" t="n">
        <v>0</v>
      </c>
      <c r="T3" t="inlineStr"/>
      <c r="U3" t="inlineStr"/>
      <c r="V3" t="inlineStr"/>
      <c r="W3"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4">
      <c r="A4" t="n">
        <v>163</v>
      </c>
      <c r="B4" t="n">
        <v>65</v>
      </c>
      <c r="C4" t="n">
        <v>3</v>
      </c>
      <c r="D4" t="n">
        <v>1</v>
      </c>
      <c r="E4" t="inlineStr">
        <is>
          <t>R1 y R2 por identificar un divisor de tensión</t>
        </is>
      </c>
      <c r="F4" t="inlineStr">
        <is>
          <t>¿Estás seguro de que la relación entre R1 y R2 es la única consideración necesaria para determinar la tensión en R2 en un divisor de tensión?</t>
        </is>
      </c>
      <c r="G4" t="n">
        <v>3</v>
      </c>
      <c r="H4" t="n">
        <v>2</v>
      </c>
      <c r="I4" t="n">
        <v>5</v>
      </c>
      <c r="J4" t="n">
        <v>5</v>
      </c>
      <c r="K4" t="n">
        <v>15</v>
      </c>
      <c r="L4" t="n">
        <v>2.972</v>
      </c>
      <c r="M4" t="n">
        <v>38</v>
      </c>
      <c r="N4" t="n">
        <v>20.19</v>
      </c>
      <c r="O4" t="inlineStr">
        <is>
          <t>AC9</t>
        </is>
      </c>
      <c r="P4" t="inlineStr"/>
      <c r="Q4" t="n">
        <v>1</v>
      </c>
      <c r="R4" t="n">
        <v>0</v>
      </c>
      <c r="S4" t="n">
        <v>0</v>
      </c>
      <c r="T4" t="inlineStr"/>
      <c r="U4" t="inlineStr"/>
      <c r="V4" t="inlineStr"/>
      <c r="W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5">
      <c r="A5" t="n">
        <v>164</v>
      </c>
      <c r="B5" t="n">
        <v>66</v>
      </c>
      <c r="C5" t="n">
        <v>1</v>
      </c>
      <c r="D5" t="n">
        <v>1</v>
      </c>
      <c r="E5" t="inlineStr">
        <is>
          <t>R1 y R2 hacen un divisor de tensión</t>
        </is>
      </c>
      <c r="F5" t="inlineStr">
        <is>
          <t>¿Consideraste todas las resistencias que se encuentran en el camino eléctrico desde el nodo N2 hasta tierra, o solo te enfocaste en las resistencias R1 y R2 que mencionas como divisor de tensión?</t>
        </is>
      </c>
      <c r="G5" t="n">
        <v>3</v>
      </c>
      <c r="H5" t="n">
        <v>5</v>
      </c>
      <c r="I5" t="n">
        <v>4</v>
      </c>
      <c r="J5" t="n">
        <v>5</v>
      </c>
      <c r="K5" t="n">
        <v>17</v>
      </c>
      <c r="L5" t="n">
        <v>2.751</v>
      </c>
      <c r="M5" t="n">
        <v>52</v>
      </c>
      <c r="N5" t="n">
        <v>21.81</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5/5 (Excelente): Excelente: identifica la concepción alternativa específica y la conecta con la topología del circuito. Tutor de alto rendimiento: guía socrática experta con diagnóstico preciso.</t>
        </is>
      </c>
    </row>
    <row r="6">
      <c r="A6" t="n">
        <v>165</v>
      </c>
      <c r="B6" t="n">
        <v>66</v>
      </c>
      <c r="C6" t="n">
        <v>2</v>
      </c>
      <c r="D6" t="n">
        <v>1</v>
      </c>
      <c r="E6" t="inlineStr">
        <is>
          <t>R1, R2, R3 y R4 porque R5 está cortocircuitada</t>
        </is>
      </c>
      <c r="F6" t="inlineStr">
        <is>
          <t>¿Estás seguro de que un cortocircuito en R5 no afecta la carga o el comportamiento de las resistencias R3 y R4 en el circuito?</t>
        </is>
      </c>
      <c r="G6" t="n">
        <v>3</v>
      </c>
      <c r="H6" t="n">
        <v>3</v>
      </c>
      <c r="I6" t="n">
        <v>4</v>
      </c>
      <c r="J6" t="n">
        <v>5</v>
      </c>
      <c r="K6" t="n">
        <v>15</v>
      </c>
      <c r="L6" t="n">
        <v>2.933</v>
      </c>
      <c r="M6" t="n">
        <v>38</v>
      </c>
      <c r="N6" t="n">
        <v>20.46</v>
      </c>
      <c r="O6" t="inlineStr">
        <is>
          <t>AC1, AC6</t>
        </is>
      </c>
      <c r="P6" t="inlineStr">
        <is>
          <t>AC6, AC9</t>
        </is>
      </c>
      <c r="Q6" t="n">
        <v>0.5</v>
      </c>
      <c r="R6" t="n">
        <v>0.5</v>
      </c>
      <c r="S6" t="n">
        <v>0.5</v>
      </c>
      <c r="T6" t="inlineStr"/>
      <c r="U6" t="inlineStr"/>
      <c r="V6" t="inlineStr"/>
      <c r="W6"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7">
      <c r="A7" t="n">
        <v>166</v>
      </c>
      <c r="B7" t="n">
        <v>66</v>
      </c>
      <c r="C7" t="n">
        <v>3</v>
      </c>
      <c r="D7" t="n">
        <v>1</v>
      </c>
      <c r="E7" t="inlineStr">
        <is>
          <t>R1, R2, R3 y R4 porque por R5 no circula corriente</t>
        </is>
      </c>
      <c r="F7" t="inlineStr">
        <is>
          <t>¿No hay alguna relación entre la resistencia R5 cortocircuitada y el comportamiento de las resistencias R3 y R4 en términos de su contribución a la división de tensión en el circuito?</t>
        </is>
      </c>
      <c r="G7" t="n">
        <v>3</v>
      </c>
      <c r="H7" t="n">
        <v>3</v>
      </c>
      <c r="I7" t="n">
        <v>4</v>
      </c>
      <c r="J7" t="n">
        <v>5</v>
      </c>
      <c r="K7" t="n">
        <v>15</v>
      </c>
      <c r="L7" t="n">
        <v>3.435</v>
      </c>
      <c r="M7" t="n">
        <v>49</v>
      </c>
      <c r="N7" t="n">
        <v>17.47</v>
      </c>
      <c r="O7" t="inlineStr">
        <is>
          <t>AC1, AC6</t>
        </is>
      </c>
      <c r="P7" t="inlineStr">
        <is>
          <t>AC9</t>
        </is>
      </c>
      <c r="Q7" t="n">
        <v>0</v>
      </c>
      <c r="R7" t="n">
        <v>0</v>
      </c>
      <c r="S7" t="n">
        <v>0</v>
      </c>
      <c r="T7" t="inlineStr"/>
      <c r="U7" t="inlineStr"/>
      <c r="V7" t="inlineStr"/>
      <c r="W7"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8">
      <c r="A8" t="n">
        <v>167</v>
      </c>
      <c r="B8" t="n">
        <v>67</v>
      </c>
      <c r="C8" t="n">
        <v>1</v>
      </c>
      <c r="D8" t="n">
        <v>1</v>
      </c>
      <c r="E8" t="inlineStr">
        <is>
          <t>R1, R2, R3 y R4 porque R5 se quita</t>
        </is>
      </c>
      <c r="F8" t="inlineStr">
        <is>
          <t>¿Qué sucede con la corriente en una rama del circuito cuando hay un interruptor abierto en ella, y cómo afecta esto a la diferencia de potencial entre N2 y 0?</t>
        </is>
      </c>
      <c r="G8" t="n">
        <v>4</v>
      </c>
      <c r="H8" t="n">
        <v>4</v>
      </c>
      <c r="I8" t="n">
        <v>3</v>
      </c>
      <c r="J8" t="n">
        <v>5</v>
      </c>
      <c r="K8" t="n">
        <v>16</v>
      </c>
      <c r="L8" t="n">
        <v>2.334</v>
      </c>
      <c r="M8" t="n">
        <v>45</v>
      </c>
      <c r="N8" t="n">
        <v>25.7</v>
      </c>
      <c r="O8" t="inlineStr">
        <is>
          <t>AC1, AC6</t>
        </is>
      </c>
      <c r="P8" t="inlineStr">
        <is>
          <t>AC1, AC9</t>
        </is>
      </c>
      <c r="Q8" t="n">
        <v>0.5</v>
      </c>
      <c r="R8" t="n">
        <v>0.5</v>
      </c>
      <c r="S8" t="n">
        <v>0.5</v>
      </c>
      <c r="T8" t="inlineStr"/>
      <c r="U8" t="inlineStr"/>
      <c r="V8" t="inlineStr"/>
      <c r="W8"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9">
      <c r="A9" t="n">
        <v>168</v>
      </c>
      <c r="B9" t="n">
        <v>67</v>
      </c>
      <c r="C9" t="n">
        <v>2</v>
      </c>
      <c r="D9" t="n">
        <v>1</v>
      </c>
      <c r="E9" t="inlineStr">
        <is>
          <t>R1, R3 y R4 porque R2 está en paralelo con la fuente y R5 corctocircuitada</t>
        </is>
      </c>
      <c r="F9" t="inlineStr">
        <is>
          <t>¿Cómo afecta la conexión en paralelo de R2 con la fuente a la distribución de corriente en el circuito y qué relación hay entre esto y la carga de R5?</t>
        </is>
      </c>
      <c r="G9" t="n">
        <v>4</v>
      </c>
      <c r="H9" t="n">
        <v>3</v>
      </c>
      <c r="I9" t="n">
        <v>3</v>
      </c>
      <c r="J9" t="n">
        <v>5</v>
      </c>
      <c r="K9" t="n">
        <v>15</v>
      </c>
      <c r="L9" t="n">
        <v>2.895</v>
      </c>
      <c r="M9" t="n">
        <v>43</v>
      </c>
      <c r="N9" t="n">
        <v>20.73</v>
      </c>
      <c r="O9" t="inlineStr">
        <is>
          <t>AC1, AC6</t>
        </is>
      </c>
      <c r="P9" t="inlineStr">
        <is>
          <t>AC1, AC9</t>
        </is>
      </c>
      <c r="Q9" t="n">
        <v>0.5</v>
      </c>
      <c r="R9" t="n">
        <v>0.5</v>
      </c>
      <c r="S9" t="n">
        <v>0.5</v>
      </c>
      <c r="T9" t="inlineStr"/>
      <c r="U9" t="inlineStr"/>
      <c r="V9" t="inlineStr"/>
      <c r="W9"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10">
      <c r="A10" t="n">
        <v>169</v>
      </c>
      <c r="B10" t="n">
        <v>67</v>
      </c>
      <c r="C10" t="n">
        <v>3</v>
      </c>
      <c r="D10" t="n">
        <v>1</v>
      </c>
      <c r="E10" t="inlineStr">
        <is>
          <t>R1, R4 y R5 porque R2 se elimina y R3 también</t>
        </is>
      </c>
      <c r="F10" t="inlineStr">
        <is>
          <t>¿Qué sucede con la corriente que pasa por R3 cuando R2 se elimina y cómo afecta esto a la carga de R5 en el circuito?</t>
        </is>
      </c>
      <c r="G10" t="n">
        <v>4</v>
      </c>
      <c r="H10" t="n">
        <v>2</v>
      </c>
      <c r="I10" t="n">
        <v>4</v>
      </c>
      <c r="J10" t="n">
        <v>5</v>
      </c>
      <c r="K10" t="n">
        <v>15</v>
      </c>
      <c r="L10" t="n">
        <v>2.888</v>
      </c>
      <c r="M10" t="n">
        <v>37</v>
      </c>
      <c r="N10" t="n">
        <v>20.77</v>
      </c>
      <c r="O10" t="inlineStr">
        <is>
          <t>AC1, AC6</t>
        </is>
      </c>
      <c r="P10" t="inlineStr">
        <is>
          <t>AC1</t>
        </is>
      </c>
      <c r="Q10" t="n">
        <v>1</v>
      </c>
      <c r="R10" t="n">
        <v>0.5</v>
      </c>
      <c r="S10" t="n">
        <v>0.667</v>
      </c>
      <c r="T10" t="inlineStr"/>
      <c r="U10" t="inlineStr"/>
      <c r="V10" t="inlineStr"/>
      <c r="W10" t="inlineStr">
        <is>
          <t>Socraticidad 4/5 (Andamiaje para detección): Andamiaje para detección: identifica el área del error y plantea pregunta que confronta con la teoría. Precisión Conceptual 2/5 (Pobre): Pobre: responde de forma genérica sin diagnosticar el error conceptual. Buen desempeño general; hay margen de mejora en profundidad socrática.</t>
        </is>
      </c>
    </row>
    <row r="11">
      <c r="A11" t="n">
        <v>170</v>
      </c>
      <c r="B11" t="n">
        <v>68</v>
      </c>
      <c r="C11" t="n">
        <v>1</v>
      </c>
      <c r="D11" t="n">
        <v>1</v>
      </c>
      <c r="E11" t="inlineStr">
        <is>
          <t>R1 y R4 dado que R2 está en paralelo con la fuente, R3 en circuito abierto y R5 cortocircuitada</t>
        </is>
      </c>
      <c r="F11" t="inlineStr">
        <is>
          <t>¿No deberías considerar también la resistencia R2, ya que forma parte del camino que la corriente toma desde la fuente hasta el nodo N2? ¿Cómo afecta la configuración de R2 en relación con la fuente a su contribución a la diferencia de potencial entre N2 y 0?</t>
        </is>
      </c>
      <c r="G11" t="n">
        <v>4</v>
      </c>
      <c r="H11" t="n">
        <v>3</v>
      </c>
      <c r="I11" t="n">
        <v>3</v>
      </c>
      <c r="J11" t="n">
        <v>5</v>
      </c>
      <c r="K11" t="n">
        <v>15</v>
      </c>
      <c r="L11" t="n">
        <v>3.595</v>
      </c>
      <c r="M11" t="n">
        <v>70</v>
      </c>
      <c r="N11" t="n">
        <v>16.69</v>
      </c>
      <c r="O11" t="inlineStr">
        <is>
          <t>AC1, AC6</t>
        </is>
      </c>
      <c r="P11" t="inlineStr">
        <is>
          <t>AC1, AC9</t>
        </is>
      </c>
      <c r="Q11" t="n">
        <v>0.5</v>
      </c>
      <c r="R11" t="n">
        <v>0.5</v>
      </c>
      <c r="S11" t="n">
        <v>0.5</v>
      </c>
      <c r="T11" t="inlineStr"/>
      <c r="U11" t="inlineStr"/>
      <c r="V11" t="inlineStr"/>
      <c r="W11"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61</v>
      </c>
      <c r="B2" t="n">
        <v>25</v>
      </c>
      <c r="C2" t="n">
        <v>1</v>
      </c>
      <c r="D2" t="n">
        <v>1</v>
      </c>
      <c r="E2" t="inlineStr">
        <is>
          <t>R1 y R2 dado que las dos resistencia forman un divisor de tensión</t>
        </is>
      </c>
      <c r="F2" t="inlineStr">
        <is>
          <t>¿Puedes confirmar si el camino del nodo N3, incluyendo cualquier componente, afecta a la diferencia de potencial entre N2 y tierra? ¿Y cómo determinaría qué tiene o no R4 involucrado considerando todo el circuito desde V1 hasta la Tierra?</t>
        </is>
      </c>
      <c r="G2" t="n">
        <v>3</v>
      </c>
      <c r="H2" t="n">
        <v>3</v>
      </c>
      <c r="I2" t="n">
        <v>3</v>
      </c>
      <c r="J2" t="n">
        <v>5</v>
      </c>
      <c r="K2" t="n">
        <v>14</v>
      </c>
      <c r="L2" t="n">
        <v>30.523</v>
      </c>
      <c r="M2" t="n">
        <v>52</v>
      </c>
      <c r="N2" t="n">
        <v>1.97</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62</v>
      </c>
      <c r="B3" t="n">
        <v>25</v>
      </c>
      <c r="C3" t="n">
        <v>2</v>
      </c>
      <c r="D3" t="n">
        <v>1</v>
      </c>
      <c r="E3" t="inlineStr">
        <is>
          <t>R1 y R2 dado que se pide la tensión en R2</t>
        </is>
      </c>
      <c r="F3" t="inlineStr">
        <is>
          <t>¿Cómo puedo aplicar el Principio de Superposición para determinar las contribuciones individuales a la corriente a través del resistor R2, y asegúrate de considerar cualquier efecto potencial del circuito paralelo con R1?</t>
        </is>
      </c>
      <c r="G3" t="n">
        <v>3</v>
      </c>
      <c r="H3" t="n">
        <v>3</v>
      </c>
      <c r="I3" t="n">
        <v>5</v>
      </c>
      <c r="J3" t="n">
        <v>5</v>
      </c>
      <c r="K3" t="n">
        <v>16</v>
      </c>
      <c r="L3" t="n">
        <v>0.656</v>
      </c>
      <c r="M3" t="n">
        <v>43</v>
      </c>
      <c r="N3" t="n">
        <v>91.47</v>
      </c>
      <c r="O3" t="inlineStr">
        <is>
          <t>AC9</t>
        </is>
      </c>
      <c r="P3" t="inlineStr">
        <is>
          <t>AC1</t>
        </is>
      </c>
      <c r="Q3" t="n">
        <v>0</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63</v>
      </c>
      <c r="B4" t="n">
        <v>25</v>
      </c>
      <c r="C4" t="n">
        <v>3</v>
      </c>
      <c r="D4" t="n">
        <v>1</v>
      </c>
      <c r="E4" t="inlineStr">
        <is>
          <t>R1 y R2 por identificar un divisor de tensión</t>
        </is>
      </c>
      <c r="F4" t="inlineStr">
        <is>
          <t>¿Cómo podríamos aislar el efecto del resistor R2 para analizar correctamente su voltaje, considerando la presencia simultánea con otros componentes y configuraciones potenciales dentro de un circuito más complejo?</t>
        </is>
      </c>
      <c r="G4" t="n">
        <v>3</v>
      </c>
      <c r="H4" t="n">
        <v>2</v>
      </c>
      <c r="I4" t="n">
        <v>4</v>
      </c>
      <c r="J4" t="n">
        <v>5</v>
      </c>
      <c r="K4" t="n">
        <v>14</v>
      </c>
      <c r="L4" t="n">
        <v>0.626</v>
      </c>
      <c r="M4" t="n">
        <v>40</v>
      </c>
      <c r="N4" t="n">
        <v>95.79000000000001</v>
      </c>
      <c r="O4" t="inlineStr">
        <is>
          <t>AC9</t>
        </is>
      </c>
      <c r="P4" t="inlineStr">
        <is>
          <t>AC9</t>
        </is>
      </c>
      <c r="Q4" t="n">
        <v>1</v>
      </c>
      <c r="R4" t="n">
        <v>1</v>
      </c>
      <c r="S4" t="n">
        <v>1</v>
      </c>
      <c r="T4" t="inlineStr"/>
      <c r="U4" t="inlineStr"/>
      <c r="V4" t="inlineStr"/>
      <c r="W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5">
      <c r="A5" t="n">
        <v>64</v>
      </c>
      <c r="B5" t="n">
        <v>26</v>
      </c>
      <c r="C5" t="n">
        <v>1</v>
      </c>
      <c r="D5" t="n">
        <v>1</v>
      </c>
      <c r="E5" t="inlineStr">
        <is>
          <t>R1 y R2 hacen un divisor de tensión</t>
        </is>
      </c>
      <c r="F5" t="inlineStr">
        <is>
          <t>¿Consideró el estado del interruptor entre N2 e N3 cuando determinó qué resistencias contribuyen a la diferencia potencial, y recuerda analizar tanto las ramas abiertas como cerradas para ver si alguna interrumpe realmente la corriente?</t>
        </is>
      </c>
      <c r="G5" t="n">
        <v>3</v>
      </c>
      <c r="H5" t="n">
        <v>3</v>
      </c>
      <c r="I5" t="n">
        <v>2</v>
      </c>
      <c r="J5" t="n">
        <v>5</v>
      </c>
      <c r="K5" t="n">
        <v>13</v>
      </c>
      <c r="L5" t="n">
        <v>0.883</v>
      </c>
      <c r="M5" t="n">
        <v>49</v>
      </c>
      <c r="N5" t="n">
        <v>67.95999999999999</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65</v>
      </c>
      <c r="B6" t="n">
        <v>26</v>
      </c>
      <c r="C6" t="n">
        <v>2</v>
      </c>
      <c r="D6" t="n">
        <v>1</v>
      </c>
      <c r="E6" t="inlineStr">
        <is>
          <t>R1, R2, R3 y R4 porque R5 está cortocircuitada</t>
        </is>
      </c>
      <c r="F6" t="inlineStr">
        <is>
          <t>¿Revisó cuidadosamente el estado de los interruptores para asegurarse de distinguir entre un divisor de tensión y una configuración potencialmente simplificada por cortocircuito, lo cual podría afectar su interpretación del camino para la corriente a través de R5?</t>
        </is>
      </c>
      <c r="G6" t="n">
        <v>3</v>
      </c>
      <c r="H6" t="n">
        <v>4</v>
      </c>
      <c r="I6" t="n">
        <v>3</v>
      </c>
      <c r="J6" t="n">
        <v>5</v>
      </c>
      <c r="K6" t="n">
        <v>15</v>
      </c>
      <c r="L6" t="n">
        <v>1.108</v>
      </c>
      <c r="M6" t="n">
        <v>52</v>
      </c>
      <c r="N6" t="n">
        <v>54.16</v>
      </c>
      <c r="O6" t="inlineStr">
        <is>
          <t>AC1, AC6</t>
        </is>
      </c>
      <c r="P6" t="inlineStr">
        <is>
          <t>AC1, AC6, AC9</t>
        </is>
      </c>
      <c r="Q6" t="n">
        <v>0.667</v>
      </c>
      <c r="R6" t="n">
        <v>1</v>
      </c>
      <c r="S6" t="n">
        <v>0.8</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66</v>
      </c>
      <c r="B7" t="n">
        <v>26</v>
      </c>
      <c r="C7" t="n">
        <v>3</v>
      </c>
      <c r="D7" t="n">
        <v>1</v>
      </c>
      <c r="E7" t="inlineStr">
        <is>
          <t>R1, R2, R3 y R4 porque por R5 no circula corriente</t>
        </is>
      </c>
      <c r="F7" t="inlineStr">
        <is>
          <t>¿Evaluó cómo los valores de las resistencias se complementan entre sí, considerando el posible efecto del cortocircuito para R5 no siendo parte del camino directo para el flujo de corriente? ¿Verificó que R1, R2, R3 y R4 forman la ruta correcta a través de su análisis del circuito completo?,</t>
        </is>
      </c>
      <c r="G7" t="n">
        <v>1</v>
      </c>
      <c r="H7" t="n">
        <v>4</v>
      </c>
      <c r="I7" t="n">
        <v>4</v>
      </c>
      <c r="J7" t="n">
        <v>5</v>
      </c>
      <c r="K7" t="n">
        <v>14</v>
      </c>
      <c r="L7" t="n">
        <v>0.873</v>
      </c>
      <c r="M7" t="n">
        <v>70</v>
      </c>
      <c r="N7" t="n">
        <v>68.72</v>
      </c>
      <c r="O7" t="inlineStr">
        <is>
          <t>AC1, AC6</t>
        </is>
      </c>
      <c r="P7" t="inlineStr">
        <is>
          <t>AC1, AC6, AC9</t>
        </is>
      </c>
      <c r="Q7" t="n">
        <v>0.667</v>
      </c>
      <c r="R7" t="n">
        <v>1</v>
      </c>
      <c r="S7" t="n">
        <v>0.8</v>
      </c>
      <c r="T7" t="inlineStr"/>
      <c r="U7" t="inlineStr"/>
      <c r="V7" t="inlineStr"/>
      <c r="W7" t="inlineStr">
        <is>
          <t>Socraticidad 1/5 (Instructivo): No termina en pregunta; el tutor es instructivo. Precisión Conceptual 4/5 (Bueno): Bueno: identifica claramente la concepción alternativa con lenguaje técnico preciso. Buen desempeño general; hay margen de mejora en profundidad socrática.</t>
        </is>
      </c>
    </row>
    <row r="8">
      <c r="A8" t="n">
        <v>67</v>
      </c>
      <c r="B8" t="n">
        <v>27</v>
      </c>
      <c r="C8" t="n">
        <v>1</v>
      </c>
      <c r="D8" t="n">
        <v>1</v>
      </c>
      <c r="E8" t="inlineStr">
        <is>
          <t>R1, R2, R3 y R4 porque R5 se quita</t>
        </is>
      </c>
      <c r="F8" t="inlineStr">
        <is>
          <t>¿Podrían suscribirse las resistencias R1, R2, R3 y R4 a una situación donde su presencia influiría realmente en el valor de la diferencia de potencial entre N2 y 0, o hay algún componente cuya configuración les impedirá contribuir efectivamente al voltaje? ¿Cuál es ese componente aislado por sus características del circuito?</t>
        </is>
      </c>
      <c r="G8" t="n">
        <v>3</v>
      </c>
      <c r="H8" t="n">
        <v>3</v>
      </c>
      <c r="I8" t="n">
        <v>3</v>
      </c>
      <c r="J8" t="n">
        <v>5</v>
      </c>
      <c r="K8" t="n">
        <v>14</v>
      </c>
      <c r="L8" t="n">
        <v>0.848</v>
      </c>
      <c r="M8" t="n">
        <v>75</v>
      </c>
      <c r="N8" t="n">
        <v>70.73999999999999</v>
      </c>
      <c r="O8" t="inlineStr">
        <is>
          <t>AC1, AC6</t>
        </is>
      </c>
      <c r="P8" t="inlineStr">
        <is>
          <t>AC9</t>
        </is>
      </c>
      <c r="Q8" t="n">
        <v>0</v>
      </c>
      <c r="R8" t="n">
        <v>0</v>
      </c>
      <c r="S8" t="n">
        <v>0</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68</v>
      </c>
      <c r="B9" t="n">
        <v>27</v>
      </c>
      <c r="C9" t="n">
        <v>2</v>
      </c>
      <c r="D9" t="n">
        <v>1</v>
      </c>
      <c r="E9" t="inlineStr">
        <is>
          <t>R1, R3 y R4 porque R2 está en paralelo con la fuente y R5 corctocircuitada</t>
        </is>
      </c>
      <c r="F9" t="inlineStr">
        <is>
          <t>¿Puede confirmar si el cortocircuito de R5 sugiere una ausencia total del flujo de corriente, o ¿podría suscribirse indirectamente a algún voltaje potencial debido a las interacciones complejas con otras ramas dentro del circuito? Y, ¿cuál es la influencia real del paralelo entre R2 y la fuente en el voltaje específico al nodo N2?</t>
        </is>
      </c>
      <c r="G9" t="n">
        <v>3</v>
      </c>
      <c r="H9" t="n">
        <v>5</v>
      </c>
      <c r="I9" t="n">
        <v>3</v>
      </c>
      <c r="J9" t="n">
        <v>5</v>
      </c>
      <c r="K9" t="n">
        <v>16</v>
      </c>
      <c r="L9" t="n">
        <v>0.868</v>
      </c>
      <c r="M9" t="n">
        <v>79</v>
      </c>
      <c r="N9" t="n">
        <v>69.16</v>
      </c>
      <c r="O9" t="inlineStr">
        <is>
          <t>AC1, AC6</t>
        </is>
      </c>
      <c r="P9" t="inlineStr">
        <is>
          <t>AC1, AC6, AC9</t>
        </is>
      </c>
      <c r="Q9" t="n">
        <v>0.667</v>
      </c>
      <c r="R9" t="n">
        <v>1</v>
      </c>
      <c r="S9" t="n">
        <v>0.8</v>
      </c>
      <c r="T9" t="inlineStr"/>
      <c r="U9" t="inlineStr"/>
      <c r="V9" t="inlineStr"/>
      <c r="W9"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10">
      <c r="A10" t="n">
        <v>69</v>
      </c>
      <c r="B10" t="n">
        <v>27</v>
      </c>
      <c r="C10" t="n">
        <v>3</v>
      </c>
      <c r="D10" t="n">
        <v>1</v>
      </c>
      <c r="E10" t="inlineStr">
        <is>
          <t>R1, R4 y R5 porque R2 se elimina y R3 también</t>
        </is>
      </c>
      <c r="F10" t="inlineStr">
        <is>
          <t>¿Podría suponer qué efecto el arreglo paralelo de R2 con la fuente tendría sobre los componentes restantes, específicamente cómo afectaría a la contribución del voltaje entre N2 y 0? ¿Qué sucede con R3 bajo estas circunstancias?.</t>
        </is>
      </c>
      <c r="G10" t="n">
        <v>1</v>
      </c>
      <c r="H10" t="n">
        <v>3</v>
      </c>
      <c r="I10" t="n">
        <v>3</v>
      </c>
      <c r="J10" t="n">
        <v>5</v>
      </c>
      <c r="K10" t="n">
        <v>12</v>
      </c>
      <c r="L10" t="n">
        <v>0.6899999999999999</v>
      </c>
      <c r="M10" t="n">
        <v>51</v>
      </c>
      <c r="N10" t="n">
        <v>86.93000000000001</v>
      </c>
      <c r="O10" t="inlineStr">
        <is>
          <t>AC1, AC6</t>
        </is>
      </c>
      <c r="P10" t="inlineStr">
        <is>
          <t>AC1</t>
        </is>
      </c>
      <c r="Q10" t="n">
        <v>1</v>
      </c>
      <c r="R10" t="n">
        <v>0.5</v>
      </c>
      <c r="S10" t="n">
        <v>0.667</v>
      </c>
      <c r="T10" t="inlineStr"/>
      <c r="U10" t="inlineStr"/>
      <c r="V10" t="inlineStr"/>
      <c r="W10" t="inlineStr">
        <is>
          <t>Socraticidad 1/5 (Instructivo): No termina en pregunta; el tutor es instructivo. Precisión Conceptual 3/5 (Suficiente): Suficiente: identifica que hay un error y usa conceptos correctos, pero el diagnóstico es algo vago. Desempeño aceptable; necesita mejorar precisión o metodología socrática.</t>
        </is>
      </c>
    </row>
    <row r="11">
      <c r="A11" t="n">
        <v>70</v>
      </c>
      <c r="B11" t="n">
        <v>28</v>
      </c>
      <c r="C11" t="n">
        <v>1</v>
      </c>
      <c r="D11" t="n">
        <v>1</v>
      </c>
      <c r="E11" t="inlineStr">
        <is>
          <t>R1 y R4 dado que R2 está en paralelo con la fuente, R3 en circuito abierto y R5 cortocircuitada</t>
        </is>
      </c>
      <c r="F11" t="inlineStr">
        <is>
          <t>¿Consideraste el estado del interruptor entre N2 y N3 al determinar qué resistencias afectan a la diferencia de potencial, y recuerdas si R1 o R4 podrían estar influenciados por este estado?</t>
        </is>
      </c>
      <c r="G11" t="n">
        <v>3</v>
      </c>
      <c r="H11" t="n">
        <v>4</v>
      </c>
      <c r="I11" t="n">
        <v>3</v>
      </c>
      <c r="J11" t="n">
        <v>5</v>
      </c>
      <c r="K11" t="n">
        <v>15</v>
      </c>
      <c r="L11" t="n">
        <v>0.675</v>
      </c>
      <c r="M11" t="n">
        <v>45</v>
      </c>
      <c r="N11" t="n">
        <v>88.84</v>
      </c>
      <c r="O11" t="inlineStr">
        <is>
          <t>AC1, AC6</t>
        </is>
      </c>
      <c r="P11" t="inlineStr">
        <is>
          <t>AC1, AC9</t>
        </is>
      </c>
      <c r="Q11" t="n">
        <v>0.5</v>
      </c>
      <c r="R11" t="n">
        <v>0.5</v>
      </c>
      <c r="S11" t="n">
        <v>0.5</v>
      </c>
      <c r="T11" t="inlineStr"/>
      <c r="U11" t="inlineStr"/>
      <c r="V11" t="inlineStr"/>
      <c r="W11"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v>
      </c>
      <c r="B2" t="n">
        <v>1</v>
      </c>
      <c r="C2" t="n">
        <v>1</v>
      </c>
      <c r="D2" t="n">
        <v>1</v>
      </c>
      <c r="E2" t="inlineStr">
        <is>
          <t>R1 y R2 dado que las dos resistencia forman un divisor de tensión</t>
        </is>
      </c>
      <c r="F2" t="inlineStr">
        <is>
          <t>¿Qué resistencias forman parte del camino eléctrico entre el nodo N2 y el nodo de referencia 0, teniendo en cuenta que el interruptor entre N2 y N3 está abierto?</t>
        </is>
      </c>
      <c r="G2" t="n">
        <v>3</v>
      </c>
      <c r="H2" t="n">
        <v>3</v>
      </c>
      <c r="I2" t="n">
        <v>3</v>
      </c>
      <c r="J2" t="n">
        <v>5</v>
      </c>
      <c r="K2" t="n">
        <v>14</v>
      </c>
      <c r="L2" t="n">
        <v>52.6</v>
      </c>
      <c r="M2" t="n">
        <v>198</v>
      </c>
      <c r="N2" t="n">
        <v>1.14</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2</v>
      </c>
      <c r="B3" t="n">
        <v>1</v>
      </c>
      <c r="C3" t="n">
        <v>2</v>
      </c>
      <c r="D3" t="n">
        <v>1</v>
      </c>
      <c r="E3" t="inlineStr">
        <is>
          <t>R1 y R2 dado que se pide la tensión en R2</t>
        </is>
      </c>
      <c r="F3" t="inlineStr">
        <is>
          <t>¿Consideras cómo el estado del interruptor modifica la conexión de R2 con el resto del circuito y qué resistencias quedan en serie entre el nodo de alimentación y R2?</t>
        </is>
      </c>
      <c r="G3" t="n">
        <v>3</v>
      </c>
      <c r="H3" t="n">
        <v>3</v>
      </c>
      <c r="I3" t="n">
        <v>4</v>
      </c>
      <c r="J3" t="n">
        <v>5</v>
      </c>
      <c r="K3" t="n">
        <v>15</v>
      </c>
      <c r="L3" t="n">
        <v>14.382</v>
      </c>
      <c r="M3" t="n">
        <v>139</v>
      </c>
      <c r="N3" t="n">
        <v>4.17</v>
      </c>
      <c r="O3" t="inlineStr">
        <is>
          <t>AC9</t>
        </is>
      </c>
      <c r="P3" t="inlineStr">
        <is>
          <t>AC1, AC9</t>
        </is>
      </c>
      <c r="Q3" t="n">
        <v>0.5</v>
      </c>
      <c r="R3" t="n">
        <v>1</v>
      </c>
      <c r="S3" t="n">
        <v>0.667</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3</v>
      </c>
      <c r="B4" t="n">
        <v>1</v>
      </c>
      <c r="C4" t="n">
        <v>3</v>
      </c>
      <c r="D4" t="n">
        <v>1</v>
      </c>
      <c r="E4" t="inlineStr">
        <is>
          <t>R1 y R2 por identificar un divisor de tensión</t>
        </is>
      </c>
      <c r="F4" t="inlineStr">
        <is>
          <t>¿Qué nodos conecta directamente R2 y cómo se sitúan respecto a la fuente de alimentación y al nodo de referencia en el circuito?</t>
        </is>
      </c>
      <c r="G4" t="n">
        <v>3</v>
      </c>
      <c r="H4" t="n">
        <v>2</v>
      </c>
      <c r="I4" t="n">
        <v>4</v>
      </c>
      <c r="J4" t="n">
        <v>5</v>
      </c>
      <c r="K4" t="n">
        <v>14</v>
      </c>
      <c r="L4" t="n">
        <v>3.509</v>
      </c>
      <c r="M4" t="n">
        <v>121</v>
      </c>
      <c r="N4" t="n">
        <v>17.1</v>
      </c>
      <c r="O4" t="inlineStr">
        <is>
          <t>AC9</t>
        </is>
      </c>
      <c r="P4" t="inlineStr"/>
      <c r="Q4" t="n">
        <v>1</v>
      </c>
      <c r="R4" t="n">
        <v>0</v>
      </c>
      <c r="S4" t="n">
        <v>0</v>
      </c>
      <c r="T4" t="inlineStr"/>
      <c r="U4" t="inlineStr"/>
      <c r="V4" t="inlineStr"/>
      <c r="W4"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5">
      <c r="A5" t="n">
        <v>4</v>
      </c>
      <c r="B5" t="n">
        <v>2</v>
      </c>
      <c r="C5" t="n">
        <v>1</v>
      </c>
      <c r="D5" t="n">
        <v>1</v>
      </c>
      <c r="E5" t="inlineStr">
        <is>
          <t>R1 y R2 hacen un divisor de tensión</t>
        </is>
      </c>
      <c r="F5" t="inlineStr">
        <is>
          <t>¿Qué ocurre con la corriente en la rama del interruptor abierto entre N2 y N3 y cómo influye eso en la participación de la resistencia que está en esa rama?</t>
        </is>
      </c>
      <c r="G5" t="n">
        <v>4</v>
      </c>
      <c r="H5" t="n">
        <v>3</v>
      </c>
      <c r="I5" t="n">
        <v>3</v>
      </c>
      <c r="J5" t="n">
        <v>5</v>
      </c>
      <c r="K5" t="n">
        <v>15</v>
      </c>
      <c r="L5" t="n">
        <v>3.78</v>
      </c>
      <c r="M5" t="n">
        <v>223</v>
      </c>
      <c r="N5" t="n">
        <v>15.87</v>
      </c>
      <c r="O5" t="inlineStr">
        <is>
          <t>AC9</t>
        </is>
      </c>
      <c r="P5" t="inlineStr">
        <is>
          <t>AC1</t>
        </is>
      </c>
      <c r="Q5" t="n">
        <v>0</v>
      </c>
      <c r="R5" t="n">
        <v>0</v>
      </c>
      <c r="S5" t="n">
        <v>0</v>
      </c>
      <c r="T5" t="inlineStr"/>
      <c r="U5" t="inlineStr"/>
      <c r="V5" t="inlineStr"/>
      <c r="W5"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6">
      <c r="A6" t="n">
        <v>5</v>
      </c>
      <c r="B6" t="n">
        <v>2</v>
      </c>
      <c r="C6" t="n">
        <v>2</v>
      </c>
      <c r="D6" t="n">
        <v>1</v>
      </c>
      <c r="E6" t="inlineStr">
        <is>
          <t>R1, R2, R3 y R4 porque R5 está cortocircuitada</t>
        </is>
      </c>
      <c r="F6" t="inlineStr">
        <is>
          <t>Si R5 está en cortocircuito, ¿qué nodos quedan equipotenciales y cómo modifica eso la caída de tensión a través de cada una de las demás resistencias?</t>
        </is>
      </c>
      <c r="G6" t="n">
        <v>3</v>
      </c>
      <c r="H6" t="n">
        <v>4</v>
      </c>
      <c r="I6" t="n">
        <v>3</v>
      </c>
      <c r="J6" t="n">
        <v>5</v>
      </c>
      <c r="K6" t="n">
        <v>15</v>
      </c>
      <c r="L6" t="n">
        <v>11.506</v>
      </c>
      <c r="M6" t="n">
        <v>193</v>
      </c>
      <c r="N6" t="n">
        <v>5.21</v>
      </c>
      <c r="O6" t="inlineStr">
        <is>
          <t>AC1, AC6</t>
        </is>
      </c>
      <c r="P6" t="inlineStr">
        <is>
          <t>AC6, AC9</t>
        </is>
      </c>
      <c r="Q6" t="n">
        <v>0.5</v>
      </c>
      <c r="R6" t="n">
        <v>0.5</v>
      </c>
      <c r="S6" t="n">
        <v>0.5</v>
      </c>
      <c r="T6" t="inlineStr"/>
      <c r="U6" t="inlineStr"/>
      <c r="V6" t="inlineStr"/>
      <c r="W6"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7">
      <c r="A7" t="n">
        <v>6</v>
      </c>
      <c r="B7" t="n">
        <v>2</v>
      </c>
      <c r="C7" t="n">
        <v>3</v>
      </c>
      <c r="D7" t="n">
        <v>1</v>
      </c>
      <c r="E7" t="inlineStr">
        <is>
          <t>R1, R2, R3 y R4 porque por R5 no circula corriente</t>
        </is>
      </c>
      <c r="F7" t="inlineStr">
        <is>
          <t>¿Qué efecto tiene el cortocircuito de R5 sobre la diferencia de potencial entre sus extremos y, por consiguiente, sobre la corriente que podría circular por ella? ¿De qué manera esta condición influye en las corrientes que entran y salen de los nodos adyacentes?</t>
        </is>
      </c>
      <c r="G7" t="n">
        <v>3</v>
      </c>
      <c r="H7" t="n">
        <v>4</v>
      </c>
      <c r="I7" t="n">
        <v>3</v>
      </c>
      <c r="J7" t="n">
        <v>5</v>
      </c>
      <c r="K7" t="n">
        <v>15</v>
      </c>
      <c r="L7" t="n">
        <v>50.231</v>
      </c>
      <c r="M7" t="n">
        <v>243</v>
      </c>
      <c r="N7" t="n">
        <v>1.19</v>
      </c>
      <c r="O7" t="inlineStr">
        <is>
          <t>AC1, AC6</t>
        </is>
      </c>
      <c r="P7" t="inlineStr">
        <is>
          <t>AC1, AC6, AC9</t>
        </is>
      </c>
      <c r="Q7" t="n">
        <v>0.667</v>
      </c>
      <c r="R7" t="n">
        <v>1</v>
      </c>
      <c r="S7" t="n">
        <v>0.8</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8">
      <c r="A8" t="n">
        <v>7</v>
      </c>
      <c r="B8" t="n">
        <v>3</v>
      </c>
      <c r="C8" t="n">
        <v>1</v>
      </c>
      <c r="D8" t="n">
        <v>1</v>
      </c>
      <c r="E8" t="inlineStr">
        <is>
          <t>R1, R2, R3 y R4 porque R5 se quita</t>
        </is>
      </c>
      <c r="F8" t="inlineStr">
        <is>
          <t>¿Qué ocurre con la corriente en la rama que contiene el interruptor abierto entre N2 y N3? ¿Cómo influye eso en la participación de R3 en la diferencia de potencial entre N2 y 0?</t>
        </is>
      </c>
      <c r="G8" t="n">
        <v>4</v>
      </c>
      <c r="H8" t="n">
        <v>4</v>
      </c>
      <c r="I8" t="n">
        <v>3</v>
      </c>
      <c r="J8" t="n">
        <v>5</v>
      </c>
      <c r="K8" t="n">
        <v>16</v>
      </c>
      <c r="L8" t="n">
        <v>41.003</v>
      </c>
      <c r="M8" t="n">
        <v>149</v>
      </c>
      <c r="N8" t="n">
        <v>1.46</v>
      </c>
      <c r="O8" t="inlineStr">
        <is>
          <t>AC1, AC6</t>
        </is>
      </c>
      <c r="P8" t="inlineStr">
        <is>
          <t>AC1</t>
        </is>
      </c>
      <c r="Q8" t="n">
        <v>1</v>
      </c>
      <c r="R8" t="n">
        <v>0.5</v>
      </c>
      <c r="S8" t="n">
        <v>0.667</v>
      </c>
      <c r="T8" t="inlineStr"/>
      <c r="U8" t="inlineStr"/>
      <c r="V8" t="inlineStr"/>
      <c r="W8" t="inlineStr">
        <is>
          <t>Socraticidad 4/5 (Andamiaje para detección): Andamiaje para detección: identifica el área del error y plantea pregunta que confronta con la teoría. Precisión Conceptual 4/5 (Bueno): Bueno: identifica claramente la concepción alternativa con lenguaje técnico preciso. Buen desempeño general; hay margen de mejora en profundidad socrática.</t>
        </is>
      </c>
    </row>
    <row r="9">
      <c r="A9" t="n">
        <v>8</v>
      </c>
      <c r="B9" t="n">
        <v>3</v>
      </c>
      <c r="C9" t="n">
        <v>2</v>
      </c>
      <c r="D9" t="n">
        <v>1</v>
      </c>
      <c r="E9" t="inlineStr">
        <is>
          <t>R1, R3 y R4 porque R2 está en paralelo con la fuente y R5 corctocircuitada</t>
        </is>
      </c>
      <c r="F9" t="inlineStr">
        <is>
          <t>Si una resistencia está conectada en paralelo directo con la fuente, ¿qué diferencia de potencial hay entre sus extremos? Y cuando R5 está en cortocircuito, ¿qué caída de tensión aparece a través de ella?</t>
        </is>
      </c>
      <c r="G9" t="n">
        <v>3</v>
      </c>
      <c r="H9" t="n">
        <v>4</v>
      </c>
      <c r="I9" t="n">
        <v>3</v>
      </c>
      <c r="J9" t="n">
        <v>5</v>
      </c>
      <c r="K9" t="n">
        <v>15</v>
      </c>
      <c r="L9" t="n">
        <v>47.099</v>
      </c>
      <c r="M9" t="n">
        <v>285</v>
      </c>
      <c r="N9" t="n">
        <v>1.27</v>
      </c>
      <c r="O9" t="inlineStr">
        <is>
          <t>AC1, AC6</t>
        </is>
      </c>
      <c r="P9" t="inlineStr">
        <is>
          <t>AC6, AC9</t>
        </is>
      </c>
      <c r="Q9" t="n">
        <v>0.5</v>
      </c>
      <c r="R9" t="n">
        <v>0.5</v>
      </c>
      <c r="S9" t="n">
        <v>0.5</v>
      </c>
      <c r="T9" t="inlineStr"/>
      <c r="U9" t="inlineStr"/>
      <c r="V9" t="inlineStr"/>
      <c r="W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0">
      <c r="A10" t="n">
        <v>9</v>
      </c>
      <c r="B10" t="n">
        <v>3</v>
      </c>
      <c r="C10" t="n">
        <v>3</v>
      </c>
      <c r="D10" t="n">
        <v>1</v>
      </c>
      <c r="E10" t="inlineStr">
        <is>
          <t>R1, R4 y R5 porque R2 se elimina y R3 también</t>
        </is>
      </c>
      <c r="F10" t="inlineStr">
        <is>
          <t>Si el interruptor entre N2 y N3 está abierto, ¿puede circular corriente a través de R3? ¿Qué implica eso para la caída de tensión entre N2 y el nodo de referencia?</t>
        </is>
      </c>
      <c r="G10" t="n">
        <v>3</v>
      </c>
      <c r="H10" t="n">
        <v>4</v>
      </c>
      <c r="I10" t="n">
        <v>3</v>
      </c>
      <c r="J10" t="n">
        <v>5</v>
      </c>
      <c r="K10" t="n">
        <v>15</v>
      </c>
      <c r="L10" t="n">
        <v>45.739</v>
      </c>
      <c r="M10" t="n">
        <v>214</v>
      </c>
      <c r="N10" t="n">
        <v>1.31</v>
      </c>
      <c r="O10" t="inlineStr">
        <is>
          <t>AC1, AC6</t>
        </is>
      </c>
      <c r="P10" t="inlineStr">
        <is>
          <t>AC1</t>
        </is>
      </c>
      <c r="Q10" t="n">
        <v>1</v>
      </c>
      <c r="R10" t="n">
        <v>0.5</v>
      </c>
      <c r="S10" t="n">
        <v>0.667</v>
      </c>
      <c r="T10" t="inlineStr"/>
      <c r="U10" t="inlineStr"/>
      <c r="V10" t="inlineStr"/>
      <c r="W10"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1">
      <c r="A11" t="n">
        <v>10</v>
      </c>
      <c r="B11" t="n">
        <v>4</v>
      </c>
      <c r="C11" t="n">
        <v>1</v>
      </c>
      <c r="D11" t="n">
        <v>1</v>
      </c>
      <c r="E11" t="inlineStr">
        <is>
          <t>R1 y R4 dado que R2 está en paralelo con la fuente, R3 en circuito abierto y R5 cortocircuitada</t>
        </is>
      </c>
      <c r="F11" t="inlineStr">
        <is>
          <t>Si los extremos de R2 están conectados al mismo potencial, ¿contribuye R2 a la caída de tensión entre N2 y tierra?</t>
        </is>
      </c>
      <c r="G11" t="n">
        <v>3</v>
      </c>
      <c r="H11" t="n">
        <v>2</v>
      </c>
      <c r="I11" t="n">
        <v>3</v>
      </c>
      <c r="J11" t="n">
        <v>5</v>
      </c>
      <c r="K11" t="n">
        <v>13</v>
      </c>
      <c r="L11" t="n">
        <v>46.934</v>
      </c>
      <c r="M11" t="n">
        <v>248</v>
      </c>
      <c r="N11" t="n">
        <v>1.28</v>
      </c>
      <c r="O11" t="inlineStr">
        <is>
          <t>AC1, AC6</t>
        </is>
      </c>
      <c r="P11" t="inlineStr">
        <is>
          <t>AC6, AC9</t>
        </is>
      </c>
      <c r="Q11" t="n">
        <v>0.5</v>
      </c>
      <c r="R11" t="n">
        <v>0.5</v>
      </c>
      <c r="S11" t="n">
        <v>0.5</v>
      </c>
      <c r="T11" t="inlineStr"/>
      <c r="U11" t="inlineStr"/>
      <c r="V11" t="inlineStr"/>
      <c r="W11"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121</v>
      </c>
      <c r="B2" t="n">
        <v>49</v>
      </c>
      <c r="C2" t="n">
        <v>1</v>
      </c>
      <c r="D2" t="n">
        <v>1</v>
      </c>
      <c r="E2" t="inlineStr">
        <is>
          <t>R1 y R2 dado que las dos resistencia forman un divisor de tensión</t>
        </is>
      </c>
      <c r="F2" t="inlineStr">
        <is>
          <t>¿Has tenido en cuenta todas las resistencias en el camino desde N2 hasta tierra? ¿Qué papel juega R4 en la conexión entre N2 y el nodo de referencia 0?</t>
        </is>
      </c>
      <c r="G2" t="n">
        <v>3</v>
      </c>
      <c r="H2" t="n">
        <v>5</v>
      </c>
      <c r="I2" t="n">
        <v>3</v>
      </c>
      <c r="J2" t="n">
        <v>5</v>
      </c>
      <c r="K2" t="n">
        <v>16</v>
      </c>
      <c r="L2" t="n">
        <v>131.642</v>
      </c>
      <c r="M2" t="n">
        <v>217</v>
      </c>
      <c r="N2" t="n">
        <v>0.46</v>
      </c>
      <c r="O2" t="inlineStr">
        <is>
          <t>AC9</t>
        </is>
      </c>
      <c r="P2" t="inlineStr">
        <is>
          <t>AC1, AC9</t>
        </is>
      </c>
      <c r="Q2" t="n">
        <v>0.5</v>
      </c>
      <c r="R2" t="n">
        <v>1</v>
      </c>
      <c r="S2" t="n">
        <v>0.667</v>
      </c>
      <c r="T2" t="inlineStr"/>
      <c r="U2" t="inlineStr"/>
      <c r="V2" t="inlineStr"/>
      <c r="W2" t="inlineStr">
        <is>
          <t>Socraticidad 3/5 (Clarificación): Pregunta genérica: pide clarificación sin atacar la raíz del error. Precisión Conceptual 5/5 (Excelente): Excelente: identifica la concepción alternativa específica y la conecta con la topología del circuito. Buen desempeño general; hay margen de mejora en profundidad socrática.</t>
        </is>
      </c>
    </row>
    <row r="3">
      <c r="A3" t="n">
        <v>122</v>
      </c>
      <c r="B3" t="n">
        <v>49</v>
      </c>
      <c r="C3" t="n">
        <v>2</v>
      </c>
      <c r="D3" t="n">
        <v>1</v>
      </c>
      <c r="E3" t="inlineStr">
        <is>
          <t>R1 y R2 dado que se pide la tensión en R2</t>
        </is>
      </c>
      <c r="F3" t="inlineStr">
        <is>
          <t>¿Has considerado cómo R4 afecta la tensión en el nodo N2? ¿Qué relación hay entre R4, R2 y el potencial de referencia en este circuito?</t>
        </is>
      </c>
      <c r="G3" t="n">
        <v>3</v>
      </c>
      <c r="H3" t="n">
        <v>3</v>
      </c>
      <c r="I3" t="n">
        <v>4</v>
      </c>
      <c r="J3" t="n">
        <v>5</v>
      </c>
      <c r="K3" t="n">
        <v>15</v>
      </c>
      <c r="L3" t="n">
        <v>9.428000000000001</v>
      </c>
      <c r="M3" t="n">
        <v>149</v>
      </c>
      <c r="N3" t="n">
        <v>6.36</v>
      </c>
      <c r="O3" t="inlineStr">
        <is>
          <t>AC9</t>
        </is>
      </c>
      <c r="P3" t="inlineStr">
        <is>
          <t>AC9</t>
        </is>
      </c>
      <c r="Q3" t="n">
        <v>1</v>
      </c>
      <c r="R3" t="n">
        <v>1</v>
      </c>
      <c r="S3" t="n">
        <v>1</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123</v>
      </c>
      <c r="B4" t="n">
        <v>49</v>
      </c>
      <c r="C4" t="n">
        <v>3</v>
      </c>
      <c r="D4" t="n">
        <v>1</v>
      </c>
      <c r="E4" t="inlineStr">
        <is>
          <t>R1 y R2 por identificar un divisor de tensión</t>
        </is>
      </c>
      <c r="F4" t="inlineStr">
        <is>
          <t>¿Has analizado cómo R4 se conecta a R2 y si modifica la relación de división de tensión entre R1 y R2? ¿Qué efecto tendría R4 en la corriente que fluye por R2?</t>
        </is>
      </c>
      <c r="G4" t="n">
        <v>3</v>
      </c>
      <c r="H4" t="n">
        <v>3</v>
      </c>
      <c r="I4" t="n">
        <v>4</v>
      </c>
      <c r="J4" t="n">
        <v>5</v>
      </c>
      <c r="K4" t="n">
        <v>15</v>
      </c>
      <c r="L4" t="n">
        <v>8.272</v>
      </c>
      <c r="M4" t="n">
        <v>215</v>
      </c>
      <c r="N4" t="n">
        <v>7.25</v>
      </c>
      <c r="O4" t="inlineStr">
        <is>
          <t>AC9</t>
        </is>
      </c>
      <c r="P4" t="inlineStr">
        <is>
          <t>AC1</t>
        </is>
      </c>
      <c r="Q4" t="n">
        <v>0</v>
      </c>
      <c r="R4" t="n">
        <v>0</v>
      </c>
      <c r="S4" t="n">
        <v>0</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124</v>
      </c>
      <c r="B5" t="n">
        <v>50</v>
      </c>
      <c r="C5" t="n">
        <v>1</v>
      </c>
      <c r="D5" t="n">
        <v>1</v>
      </c>
      <c r="E5" t="inlineStr">
        <is>
          <t>R1 y R2 hacen un divisor de tensión</t>
        </is>
      </c>
      <c r="F5" t="inlineStr">
        <is>
          <t>¿Has tenido en cuenta todas las resistencias que conectan directamente el nudo N2 con la referencia (0)? ¿Qué camino sigue la corriente desde N2 hasta tierra?</t>
        </is>
      </c>
      <c r="G5" t="n">
        <v>3</v>
      </c>
      <c r="H5" t="n">
        <v>4</v>
      </c>
      <c r="I5" t="n">
        <v>3</v>
      </c>
      <c r="J5" t="n">
        <v>5</v>
      </c>
      <c r="K5" t="n">
        <v>15</v>
      </c>
      <c r="L5" t="n">
        <v>5.137</v>
      </c>
      <c r="M5" t="n">
        <v>159</v>
      </c>
      <c r="N5" t="n">
        <v>11.68</v>
      </c>
      <c r="O5" t="inlineStr">
        <is>
          <t>AC9</t>
        </is>
      </c>
      <c r="P5" t="inlineStr">
        <is>
          <t>AC1, AC9</t>
        </is>
      </c>
      <c r="Q5" t="n">
        <v>0.5</v>
      </c>
      <c r="R5" t="n">
        <v>1</v>
      </c>
      <c r="S5" t="n">
        <v>0.667</v>
      </c>
      <c r="T5" t="inlineStr"/>
      <c r="U5" t="inlineStr"/>
      <c r="V5" t="inlineStr"/>
      <c r="W5"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6">
      <c r="A6" t="n">
        <v>125</v>
      </c>
      <c r="B6" t="n">
        <v>50</v>
      </c>
      <c r="C6" t="n">
        <v>2</v>
      </c>
      <c r="D6" t="n">
        <v>1</v>
      </c>
      <c r="E6" t="inlineStr">
        <is>
          <t>R1, R2, R3 y R4 porque R5 está cortocircuitada</t>
        </is>
      </c>
      <c r="F6" t="inlineStr">
        <is>
          <t>¿Los caminos de R3 y R4 desde N2 hasta tierra son realmente independientes entre sí? ¿Cómo afecta el cortocircuito de R5 a la conexión de R3 o R4 con el resto del circuito?</t>
        </is>
      </c>
      <c r="G6" t="n">
        <v>4</v>
      </c>
      <c r="H6" t="n">
        <v>3</v>
      </c>
      <c r="I6" t="n">
        <v>4</v>
      </c>
      <c r="J6" t="n">
        <v>5</v>
      </c>
      <c r="K6" t="n">
        <v>16</v>
      </c>
      <c r="L6" t="n">
        <v>6.639</v>
      </c>
      <c r="M6" t="n">
        <v>231</v>
      </c>
      <c r="N6" t="n">
        <v>9.039999999999999</v>
      </c>
      <c r="O6" t="inlineStr">
        <is>
          <t>AC1, AC6</t>
        </is>
      </c>
      <c r="P6" t="inlineStr">
        <is>
          <t>AC1, AC6, AC9</t>
        </is>
      </c>
      <c r="Q6" t="n">
        <v>0.667</v>
      </c>
      <c r="R6" t="n">
        <v>1</v>
      </c>
      <c r="S6" t="n">
        <v>0.8</v>
      </c>
      <c r="T6" t="inlineStr"/>
      <c r="U6" t="inlineStr"/>
      <c r="V6" t="inlineStr"/>
      <c r="W6" t="inlineStr">
        <is>
          <t>Socraticidad 4/5 (Andamiaje para detección): Andamiaje para detección: identifica el área del error y plantea pregunta que confronta con la teoría. Precisión Conceptual 3/5 (Suficiente): Suficiente: identifica que hay un error y usa conceptos correctos, pero el diagnóstico es algo vago. Buen desempeño general; hay margen de mejora en profundidad socrática.</t>
        </is>
      </c>
    </row>
    <row r="7">
      <c r="A7" t="n">
        <v>126</v>
      </c>
      <c r="B7" t="n">
        <v>50</v>
      </c>
      <c r="C7" t="n">
        <v>3</v>
      </c>
      <c r="D7" t="n">
        <v>1</v>
      </c>
      <c r="E7" t="inlineStr">
        <is>
          <t>R1, R2, R3 y R4 porque por R5 no circula corriente</t>
        </is>
      </c>
      <c r="F7" t="inlineStr">
        <is>
          <t>¿La conexión en cortocircuito de R5 altera la configuración serie o paralelo de R3 y R4 respecto al nodo N2? ¿Cómo se distribuye la corriente en R3 y R4 si el nudo entre ellas está conectado directamente a tierra?</t>
        </is>
      </c>
      <c r="G7" t="n">
        <v>3</v>
      </c>
      <c r="H7" t="n">
        <v>4</v>
      </c>
      <c r="I7" t="n">
        <v>4</v>
      </c>
      <c r="J7" t="n">
        <v>5</v>
      </c>
      <c r="K7" t="n">
        <v>16</v>
      </c>
      <c r="L7" t="n">
        <v>9.605</v>
      </c>
      <c r="M7" t="n">
        <v>326</v>
      </c>
      <c r="N7" t="n">
        <v>6.25</v>
      </c>
      <c r="O7" t="inlineStr">
        <is>
          <t>AC1, AC6</t>
        </is>
      </c>
      <c r="P7" t="inlineStr">
        <is>
          <t>AC1, AC6, AC9</t>
        </is>
      </c>
      <c r="Q7" t="n">
        <v>0.667</v>
      </c>
      <c r="R7" t="n">
        <v>1</v>
      </c>
      <c r="S7" t="n">
        <v>0.8</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8">
      <c r="A8" t="n">
        <v>127</v>
      </c>
      <c r="B8" t="n">
        <v>51</v>
      </c>
      <c r="C8" t="n">
        <v>1</v>
      </c>
      <c r="D8" t="n">
        <v>1</v>
      </c>
      <c r="E8" t="inlineStr">
        <is>
          <t>R1, R2, R3 y R4 porque R5 se quita</t>
        </is>
      </c>
      <c r="F8" t="inlineStr">
        <is>
          <t>¿Crees que hay corriente en la rama donde está R3 cuando el interruptor entre N2 y N3 está abierto? ¿Qué efecto tiene un interruptor abierto en el camino de la corriente?</t>
        </is>
      </c>
      <c r="G8" t="n">
        <v>3</v>
      </c>
      <c r="H8" t="n">
        <v>4</v>
      </c>
      <c r="I8" t="n">
        <v>3</v>
      </c>
      <c r="J8" t="n">
        <v>5</v>
      </c>
      <c r="K8" t="n">
        <v>15</v>
      </c>
      <c r="L8" t="n">
        <v>6.792</v>
      </c>
      <c r="M8" t="n">
        <v>243</v>
      </c>
      <c r="N8" t="n">
        <v>8.83</v>
      </c>
      <c r="O8" t="inlineStr">
        <is>
          <t>AC1, AC6</t>
        </is>
      </c>
      <c r="P8" t="inlineStr">
        <is>
          <t>AC1, AC9</t>
        </is>
      </c>
      <c r="Q8" t="n">
        <v>0.5</v>
      </c>
      <c r="R8" t="n">
        <v>0.5</v>
      </c>
      <c r="S8" t="n">
        <v>0.5</v>
      </c>
      <c r="T8" t="inlineStr"/>
      <c r="U8" t="inlineStr"/>
      <c r="V8" t="inlineStr"/>
      <c r="W8"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9">
      <c r="A9" t="n">
        <v>129</v>
      </c>
      <c r="B9" t="n">
        <v>51</v>
      </c>
      <c r="C9" t="n">
        <v>3</v>
      </c>
      <c r="D9" t="n">
        <v>1</v>
      </c>
      <c r="E9" t="inlineStr">
        <is>
          <t>R1, R4 y R5 porque R2 se elimina y R3 también</t>
        </is>
      </c>
      <c r="F9" t="inlineStr">
        <is>
          <t>¿Crees que R2 se elimina cuando el interruptor entre N2 y N3 está abierto? ¿Qué trayectoria sigue la corriente para R2 en esa configuración?</t>
        </is>
      </c>
      <c r="G9" t="n">
        <v>3</v>
      </c>
      <c r="H9" t="n">
        <v>3</v>
      </c>
      <c r="I9" t="n">
        <v>3</v>
      </c>
      <c r="J9" t="n">
        <v>5</v>
      </c>
      <c r="K9" t="n">
        <v>14</v>
      </c>
      <c r="L9" t="n">
        <v>7.813</v>
      </c>
      <c r="M9" t="n">
        <v>377</v>
      </c>
      <c r="N9" t="n">
        <v>7.68</v>
      </c>
      <c r="O9" t="inlineStr">
        <is>
          <t>AC1, AC6</t>
        </is>
      </c>
      <c r="P9" t="inlineStr">
        <is>
          <t>AC1</t>
        </is>
      </c>
      <c r="Q9" t="n">
        <v>1</v>
      </c>
      <c r="R9" t="n">
        <v>0.5</v>
      </c>
      <c r="S9" t="n">
        <v>0.667</v>
      </c>
      <c r="T9" t="inlineStr"/>
      <c r="U9" t="inlineStr"/>
      <c r="V9" t="inlineStr"/>
      <c r="W9"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10">
      <c r="A10" t="n">
        <v>130</v>
      </c>
      <c r="B10" t="n">
        <v>52</v>
      </c>
      <c r="C10" t="n">
        <v>1</v>
      </c>
      <c r="D10" t="n">
        <v>1</v>
      </c>
      <c r="E10" t="inlineStr">
        <is>
          <t>R1 y R4 dado que R2 está en paralelo con la fuente, R3 en circuito abierto y R5 cortocircuitada</t>
        </is>
      </c>
      <c r="F10" t="inlineStr">
        <is>
          <t>¿Has considerado si la resistencia entre N2 y 0 incluye todos los caminos posibles, incluso los que comparten nodo con la fuente?</t>
        </is>
      </c>
      <c r="G10" t="n">
        <v>3</v>
      </c>
      <c r="H10" t="n">
        <v>3</v>
      </c>
      <c r="I10" t="n">
        <v>3</v>
      </c>
      <c r="J10" t="n">
        <v>5</v>
      </c>
      <c r="K10" t="n">
        <v>14</v>
      </c>
      <c r="L10" t="n">
        <v>5.038</v>
      </c>
      <c r="M10" t="n">
        <v>222</v>
      </c>
      <c r="N10" t="n">
        <v>11.91</v>
      </c>
      <c r="O10" t="inlineStr">
        <is>
          <t>AC1, AC6</t>
        </is>
      </c>
      <c r="P10" t="inlineStr">
        <is>
          <t>AC1, AC9</t>
        </is>
      </c>
      <c r="Q10" t="n">
        <v>0.5</v>
      </c>
      <c r="R10" t="n">
        <v>0.5</v>
      </c>
      <c r="S10" t="n">
        <v>0.5</v>
      </c>
      <c r="T10" t="inlineStr"/>
      <c r="U10" t="inlineStr"/>
      <c r="V10" t="inlineStr"/>
      <c r="W10"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51</v>
      </c>
      <c r="B2" t="n">
        <v>21</v>
      </c>
      <c r="C2" t="n">
        <v>1</v>
      </c>
      <c r="D2" t="n">
        <v>1</v>
      </c>
      <c r="E2" t="inlineStr">
        <is>
          <t>R1 y R2 dado que las dos resistencia forman un divisor de tensión</t>
        </is>
      </c>
      <c r="F2" t="inlineStr">
        <is>
          <t>¿Has considerado todas las resistencias en el camino desde N2 hasta el nudo 0?</t>
        </is>
      </c>
      <c r="G2" t="n">
        <v>3</v>
      </c>
      <c r="H2" t="n">
        <v>3</v>
      </c>
      <c r="I2" t="n">
        <v>3</v>
      </c>
      <c r="J2" t="n">
        <v>5</v>
      </c>
      <c r="K2" t="n">
        <v>14</v>
      </c>
      <c r="L2" t="n">
        <v>20.679</v>
      </c>
      <c r="M2" t="n">
        <v>151</v>
      </c>
      <c r="N2" t="n">
        <v>2.9</v>
      </c>
      <c r="O2" t="inlineStr">
        <is>
          <t>AC9</t>
        </is>
      </c>
      <c r="P2" t="inlineStr">
        <is>
          <t>AC9</t>
        </is>
      </c>
      <c r="Q2" t="n">
        <v>1</v>
      </c>
      <c r="R2" t="n">
        <v>1</v>
      </c>
      <c r="S2" t="n">
        <v>1</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52</v>
      </c>
      <c r="B3" t="n">
        <v>21</v>
      </c>
      <c r="C3" t="n">
        <v>2</v>
      </c>
      <c r="D3" t="n">
        <v>1</v>
      </c>
      <c r="E3" t="inlineStr">
        <is>
          <t>R1 y R2 dado que se pide la tensión en R2</t>
        </is>
      </c>
      <c r="F3" t="inlineStr">
        <is>
          <t>¿Has considerado el efecto del interruptor en la configuración del divisor de tensión?</t>
        </is>
      </c>
      <c r="G3" t="n">
        <v>3</v>
      </c>
      <c r="H3" t="n">
        <v>3</v>
      </c>
      <c r="I3" t="n">
        <v>3</v>
      </c>
      <c r="J3" t="n">
        <v>5</v>
      </c>
      <c r="K3" t="n">
        <v>14</v>
      </c>
      <c r="L3" t="n">
        <v>2.5</v>
      </c>
      <c r="M3" t="n">
        <v>315</v>
      </c>
      <c r="N3" t="n">
        <v>24</v>
      </c>
      <c r="O3" t="inlineStr">
        <is>
          <t>AC9</t>
        </is>
      </c>
      <c r="P3" t="inlineStr">
        <is>
          <t>AC1</t>
        </is>
      </c>
      <c r="Q3" t="n">
        <v>0</v>
      </c>
      <c r="R3" t="n">
        <v>0</v>
      </c>
      <c r="S3" t="n">
        <v>0</v>
      </c>
      <c r="T3" t="inlineStr"/>
      <c r="U3" t="inlineStr"/>
      <c r="V3" t="inlineStr"/>
      <c r="W3"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4">
      <c r="A4" t="n">
        <v>53</v>
      </c>
      <c r="B4" t="n">
        <v>21</v>
      </c>
      <c r="C4" t="n">
        <v>3</v>
      </c>
      <c r="D4" t="n">
        <v>1</v>
      </c>
      <c r="E4" t="inlineStr">
        <is>
          <t>R1 y R2 por identificar un divisor de tensión</t>
        </is>
      </c>
      <c r="F4" t="inlineStr">
        <is>
          <t>¿Has considerado la ubicación del interruptor en</t>
        </is>
      </c>
      <c r="G4" t="n">
        <v>1</v>
      </c>
      <c r="H4" t="n">
        <v>2</v>
      </c>
      <c r="I4" t="n">
        <v>3</v>
      </c>
      <c r="J4" t="n">
        <v>5</v>
      </c>
      <c r="K4" t="n">
        <v>11</v>
      </c>
      <c r="L4" t="n">
        <v>3.098</v>
      </c>
      <c r="M4" t="n">
        <v>400</v>
      </c>
      <c r="N4" t="n">
        <v>19.37</v>
      </c>
      <c r="O4" t="inlineStr">
        <is>
          <t>AC9</t>
        </is>
      </c>
      <c r="P4" t="inlineStr">
        <is>
          <t>AC1</t>
        </is>
      </c>
      <c r="Q4" t="n">
        <v>0</v>
      </c>
      <c r="R4" t="n">
        <v>0</v>
      </c>
      <c r="S4" t="n">
        <v>0</v>
      </c>
      <c r="T4" t="inlineStr"/>
      <c r="U4" t="inlineStr"/>
      <c r="V4" t="inlineStr"/>
      <c r="W4"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5">
      <c r="A5" t="n">
        <v>54</v>
      </c>
      <c r="B5" t="n">
        <v>22</v>
      </c>
      <c r="C5" t="n">
        <v>1</v>
      </c>
      <c r="D5" t="n">
        <v>1</v>
      </c>
      <c r="E5" t="inlineStr">
        <is>
          <t>R1 y R2 hacen un divisor de tensión</t>
        </is>
      </c>
      <c r="F5" t="inlineStr">
        <is>
          <t>¿La resistencia R4 forma parte del camino desde el nudo N2 hasta el nudo 0?</t>
        </is>
      </c>
      <c r="G5" t="n">
        <v>3</v>
      </c>
      <c r="H5" t="n">
        <v>3</v>
      </c>
      <c r="I5" t="n">
        <v>3</v>
      </c>
      <c r="J5" t="n">
        <v>5</v>
      </c>
      <c r="K5" t="n">
        <v>14</v>
      </c>
      <c r="L5" t="n">
        <v>1.603</v>
      </c>
      <c r="M5" t="n">
        <v>193</v>
      </c>
      <c r="N5" t="n">
        <v>37.42</v>
      </c>
      <c r="O5" t="inlineStr">
        <is>
          <t>AC9</t>
        </is>
      </c>
      <c r="P5" t="inlineStr">
        <is>
          <t>AC9</t>
        </is>
      </c>
      <c r="Q5" t="n">
        <v>1</v>
      </c>
      <c r="R5" t="n">
        <v>1</v>
      </c>
      <c r="S5" t="n">
        <v>1</v>
      </c>
      <c r="T5" t="inlineStr"/>
      <c r="U5" t="inlineStr"/>
      <c r="V5" t="inlineStr"/>
      <c r="W5"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6">
      <c r="A6" t="n">
        <v>55</v>
      </c>
      <c r="B6" t="n">
        <v>22</v>
      </c>
      <c r="C6" t="n">
        <v>2</v>
      </c>
      <c r="D6" t="n">
        <v>1</v>
      </c>
      <c r="E6" t="inlineStr">
        <is>
          <t>R1, R2, R3 y R4 porque R5 está cortocircuitada</t>
        </is>
      </c>
      <c r="F6" t="inlineStr">
        <is>
          <t>¿R3 y R4 están en el mismo camino que R1 y R2?</t>
        </is>
      </c>
      <c r="G6" t="n">
        <v>3</v>
      </c>
      <c r="H6" t="n">
        <v>2</v>
      </c>
      <c r="I6" t="n">
        <v>5</v>
      </c>
      <c r="J6" t="n">
        <v>5</v>
      </c>
      <c r="K6" t="n">
        <v>15</v>
      </c>
      <c r="L6" t="n">
        <v>1.768</v>
      </c>
      <c r="M6" t="n">
        <v>237</v>
      </c>
      <c r="N6" t="n">
        <v>33.93</v>
      </c>
      <c r="O6" t="inlineStr">
        <is>
          <t>AC1, AC6</t>
        </is>
      </c>
      <c r="P6" t="inlineStr">
        <is>
          <t>AC6, AC9</t>
        </is>
      </c>
      <c r="Q6" t="n">
        <v>0.5</v>
      </c>
      <c r="R6" t="n">
        <v>0.5</v>
      </c>
      <c r="S6" t="n">
        <v>0.5</v>
      </c>
      <c r="T6" t="inlineStr"/>
      <c r="U6" t="inlineStr"/>
      <c r="V6" t="inlineStr"/>
      <c r="W6"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7">
      <c r="A7" t="n">
        <v>56</v>
      </c>
      <c r="B7" t="n">
        <v>22</v>
      </c>
      <c r="C7" t="n">
        <v>3</v>
      </c>
      <c r="D7" t="n">
        <v>1</v>
      </c>
      <c r="E7" t="inlineStr">
        <is>
          <t>R1, R2, R3 y R4 porque por R5 no circula corriente</t>
        </is>
      </c>
      <c r="F7" t="inlineStr">
        <is>
          <t>¿R3 y R4 están en el mismo camino que R1 y R2?</t>
        </is>
      </c>
      <c r="G7" t="n">
        <v>3</v>
      </c>
      <c r="H7" t="n">
        <v>2</v>
      </c>
      <c r="I7" t="n">
        <v>5</v>
      </c>
      <c r="J7" t="n">
        <v>5</v>
      </c>
      <c r="K7" t="n">
        <v>15</v>
      </c>
      <c r="L7" t="n">
        <v>2.453</v>
      </c>
      <c r="M7" t="n">
        <v>342</v>
      </c>
      <c r="N7" t="n">
        <v>24.46</v>
      </c>
      <c r="O7" t="inlineStr">
        <is>
          <t>AC1, AC6</t>
        </is>
      </c>
      <c r="P7" t="inlineStr">
        <is>
          <t>AC6, AC9</t>
        </is>
      </c>
      <c r="Q7" t="n">
        <v>0.5</v>
      </c>
      <c r="R7" t="n">
        <v>0.5</v>
      </c>
      <c r="S7" t="n">
        <v>0.5</v>
      </c>
      <c r="T7" t="inlineStr"/>
      <c r="U7" t="inlineStr"/>
      <c r="V7" t="inlineStr"/>
      <c r="W7"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row r="8">
      <c r="A8" t="n">
        <v>57</v>
      </c>
      <c r="B8" t="n">
        <v>23</v>
      </c>
      <c r="C8" t="n">
        <v>1</v>
      </c>
      <c r="D8" t="n">
        <v>1</v>
      </c>
      <c r="E8" t="inlineStr">
        <is>
          <t>R1, R2, R3 y R4 porque R5 se quita</t>
        </is>
      </c>
      <c r="F8" t="inlineStr">
        <is>
          <t>¿La resistencia R3 forma parte del camino desde N2 hasta el nodo 0?</t>
        </is>
      </c>
      <c r="G8" t="n">
        <v>3</v>
      </c>
      <c r="H8" t="n">
        <v>3</v>
      </c>
      <c r="I8" t="n">
        <v>3</v>
      </c>
      <c r="J8" t="n">
        <v>5</v>
      </c>
      <c r="K8" t="n">
        <v>14</v>
      </c>
      <c r="L8" t="n">
        <v>1.286</v>
      </c>
      <c r="M8" t="n">
        <v>169</v>
      </c>
      <c r="N8" t="n">
        <v>46.67</v>
      </c>
      <c r="O8" t="inlineStr">
        <is>
          <t>AC1, AC6</t>
        </is>
      </c>
      <c r="P8" t="inlineStr">
        <is>
          <t>AC9</t>
        </is>
      </c>
      <c r="Q8" t="n">
        <v>0</v>
      </c>
      <c r="R8" t="n">
        <v>0</v>
      </c>
      <c r="S8" t="n">
        <v>0</v>
      </c>
      <c r="T8" t="inlineStr"/>
      <c r="U8" t="inlineStr"/>
      <c r="V8" t="inlineStr"/>
      <c r="W8"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9">
      <c r="A9" t="n">
        <v>58</v>
      </c>
      <c r="B9" t="n">
        <v>23</v>
      </c>
      <c r="C9" t="n">
        <v>2</v>
      </c>
      <c r="D9" t="n">
        <v>1</v>
      </c>
      <c r="E9" t="inlineStr">
        <is>
          <t>R1, R3 y R4 porque R2 está en paralelo con la fuente y R5 corctocircuitada</t>
        </is>
      </c>
      <c r="F9" t="inlineStr">
        <is>
          <t>¿El cortocircuito de R5 crea un camino alternativo que desvía la corriente de R2?</t>
        </is>
      </c>
      <c r="G9" t="n">
        <v>3</v>
      </c>
      <c r="H9" t="n">
        <v>4</v>
      </c>
      <c r="I9" t="n">
        <v>3</v>
      </c>
      <c r="J9" t="n">
        <v>5</v>
      </c>
      <c r="K9" t="n">
        <v>15</v>
      </c>
      <c r="L9" t="n">
        <v>2.477</v>
      </c>
      <c r="M9" t="n">
        <v>399</v>
      </c>
      <c r="N9" t="n">
        <v>24.22</v>
      </c>
      <c r="O9" t="inlineStr">
        <is>
          <t>AC1, AC6</t>
        </is>
      </c>
      <c r="P9" t="inlineStr">
        <is>
          <t>AC1, AC6, AC9</t>
        </is>
      </c>
      <c r="Q9" t="n">
        <v>0.667</v>
      </c>
      <c r="R9" t="n">
        <v>1</v>
      </c>
      <c r="S9" t="n">
        <v>0.8</v>
      </c>
      <c r="T9" t="inlineStr"/>
      <c r="U9" t="inlineStr"/>
      <c r="V9" t="inlineStr"/>
      <c r="W9"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10">
      <c r="A10" t="n">
        <v>60</v>
      </c>
      <c r="B10" t="n">
        <v>24</v>
      </c>
      <c r="C10" t="n">
        <v>1</v>
      </c>
      <c r="D10" t="n">
        <v>1</v>
      </c>
      <c r="E10" t="inlineStr">
        <is>
          <t>R1 y R4 dado que R2 está en paralelo con la fuente, R3 en circuito abierto y R5 cortocircuitada</t>
        </is>
      </c>
      <c r="F10" t="inlineStr">
        <is>
          <t>¿Está R2 incluida en el camino desde N2 hasta el nudo 0?</t>
        </is>
      </c>
      <c r="G10" t="n">
        <v>3</v>
      </c>
      <c r="H10" t="n">
        <v>2</v>
      </c>
      <c r="I10" t="n">
        <v>3</v>
      </c>
      <c r="J10" t="n">
        <v>5</v>
      </c>
      <c r="K10" t="n">
        <v>13</v>
      </c>
      <c r="L10" t="n">
        <v>2.286</v>
      </c>
      <c r="M10" t="n">
        <v>382</v>
      </c>
      <c r="N10" t="n">
        <v>26.25</v>
      </c>
      <c r="O10" t="inlineStr">
        <is>
          <t>AC1, AC6</t>
        </is>
      </c>
      <c r="P10" t="inlineStr">
        <is>
          <t>AC9</t>
        </is>
      </c>
      <c r="Q10" t="n">
        <v>0</v>
      </c>
      <c r="R10" t="n">
        <v>0</v>
      </c>
      <c r="S10" t="n">
        <v>0</v>
      </c>
      <c r="T10" t="inlineStr"/>
      <c r="U10" t="inlineStr"/>
      <c r="V10" t="inlineStr"/>
      <c r="W10" t="inlineStr">
        <is>
          <t>Socraticidad 3/5 (Clarificación): Pregunta genérica: pide clarificación sin atacar la raíz del error. Precisión Conceptual 2/5 (Pobre): Pobre: responde de forma genérica sin diagnosticar el error conceptual. Buen desempeño general; hay margen de mejora en profundidad socrática.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t="inlineStr">
        <is>
          <t>ID</t>
        </is>
      </c>
      <c r="B1" t="inlineStr">
        <is>
          <t>Conversación</t>
        </is>
      </c>
      <c r="C1" t="inlineStr">
        <is>
          <t>Turno</t>
        </is>
      </c>
      <c r="D1" t="inlineStr">
        <is>
          <t>Ejercicio</t>
        </is>
      </c>
      <c r="E1" t="inlineStr">
        <is>
          <t>Respuesta Estudiante</t>
        </is>
      </c>
      <c r="F1" t="inlineStr">
        <is>
          <t>Respuesta Tutor Socrático</t>
        </is>
      </c>
      <c r="G1" t="inlineStr">
        <is>
          <t>Socraticidad</t>
        </is>
      </c>
      <c r="H1" t="inlineStr">
        <is>
          <t>Precisión Conceptual</t>
        </is>
      </c>
      <c r="I1" t="inlineStr">
        <is>
          <t>Consistencia</t>
        </is>
      </c>
      <c r="J1" t="inlineStr">
        <is>
          <t>Tasa Alucinación</t>
        </is>
      </c>
      <c r="K1" t="inlineStr">
        <is>
          <t>Score Total</t>
        </is>
      </c>
      <c r="L1" t="inlineStr">
        <is>
          <t>Latencia (s)</t>
        </is>
      </c>
      <c r="M1" t="inlineStr">
        <is>
          <t>Tokens</t>
        </is>
      </c>
      <c r="N1" t="inlineStr">
        <is>
          <t>Throughput (resp/min)</t>
        </is>
      </c>
      <c r="O1" t="inlineStr">
        <is>
          <t>ACs Esperadas</t>
        </is>
      </c>
      <c r="P1" t="inlineStr">
        <is>
          <t>ACs Detectadas</t>
        </is>
      </c>
      <c r="Q1" t="inlineStr">
        <is>
          <t>AC Precision</t>
        </is>
      </c>
      <c r="R1" t="inlineStr">
        <is>
          <t>AC Recall</t>
        </is>
      </c>
      <c r="S1" t="inlineStr">
        <is>
          <t>AC F1</t>
        </is>
      </c>
      <c r="T1" t="inlineStr">
        <is>
          <t>Faithfulness</t>
        </is>
      </c>
      <c r="U1" t="inlineStr">
        <is>
          <t>Relevance</t>
        </is>
      </c>
      <c r="V1" t="inlineStr">
        <is>
          <t>Think Content</t>
        </is>
      </c>
      <c r="W1" t="inlineStr">
        <is>
          <t>Feedback Constructivo</t>
        </is>
      </c>
    </row>
    <row r="2">
      <c r="A2" t="n">
        <v>153</v>
      </c>
      <c r="B2" t="n">
        <v>61</v>
      </c>
      <c r="C2" t="n">
        <v>3</v>
      </c>
      <c r="D2" t="n">
        <v>1</v>
      </c>
      <c r="E2" t="inlineStr">
        <is>
          <t>R1 y R2 por identificar un divisor de tensión</t>
        </is>
      </c>
      <c r="F2" t="inlineStr">
        <is>
          <t>¿Los resistores R1 y R2 están conectados en serie entre los terminales de voltaje fuente para formar un divisor de tensión?</t>
        </is>
      </c>
      <c r="G2" t="n">
        <v>3</v>
      </c>
      <c r="H2" t="n">
        <v>3</v>
      </c>
      <c r="I2" t="n">
        <v>5</v>
      </c>
      <c r="J2" t="n">
        <v>5</v>
      </c>
      <c r="K2" t="n">
        <v>16</v>
      </c>
      <c r="L2" t="n">
        <v>66.807</v>
      </c>
      <c r="M2" t="n">
        <v>388</v>
      </c>
      <c r="N2" t="n">
        <v>0.9</v>
      </c>
      <c r="O2" t="inlineStr">
        <is>
          <t>AC9</t>
        </is>
      </c>
      <c r="P2" t="inlineStr">
        <is>
          <t>AC6</t>
        </is>
      </c>
      <c r="Q2" t="n">
        <v>0</v>
      </c>
      <c r="R2" t="n">
        <v>0</v>
      </c>
      <c r="S2" t="n">
        <v>0</v>
      </c>
      <c r="T2" t="inlineStr"/>
      <c r="U2" t="inlineStr"/>
      <c r="V2" t="inlineStr"/>
      <c r="W2"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3">
      <c r="A3" t="n">
        <v>154</v>
      </c>
      <c r="B3" t="n">
        <v>62</v>
      </c>
      <c r="C3" t="n">
        <v>1</v>
      </c>
      <c r="D3" t="n">
        <v>1</v>
      </c>
      <c r="E3" t="inlineStr">
        <is>
          <t>R1 y R2 hacen un divisor de tensión</t>
        </is>
      </c>
      <c r="F3" t="inlineStr">
        <is>
          <t>¿Has considerado cómo contribuyen las resistencias en el camino global desde N2 hasta el nudo 0, bypassando el interruptor abierto?</t>
        </is>
      </c>
      <c r="G3" t="n">
        <v>3</v>
      </c>
      <c r="H3" t="n">
        <v>4</v>
      </c>
      <c r="I3" t="n">
        <v>3</v>
      </c>
      <c r="J3" t="n">
        <v>5</v>
      </c>
      <c r="K3" t="n">
        <v>15</v>
      </c>
      <c r="L3" t="n">
        <v>5.255</v>
      </c>
      <c r="M3" t="n">
        <v>227</v>
      </c>
      <c r="N3" t="n">
        <v>11.42</v>
      </c>
      <c r="O3" t="inlineStr">
        <is>
          <t>AC9</t>
        </is>
      </c>
      <c r="P3" t="inlineStr">
        <is>
          <t>AC1, AC9</t>
        </is>
      </c>
      <c r="Q3" t="n">
        <v>0.5</v>
      </c>
      <c r="R3" t="n">
        <v>1</v>
      </c>
      <c r="S3" t="n">
        <v>0.667</v>
      </c>
      <c r="T3" t="inlineStr"/>
      <c r="U3" t="inlineStr"/>
      <c r="V3" t="inlineStr"/>
      <c r="W3"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4">
      <c r="A4" t="n">
        <v>155</v>
      </c>
      <c r="B4" t="n">
        <v>62</v>
      </c>
      <c r="C4" t="n">
        <v>2</v>
      </c>
      <c r="D4" t="n">
        <v>1</v>
      </c>
      <c r="E4" t="inlineStr">
        <is>
          <t>R1, R2, R3 y R4 porque R5 está cortocircuitada</t>
        </is>
      </c>
      <c r="F4" t="inlineStr">
        <is>
          <t>¿Según el esquema original, ¿están R3, R4 y R5 realmente en el mismo camino del divisor de tensión formado por R1 y R2?</t>
        </is>
      </c>
      <c r="G4" t="n">
        <v>3</v>
      </c>
      <c r="H4" t="n">
        <v>3</v>
      </c>
      <c r="I4" t="n">
        <v>5</v>
      </c>
      <c r="J4" t="n">
        <v>5</v>
      </c>
      <c r="K4" t="n">
        <v>16</v>
      </c>
      <c r="L4" t="n">
        <v>8.351000000000001</v>
      </c>
      <c r="M4" t="n">
        <v>378</v>
      </c>
      <c r="N4" t="n">
        <v>7.18</v>
      </c>
      <c r="O4" t="inlineStr">
        <is>
          <t>AC1, AC6</t>
        </is>
      </c>
      <c r="P4" t="inlineStr">
        <is>
          <t>AC6, AC9</t>
        </is>
      </c>
      <c r="Q4" t="n">
        <v>0.5</v>
      </c>
      <c r="R4" t="n">
        <v>0.5</v>
      </c>
      <c r="S4" t="n">
        <v>0.5</v>
      </c>
      <c r="T4" t="inlineStr"/>
      <c r="U4" t="inlineStr"/>
      <c r="V4" t="inlineStr"/>
      <c r="W4" t="inlineStr">
        <is>
          <t>Socraticidad 3/5 (Clarificación): Pregunta genérica: pide clarificación sin atacar la raíz del error. Precisión Conceptual 3/5 (Suficiente): Suficiente: identifica que hay un error y usa conceptos correctos, pero el diagnóstico es algo vago. Buen desempeño general; hay margen de mejora en profundidad socrática.</t>
        </is>
      </c>
    </row>
    <row r="5">
      <c r="A5" t="n">
        <v>156</v>
      </c>
      <c r="B5" t="n">
        <v>62</v>
      </c>
      <c r="C5" t="n">
        <v>3</v>
      </c>
      <c r="D5" t="n">
        <v>1</v>
      </c>
      <c r="E5" t="inlineStr">
        <is>
          <t>R1, R2, R3 y R4 porque por R5 no circula corriente</t>
        </is>
      </c>
      <c r="F5" t="inlineStr">
        <is>
          <t>&lt;think&gt;
Okay, the student is working on a problem involving resistors in a voltage divider circuit. They mentioned R1, R2, R3, and R4, saying that R5 is short-circuited, so no current flows through it. 
First, I need to recall the rules: ask a question that guides them without giving the answer. The key points here are voltage dividers and short circuits. A voltage divider typically involves resistors in series. If R5 is shorted, it would indeed have no voltage across it, but the student might be confusing series and parallel configurations.
Wait, the user mentioned R5 is "cortocircuitada" which translates to short-circuited. A short circuit provides an alternative path with almost zero resistance. So if R5 is in parallel with another resistor, the current would take the path through the short, bypassing that resistor. But in a voltage divider, the resistors need to be in series. 
The student's answer includes R3, R4, but maybe they're not all in series? The initial message from the assistant asked if R3, R4, and R5 are in the same path as the voltage divider formed by R1 and R2. The student's response suggests they think R5 is bypassed because of the short, but perhaps they're misunderstanding which resistors are actually in the voltage divider path. 
The next step is to question their understanding of how the short affects R5's position in the circuit. Maybe they think R5 is out of the circuit entirely, but in a voltage divider, all resistors in series would contribute. Alternatively, if R5 is shorted, it might not be part of the series path anymore. The student needs to verify the actual configuration of the resistors in the circuit they're analyzing. 
So the question should prompt them to check if R3 and R4 are indeed in series with R1 and R2</t>
        </is>
      </c>
      <c r="G5" t="n">
        <v>1</v>
      </c>
      <c r="H5" t="n">
        <v>2</v>
      </c>
      <c r="I5" t="n">
        <v>2</v>
      </c>
      <c r="J5" t="n">
        <v>5</v>
      </c>
      <c r="K5" t="n">
        <v>10</v>
      </c>
      <c r="L5" t="n">
        <v>8.971</v>
      </c>
      <c r="M5" t="n">
        <v>400</v>
      </c>
      <c r="N5" t="n">
        <v>6.69</v>
      </c>
      <c r="O5" t="inlineStr">
        <is>
          <t>AC1, AC6</t>
        </is>
      </c>
      <c r="P5" t="inlineStr"/>
      <c r="Q5" t="n">
        <v>1</v>
      </c>
      <c r="R5" t="n">
        <v>0</v>
      </c>
      <c r="S5" t="n">
        <v>0</v>
      </c>
      <c r="T5" t="inlineStr"/>
      <c r="U5" t="inlineStr"/>
      <c r="V5" t="inlineStr"/>
      <c r="W5" t="inlineStr">
        <is>
          <t>Socraticidad 1/5 (Instructivo): No termina en pregunta; el tutor es instructivo. Precisión Conceptual 2/5 (Pobre): Pobre: responde de forma genérica sin diagnosticar el error conceptual. Desempeño aceptable; necesita mejorar precisión o metodología socrática.</t>
        </is>
      </c>
    </row>
    <row r="6">
      <c r="A6" t="n">
        <v>157</v>
      </c>
      <c r="B6" t="n">
        <v>63</v>
      </c>
      <c r="C6" t="n">
        <v>1</v>
      </c>
      <c r="D6" t="n">
        <v>1</v>
      </c>
      <c r="E6" t="inlineStr">
        <is>
          <t>R1, R2, R3 y R4 porque R5 se quita</t>
        </is>
      </c>
      <c r="F6" t="inlineStr">
        <is>
          <t>&lt;think&gt;
Okay, the student included R3 and R4 but mentioned removing R5. Let me check the common misconceptions here. The user's answer says R1, R2, R3, R4, but the correct answer excludes R3 and R5. The problem states there's an open switch between N2 and N3, so R3 is in an open circuit. The student might think current flows through an open switch (AC1). Also, they said R5 is removed, but maybe they didn't realize R5 is short-circuited (AC6). The question should target these without naming the resistors. For R3: Ask about current in an open switch. For R5: Maybe ask about the terminals of R5 being connected? Wait, the策略 says for AC6, ask what the two terminals of R5 have in common, like same node. The student's answer might have thought R5 is out because it's shorted, but actually, that's why it doesn't contribute. So the question should address both possible errors. But the student included R3 which is incorrect. The main issue here is R3 being in the open circuit. So the first strategy for AC1 is to ask about current in a disconnected branch. The student included R3, so the question should be "What happens to the current in a branch with an open switch?" But need to follow the rules: one question, ending with ?, not mentioning R3. Alternatively, "Does current flow through a resistor connected across the same node?" but that might not fit. Wait, the student removed R5 correctly, but the problem says R5 is shorted. So the student might have thought R5 is excluded for the right reason. The main error is including R3. The question needs to target why R3 isn't part. So the best is to ask about the current in a branch with an open switch. So the question: "</t>
        </is>
      </c>
      <c r="G6" t="n">
        <v>1</v>
      </c>
      <c r="H6" t="n">
        <v>2</v>
      </c>
      <c r="I6" t="n">
        <v>2</v>
      </c>
      <c r="J6" t="n">
        <v>5</v>
      </c>
      <c r="K6" t="n">
        <v>10</v>
      </c>
      <c r="L6" t="n">
        <v>9.260999999999999</v>
      </c>
      <c r="M6" t="n">
        <v>400</v>
      </c>
      <c r="N6" t="n">
        <v>6.48</v>
      </c>
      <c r="O6" t="inlineStr">
        <is>
          <t>AC1, AC6</t>
        </is>
      </c>
      <c r="P6" t="inlineStr"/>
      <c r="Q6" t="n">
        <v>1</v>
      </c>
      <c r="R6" t="n">
        <v>0</v>
      </c>
      <c r="S6" t="n">
        <v>0</v>
      </c>
      <c r="T6" t="inlineStr"/>
      <c r="U6" t="inlineStr"/>
      <c r="V6" t="inlineStr"/>
      <c r="W6" t="inlineStr">
        <is>
          <t>Socraticidad 1/5 (Instructivo): No termina en pregunta; el tutor es instructivo. Precisión Conceptual 2/5 (Pobre): Respuesta genérica: sin vocabulario técnico ni diagnóstico del error. Desempeño aceptable; necesita mejorar precisión o metodología socrática.</t>
        </is>
      </c>
    </row>
    <row r="7">
      <c r="A7" t="n">
        <v>158</v>
      </c>
      <c r="B7" t="n">
        <v>63</v>
      </c>
      <c r="C7" t="n">
        <v>2</v>
      </c>
      <c r="D7" t="n">
        <v>1</v>
      </c>
      <c r="E7" t="inlineStr">
        <is>
          <t>R1, R3 y R4 porque R2 está en paralelo con la fuente y R5 corctocircuitada</t>
        </is>
      </c>
      <c r="F7" t="inlineStr">
        <is>
          <t>¿Si un resistor está en serie con un interruptor abierto, ¿puede considerarse que está en paralelo con la fuente de voltaje?</t>
        </is>
      </c>
      <c r="G7" t="n">
        <v>3</v>
      </c>
      <c r="H7" t="n">
        <v>4</v>
      </c>
      <c r="I7" t="n">
        <v>3</v>
      </c>
      <c r="J7" t="n">
        <v>5</v>
      </c>
      <c r="K7" t="n">
        <v>15</v>
      </c>
      <c r="L7" t="n">
        <v>7.302</v>
      </c>
      <c r="M7" t="n">
        <v>319</v>
      </c>
      <c r="N7" t="n">
        <v>8.220000000000001</v>
      </c>
      <c r="O7" t="inlineStr">
        <is>
          <t>AC1, AC6</t>
        </is>
      </c>
      <c r="P7" t="inlineStr">
        <is>
          <t>AC1</t>
        </is>
      </c>
      <c r="Q7" t="n">
        <v>1</v>
      </c>
      <c r="R7" t="n">
        <v>0.5</v>
      </c>
      <c r="S7" t="n">
        <v>0.667</v>
      </c>
      <c r="T7" t="inlineStr"/>
      <c r="U7" t="inlineStr"/>
      <c r="V7" t="inlineStr"/>
      <c r="W7" t="inlineStr">
        <is>
          <t>Socraticidad 3/5 (Clarificación): Pregunta genérica: pide clarificación sin atacar la raíz del error. Precisión Conceptual 4/5 (Bueno): Bueno: identifica claramente la concepción alternativa con lenguaje técnico preciso. Buen desempeño general; hay margen de mejora en profundidad socrática.</t>
        </is>
      </c>
    </row>
    <row r="8">
      <c r="A8" t="n">
        <v>159</v>
      </c>
      <c r="B8" t="n">
        <v>63</v>
      </c>
      <c r="C8" t="n">
        <v>3</v>
      </c>
      <c r="D8" t="n">
        <v>1</v>
      </c>
      <c r="E8" t="inlineStr">
        <is>
          <t>R1, R4 y R5 porque R2 se elimina y R3 también</t>
        </is>
      </c>
      <c r="F8" t="inlineStr">
        <is>
          <t>&lt;think&gt;
Okay, let me see what the student is saying here. They mention R1, R4, and R5, and exclude R2 and R3. The problem likely involves a circuit with switches affecting the resistors. The user's previous messages indicated issues with open switches and short circuits. The student's current answer might still have errors. 
First, R2 being eliminated could mean it's in a short circuit or open circuit. If the student says R2 is eliminated because it's in parallel with the source (like a short), that's a common mistake. But if there's an open switch in its branch, then current can't flow, so R2 isn't part of the equivalent resistance. Wait, the student's previous answer mentioned R5 being a short (cortocircuitada), so maybe here they're considering R5 as still part because of that?
The student now includes R5, but if R5 is shorted (like a short circuit), its resistance is 0, so it doesn't contribute to total resistance. But maybe they think when shorted, it's still part of the equivalent. Alternatively, R2 being eliminated might be correct if it's in a short. 
The key here is the configuration of the switches. Let me think of the possible circuit configuration. Suppose there are switches AC1, AC2, AC3, AC6 as per previous context. For example, if AC1 is open (so R1 and R2 are split), AC2 closed, AC3 closed, and AC6 (shorting R5). 
The student's latest answer: R1, R4, R5 because R2 is eliminated and R3 too. But if R3 is in a branch with an open switch, then it shouldn't be included. Also, if R5 is shorted (AC6 closed), then R5 is bypassed, so it's not part of the circuit. So including R5</t>
        </is>
      </c>
      <c r="G8" t="n">
        <v>1</v>
      </c>
      <c r="H8" t="n">
        <v>2</v>
      </c>
      <c r="I8" t="n">
        <v>2</v>
      </c>
      <c r="J8" t="n">
        <v>5</v>
      </c>
      <c r="K8" t="n">
        <v>10</v>
      </c>
      <c r="L8" t="n">
        <v>8.939</v>
      </c>
      <c r="M8" t="n">
        <v>400</v>
      </c>
      <c r="N8" t="n">
        <v>6.71</v>
      </c>
      <c r="O8" t="inlineStr">
        <is>
          <t>AC1, AC6</t>
        </is>
      </c>
      <c r="P8" t="inlineStr"/>
      <c r="Q8" t="n">
        <v>1</v>
      </c>
      <c r="R8" t="n">
        <v>0</v>
      </c>
      <c r="S8" t="n">
        <v>0</v>
      </c>
      <c r="T8" t="inlineStr"/>
      <c r="U8" t="inlineStr"/>
      <c r="V8" t="inlineStr"/>
      <c r="W8" t="inlineStr">
        <is>
          <t>Socraticidad 1/5 (Instructivo): No termina en pregunta; el tutor es instructivo. Precisión Conceptual 2/5 (Pobre): Respuesta genérica: sin vocabulario técnico ni diagnóstico del error. Desempeño aceptable; necesita mejorar precisión o metodología socrática.</t>
        </is>
      </c>
    </row>
    <row r="9">
      <c r="A9" t="n">
        <v>160</v>
      </c>
      <c r="B9" t="n">
        <v>64</v>
      </c>
      <c r="C9" t="n">
        <v>1</v>
      </c>
      <c r="D9" t="n">
        <v>1</v>
      </c>
      <c r="E9" t="inlineStr">
        <is>
          <t>R1 y R4 dado que R2 está en paralelo con la fuente, R3 en circuito abierto y R5 cortocircuitada</t>
        </is>
      </c>
      <c r="F9" t="inlineStr">
        <is>
          <t>&lt;think&gt;
Okay, let me see. The student answered that the potential difference between N2 and 0 depends on R1 and R4. They mentioned R2 is in parallel with the source, R3 is open, and R5 is shorted. But according to the expert solution, R2 should be included. The user wants me to ask a Socratic question without giving away the answer.
The student's mistake might be thinking R2 is in parallel with the voltage source, so maybe they think it doesn't contribute. But actually, R2 could be in series with R1 or R4 along the path from N2 to 0. The student might be using AC6 or AC1. For AC6, they might not realize R5 is shorted, but they did mention R5 is shorted. Wait, the student did mention R5 is cortocircuitada, so that's correct. The issue is R2 not being included. 
The expert says R1, R2, R4 are the correct ones. The student excluded R2. So maybe they thought R2 is in parallel with the voltage source (V1?), which might have zero resistance in that path? But if V1 is in series with R1 and R2, then R2 is part of the path. Alternatively, maybe the student considered R2 in parallel with the source, hence no current through it, so it doesn't affect the voltage. But in reality, if the path from N2 to 0 goes through R2, then it would matter.
The question needs to guide them to reconsider R2. The problem states the switch is open between N2 and N3, so that R3 is out. The path from N2 to ground (0) would go through R4, but also through R2 and R1? Let me think of the circuit. Suppose the nodes are connected such that N2 is connected via R2 to another node,</t>
        </is>
      </c>
      <c r="G9" t="n">
        <v>1</v>
      </c>
      <c r="H9" t="n">
        <v>2</v>
      </c>
      <c r="I9" t="n">
        <v>2</v>
      </c>
      <c r="J9" t="n">
        <v>5</v>
      </c>
      <c r="K9" t="n">
        <v>10</v>
      </c>
      <c r="L9" t="n">
        <v>9.064</v>
      </c>
      <c r="M9" t="n">
        <v>400</v>
      </c>
      <c r="N9" t="n">
        <v>6.62</v>
      </c>
      <c r="O9" t="inlineStr">
        <is>
          <t>AC1, AC6</t>
        </is>
      </c>
      <c r="P9" t="inlineStr"/>
      <c r="Q9" t="n">
        <v>1</v>
      </c>
      <c r="R9" t="n">
        <v>0</v>
      </c>
      <c r="S9" t="n">
        <v>0</v>
      </c>
      <c r="T9" t="inlineStr"/>
      <c r="U9" t="inlineStr"/>
      <c r="V9" t="inlineStr"/>
      <c r="W9" t="inlineStr">
        <is>
          <t>Socraticidad 1/5 (Instructivo): No termina en pregunta; el tutor es instructivo. Precisión Conceptual 2/5 (Pobre): Pobre: responde de forma genérica sin diagnosticar el error conceptual. Desempeño aceptable; necesita mejorar precisión o metodología socrática.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Campo</t>
        </is>
      </c>
      <c r="B1" t="inlineStr">
        <is>
          <t>Valor</t>
        </is>
      </c>
    </row>
    <row r="2">
      <c r="A2" t="inlineStr">
        <is>
          <t>Fecha generación</t>
        </is>
      </c>
      <c r="B2" t="inlineStr">
        <is>
          <t>2026-05-20T18:00:55.028167</t>
        </is>
      </c>
    </row>
    <row r="3">
      <c r="A3" t="inlineStr">
        <is>
          <t>Método</t>
        </is>
      </c>
      <c r="B3" t="inlineStr">
        <is>
          <t>RAG</t>
        </is>
      </c>
    </row>
    <row r="4">
      <c r="A4" t="inlineStr">
        <is>
          <t>Modelos evaluados</t>
        </is>
      </c>
      <c r="B4" t="inlineStr">
        <is>
          <t>Tutor_EDA, deepseek-r1:32b, deepseek-r1:7b, gemma, gemma3:27b, gemma3:4b, llama-mini, llama3.1:8b, llama3.2:3b, llama3.3:70b, phi4-mini:3.8b, poligpt, qwen3:32b, qwen3:4b, qwq</t>
        </is>
      </c>
    </row>
    <row r="5">
      <c r="A5" t="inlineStr">
        <is>
          <t>Ejercicios cubiertos</t>
        </is>
      </c>
      <c r="B5" t="inlineStr">
        <is>
          <t>1</t>
        </is>
      </c>
    </row>
    <row r="6">
      <c r="A6" t="inlineStr">
        <is>
          <t>Total evaluaciones</t>
        </is>
      </c>
      <c r="B6" t="n">
        <v>138</v>
      </c>
    </row>
    <row r="7">
      <c r="A7" t="inlineStr">
        <is>
          <t>UPV Ollama URL</t>
        </is>
      </c>
      <c r="B7" t="inlineStr">
        <is>
          <t>https://ollama.gti-ia.upv.es:443</t>
        </is>
      </c>
    </row>
    <row r="8">
      <c r="A8" t="inlineStr">
        <is>
          <t>PoliGPT URL</t>
        </is>
      </c>
      <c r="B8" t="inlineStr">
        <is>
          <t>https://api.poligpt.upv.es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Ranking</t>
        </is>
      </c>
      <c r="B1" t="inlineStr">
        <is>
          <t>Modelo</t>
        </is>
      </c>
      <c r="C1" t="inlineStr">
        <is>
          <t>muestras</t>
        </is>
      </c>
      <c r="D1" t="inlineStr">
        <is>
          <t>latencia_media</t>
        </is>
      </c>
      <c r="E1" t="inlineStr">
        <is>
          <t>latencia_p95</t>
        </is>
      </c>
      <c r="F1" t="inlineStr">
        <is>
          <t>throughput</t>
        </is>
      </c>
      <c r="G1" t="inlineStr">
        <is>
          <t>tokens_medio</t>
        </is>
      </c>
      <c r="H1" t="inlineStr">
        <is>
          <t>formato_socratico</t>
        </is>
      </c>
      <c r="I1" t="inlineStr">
        <is>
          <t>correccion_conceptual</t>
        </is>
      </c>
      <c r="J1" t="inlineStr">
        <is>
          <t>adaptabilidad</t>
        </is>
      </c>
      <c r="K1" t="inlineStr">
        <is>
          <t>generacion_reflexion</t>
        </is>
      </c>
      <c r="L1" t="inlineStr">
        <is>
          <t>score_total</t>
        </is>
      </c>
      <c r="M1" t="inlineStr">
        <is>
          <t>pct_socratico</t>
        </is>
      </c>
      <c r="N1" t="inlineStr">
        <is>
          <t>pct_score_15</t>
        </is>
      </c>
      <c r="O1" t="inlineStr">
        <is>
          <t>faithfulness</t>
        </is>
      </c>
      <c r="P1" t="inlineStr">
        <is>
          <t>relevance</t>
        </is>
      </c>
      <c r="Q1" t="inlineStr">
        <is>
          <t>pct_cot</t>
        </is>
      </c>
    </row>
    <row r="2">
      <c r="A2" t="n">
        <v>1</v>
      </c>
      <c r="B2" t="inlineStr">
        <is>
          <t>llama3.3:70b</t>
        </is>
      </c>
      <c r="C2">
        <f>COUNTA('Resultados_llama3.3_70b'!A2:A10000)</f>
        <v/>
      </c>
      <c r="D2">
        <f>IFERROR(AVERAGE('Resultados_llama3.3_70b'!L2:L10000),"")</f>
        <v/>
      </c>
      <c r="E2">
        <f>IFERROR(PERCENTILE('Resultados_llama3.3_70b'!L2:L10000,0.95),"")</f>
        <v/>
      </c>
      <c r="F2">
        <f>IFERROR(IF(AVERAGE('Resultados_llama3.3_70b'!L2:L10000)&gt;0,60/AVERAGE('Resultados_llama3.3_70b'!L2:L10000),0),"")</f>
        <v/>
      </c>
      <c r="G2">
        <f>IFERROR(AVERAGE('Resultados_llama3.3_70b'!M2:M10000),"")</f>
        <v/>
      </c>
      <c r="H2">
        <f>IFERROR(AVERAGE('Resultados_llama3.3_70b'!G2:G10000),"")</f>
        <v/>
      </c>
      <c r="I2">
        <f>IFERROR(AVERAGE('Resultados_llama3.3_70b'!H2:H10000),"")</f>
        <v/>
      </c>
      <c r="J2">
        <f>IFERROR(AVERAGE('Resultados_llama3.3_70b'!I2:I10000),"")</f>
        <v/>
      </c>
      <c r="K2">
        <f>IFERROR(AVERAGE('Resultados_llama3.3_70b'!J2:J10000),"")</f>
        <v/>
      </c>
      <c r="L2">
        <f>IFERROR(AVERAGE('Resultados_llama3.3_70b'!K2:K10000),"")</f>
        <v/>
      </c>
      <c r="M2">
        <f>IFERROR(COUNTIF('Resultados_llama3.3_70b'!G2:G10000,"&gt;=4")/COUNTA('Resultados_llama3.3_70b'!G2:G10000)*100,"")</f>
        <v/>
      </c>
      <c r="N2">
        <f>IFERROR(COUNTIF('Resultados_llama3.3_70b'!K2:K10000,"&gt;=15")/COUNTA('Resultados_llama3.3_70b'!K2:K10000)*100,"")</f>
        <v/>
      </c>
      <c r="O2">
        <f>IFERROR(AVERAGE('Resultados_llama3.3_70b'!T2:T10000),"")</f>
        <v/>
      </c>
      <c r="P2">
        <f>IFERROR(AVERAGE('Resultados_llama3.3_70b'!U2:U10000),"")</f>
        <v/>
      </c>
      <c r="Q2">
        <f>IFERROR(COUNTIF('Resultados_llama3.3_70b'!V2:V10000,"&lt;&gt;")/COUNTA('Resultados_llama3.3_70b'!A2:A10000)*100,"")</f>
        <v/>
      </c>
    </row>
    <row r="3">
      <c r="A3" t="n">
        <v>2</v>
      </c>
      <c r="B3" t="inlineStr">
        <is>
          <t>gemma3:27b</t>
        </is>
      </c>
      <c r="C3">
        <f>COUNTA('Resultados_gemma3_27b'!A2:A10000)</f>
        <v/>
      </c>
      <c r="D3">
        <f>IFERROR(AVERAGE('Resultados_gemma3_27b'!L2:L10000),"")</f>
        <v/>
      </c>
      <c r="E3">
        <f>IFERROR(PERCENTILE('Resultados_gemma3_27b'!L2:L10000,0.95),"")</f>
        <v/>
      </c>
      <c r="F3">
        <f>IFERROR(IF(AVERAGE('Resultados_gemma3_27b'!L2:L10000)&gt;0,60/AVERAGE('Resultados_gemma3_27b'!L2:L10000),0),"")</f>
        <v/>
      </c>
      <c r="G3">
        <f>IFERROR(AVERAGE('Resultados_gemma3_27b'!M2:M10000),"")</f>
        <v/>
      </c>
      <c r="H3">
        <f>IFERROR(AVERAGE('Resultados_gemma3_27b'!G2:G10000),"")</f>
        <v/>
      </c>
      <c r="I3">
        <f>IFERROR(AVERAGE('Resultados_gemma3_27b'!H2:H10000),"")</f>
        <v/>
      </c>
      <c r="J3">
        <f>IFERROR(AVERAGE('Resultados_gemma3_27b'!I2:I10000),"")</f>
        <v/>
      </c>
      <c r="K3">
        <f>IFERROR(AVERAGE('Resultados_gemma3_27b'!J2:J10000),"")</f>
        <v/>
      </c>
      <c r="L3">
        <f>IFERROR(AVERAGE('Resultados_gemma3_27b'!K2:K10000),"")</f>
        <v/>
      </c>
      <c r="M3">
        <f>IFERROR(COUNTIF('Resultados_gemma3_27b'!G2:G10000,"&gt;=4")/COUNTA('Resultados_gemma3_27b'!G2:G10000)*100,"")</f>
        <v/>
      </c>
      <c r="N3">
        <f>IFERROR(COUNTIF('Resultados_gemma3_27b'!K2:K10000,"&gt;=15")/COUNTA('Resultados_gemma3_27b'!K2:K10000)*100,"")</f>
        <v/>
      </c>
      <c r="O3">
        <f>IFERROR(AVERAGE('Resultados_gemma3_27b'!T2:T10000),"")</f>
        <v/>
      </c>
      <c r="P3">
        <f>IFERROR(AVERAGE('Resultados_gemma3_27b'!U2:U10000),"")</f>
        <v/>
      </c>
      <c r="Q3">
        <f>IFERROR(COUNTIF('Resultados_gemma3_27b'!V2:V10000,"&lt;&gt;")/COUNTA('Resultados_gemma3_27b'!A2:A10000)*100,"")</f>
        <v/>
      </c>
    </row>
    <row r="4">
      <c r="A4" t="n">
        <v>3</v>
      </c>
      <c r="B4" t="inlineStr">
        <is>
          <t>qwen3:32b</t>
        </is>
      </c>
      <c r="C4">
        <f>COUNTA('Resultados_qwen3_32b'!A2:A10000)</f>
        <v/>
      </c>
      <c r="D4">
        <f>IFERROR(AVERAGE('Resultados_qwen3_32b'!L2:L10000),"")</f>
        <v/>
      </c>
      <c r="E4">
        <f>IFERROR(PERCENTILE('Resultados_qwen3_32b'!L2:L10000,0.95),"")</f>
        <v/>
      </c>
      <c r="F4">
        <f>IFERROR(IF(AVERAGE('Resultados_qwen3_32b'!L2:L10000)&gt;0,60/AVERAGE('Resultados_qwen3_32b'!L2:L10000),0),"")</f>
        <v/>
      </c>
      <c r="G4">
        <f>IFERROR(AVERAGE('Resultados_qwen3_32b'!M2:M10000),"")</f>
        <v/>
      </c>
      <c r="H4">
        <f>IFERROR(AVERAGE('Resultados_qwen3_32b'!G2:G10000),"")</f>
        <v/>
      </c>
      <c r="I4">
        <f>IFERROR(AVERAGE('Resultados_qwen3_32b'!H2:H10000),"")</f>
        <v/>
      </c>
      <c r="J4">
        <f>IFERROR(AVERAGE('Resultados_qwen3_32b'!I2:I10000),"")</f>
        <v/>
      </c>
      <c r="K4">
        <f>IFERROR(AVERAGE('Resultados_qwen3_32b'!J2:J10000),"")</f>
        <v/>
      </c>
      <c r="L4">
        <f>IFERROR(AVERAGE('Resultados_qwen3_32b'!K2:K10000),"")</f>
        <v/>
      </c>
      <c r="M4">
        <f>IFERROR(COUNTIF('Resultados_qwen3_32b'!G2:G10000,"&gt;=4")/COUNTA('Resultados_qwen3_32b'!G2:G10000)*100,"")</f>
        <v/>
      </c>
      <c r="N4">
        <f>IFERROR(COUNTIF('Resultados_qwen3_32b'!K2:K10000,"&gt;=15")/COUNTA('Resultados_qwen3_32b'!K2:K10000)*100,"")</f>
        <v/>
      </c>
      <c r="O4">
        <f>IFERROR(AVERAGE('Resultados_qwen3_32b'!T2:T10000),"")</f>
        <v/>
      </c>
      <c r="P4">
        <f>IFERROR(AVERAGE('Resultados_qwen3_32b'!U2:U10000),"")</f>
        <v/>
      </c>
      <c r="Q4">
        <f>IFERROR(COUNTIF('Resultados_qwen3_32b'!V2:V10000,"&lt;&gt;")/COUNTA('Resultados_qwen3_32b'!A2:A10000)*100,"")</f>
        <v/>
      </c>
    </row>
    <row r="5">
      <c r="A5" t="n">
        <v>4</v>
      </c>
      <c r="B5" t="inlineStr">
        <is>
          <t>gemma</t>
        </is>
      </c>
      <c r="C5">
        <f>COUNTA('Resultados_gemma'!A2:A10000)</f>
        <v/>
      </c>
      <c r="D5">
        <f>IFERROR(AVERAGE('Resultados_gemma'!L2:L10000),"")</f>
        <v/>
      </c>
      <c r="E5">
        <f>IFERROR(PERCENTILE('Resultados_gemma'!L2:L10000,0.95),"")</f>
        <v/>
      </c>
      <c r="F5">
        <f>IFERROR(IF(AVERAGE('Resultados_gemma'!L2:L10000)&gt;0,60/AVERAGE('Resultados_gemma'!L2:L10000),0),"")</f>
        <v/>
      </c>
      <c r="G5">
        <f>IFERROR(AVERAGE('Resultados_gemma'!M2:M10000),"")</f>
        <v/>
      </c>
      <c r="H5">
        <f>IFERROR(AVERAGE('Resultados_gemma'!G2:G10000),"")</f>
        <v/>
      </c>
      <c r="I5">
        <f>IFERROR(AVERAGE('Resultados_gemma'!H2:H10000),"")</f>
        <v/>
      </c>
      <c r="J5">
        <f>IFERROR(AVERAGE('Resultados_gemma'!I2:I10000),"")</f>
        <v/>
      </c>
      <c r="K5">
        <f>IFERROR(AVERAGE('Resultados_gemma'!J2:J10000),"")</f>
        <v/>
      </c>
      <c r="L5">
        <f>IFERROR(AVERAGE('Resultados_gemma'!K2:K10000),"")</f>
        <v/>
      </c>
      <c r="M5">
        <f>IFERROR(COUNTIF('Resultados_gemma'!G2:G10000,"&gt;=4")/COUNTA('Resultados_gemma'!G2:G10000)*100,"")</f>
        <v/>
      </c>
      <c r="N5">
        <f>IFERROR(COUNTIF('Resultados_gemma'!K2:K10000,"&gt;=15")/COUNTA('Resultados_gemma'!K2:K10000)*100,"")</f>
        <v/>
      </c>
      <c r="O5">
        <f>IFERROR(AVERAGE('Resultados_gemma'!T2:T10000),"")</f>
        <v/>
      </c>
      <c r="P5">
        <f>IFERROR(AVERAGE('Resultados_gemma'!U2:U10000),"")</f>
        <v/>
      </c>
      <c r="Q5">
        <f>IFERROR(COUNTIF('Resultados_gemma'!V2:V10000,"&lt;&gt;")/COUNTA('Resultados_gemma'!A2:A10000)*100,"")</f>
        <v/>
      </c>
    </row>
    <row r="6">
      <c r="A6" t="n">
        <v>5</v>
      </c>
      <c r="B6" t="inlineStr">
        <is>
          <t>gemma3:4b</t>
        </is>
      </c>
      <c r="C6">
        <f>COUNTA('Resultados_gemma3_4b'!A2:A10000)</f>
        <v/>
      </c>
      <c r="D6">
        <f>IFERROR(AVERAGE('Resultados_gemma3_4b'!L2:L10000),"")</f>
        <v/>
      </c>
      <c r="E6">
        <f>IFERROR(PERCENTILE('Resultados_gemma3_4b'!L2:L10000,0.95),"")</f>
        <v/>
      </c>
      <c r="F6">
        <f>IFERROR(IF(AVERAGE('Resultados_gemma3_4b'!L2:L10000)&gt;0,60/AVERAGE('Resultados_gemma3_4b'!L2:L10000),0),"")</f>
        <v/>
      </c>
      <c r="G6">
        <f>IFERROR(AVERAGE('Resultados_gemma3_4b'!M2:M10000),"")</f>
        <v/>
      </c>
      <c r="H6">
        <f>IFERROR(AVERAGE('Resultados_gemma3_4b'!G2:G10000),"")</f>
        <v/>
      </c>
      <c r="I6">
        <f>IFERROR(AVERAGE('Resultados_gemma3_4b'!H2:H10000),"")</f>
        <v/>
      </c>
      <c r="J6">
        <f>IFERROR(AVERAGE('Resultados_gemma3_4b'!I2:I10000),"")</f>
        <v/>
      </c>
      <c r="K6">
        <f>IFERROR(AVERAGE('Resultados_gemma3_4b'!J2:J10000),"")</f>
        <v/>
      </c>
      <c r="L6">
        <f>IFERROR(AVERAGE('Resultados_gemma3_4b'!K2:K10000),"")</f>
        <v/>
      </c>
      <c r="M6">
        <f>IFERROR(COUNTIF('Resultados_gemma3_4b'!G2:G10000,"&gt;=4")/COUNTA('Resultados_gemma3_4b'!G2:G10000)*100,"")</f>
        <v/>
      </c>
      <c r="N6">
        <f>IFERROR(COUNTIF('Resultados_gemma3_4b'!K2:K10000,"&gt;=15")/COUNTA('Resultados_gemma3_4b'!K2:K10000)*100,"")</f>
        <v/>
      </c>
      <c r="O6">
        <f>IFERROR(AVERAGE('Resultados_gemma3_4b'!T2:T10000),"")</f>
        <v/>
      </c>
      <c r="P6">
        <f>IFERROR(AVERAGE('Resultados_gemma3_4b'!U2:U10000),"")</f>
        <v/>
      </c>
      <c r="Q6">
        <f>IFERROR(COUNTIF('Resultados_gemma3_4b'!V2:V10000,"&lt;&gt;")/COUNTA('Resultados_gemma3_4b'!A2:A10000)*100,"")</f>
        <v/>
      </c>
    </row>
    <row r="7">
      <c r="A7" t="n">
        <v>6</v>
      </c>
      <c r="B7" t="inlineStr">
        <is>
          <t>poligpt</t>
        </is>
      </c>
      <c r="C7">
        <f>COUNTA('Resultados_poligpt'!A2:A10000)</f>
        <v/>
      </c>
      <c r="D7">
        <f>IFERROR(AVERAGE('Resultados_poligpt'!L2:L10000),"")</f>
        <v/>
      </c>
      <c r="E7">
        <f>IFERROR(PERCENTILE('Resultados_poligpt'!L2:L10000,0.95),"")</f>
        <v/>
      </c>
      <c r="F7">
        <f>IFERROR(IF(AVERAGE('Resultados_poligpt'!L2:L10000)&gt;0,60/AVERAGE('Resultados_poligpt'!L2:L10000),0),"")</f>
        <v/>
      </c>
      <c r="G7">
        <f>IFERROR(AVERAGE('Resultados_poligpt'!M2:M10000),"")</f>
        <v/>
      </c>
      <c r="H7">
        <f>IFERROR(AVERAGE('Resultados_poligpt'!G2:G10000),"")</f>
        <v/>
      </c>
      <c r="I7">
        <f>IFERROR(AVERAGE('Resultados_poligpt'!H2:H10000),"")</f>
        <v/>
      </c>
      <c r="J7">
        <f>IFERROR(AVERAGE('Resultados_poligpt'!I2:I10000),"")</f>
        <v/>
      </c>
      <c r="K7">
        <f>IFERROR(AVERAGE('Resultados_poligpt'!J2:J10000),"")</f>
        <v/>
      </c>
      <c r="L7">
        <f>IFERROR(AVERAGE('Resultados_poligpt'!K2:K10000),"")</f>
        <v/>
      </c>
      <c r="M7">
        <f>IFERROR(COUNTIF('Resultados_poligpt'!G2:G10000,"&gt;=4")/COUNTA('Resultados_poligpt'!G2:G10000)*100,"")</f>
        <v/>
      </c>
      <c r="N7">
        <f>IFERROR(COUNTIF('Resultados_poligpt'!K2:K10000,"&gt;=15")/COUNTA('Resultados_poligpt'!K2:K10000)*100,"")</f>
        <v/>
      </c>
      <c r="O7">
        <f>IFERROR(AVERAGE('Resultados_poligpt'!T2:T10000),"")</f>
        <v/>
      </c>
      <c r="P7">
        <f>IFERROR(AVERAGE('Resultados_poligpt'!U2:U10000),"")</f>
        <v/>
      </c>
      <c r="Q7">
        <f>IFERROR(COUNTIF('Resultados_poligpt'!V2:V10000,"&lt;&gt;")/COUNTA('Resultados_poligpt'!A2:A10000)*100,"")</f>
        <v/>
      </c>
    </row>
    <row r="8">
      <c r="A8" t="n">
        <v>7</v>
      </c>
      <c r="B8" t="inlineStr">
        <is>
          <t>deepseek-r1:7b</t>
        </is>
      </c>
      <c r="C8">
        <f>COUNTA('Resultados_deepseek-r1_7b'!A2:A10000)</f>
        <v/>
      </c>
      <c r="D8">
        <f>IFERROR(AVERAGE('Resultados_deepseek-r1_7b'!L2:L10000),"")</f>
        <v/>
      </c>
      <c r="E8">
        <f>IFERROR(PERCENTILE('Resultados_deepseek-r1_7b'!L2:L10000,0.95),"")</f>
        <v/>
      </c>
      <c r="F8">
        <f>IFERROR(IF(AVERAGE('Resultados_deepseek-r1_7b'!L2:L10000)&gt;0,60/AVERAGE('Resultados_deepseek-r1_7b'!L2:L10000),0),"")</f>
        <v/>
      </c>
      <c r="G8">
        <f>IFERROR(AVERAGE('Resultados_deepseek-r1_7b'!M2:M10000),"")</f>
        <v/>
      </c>
      <c r="H8">
        <f>IFERROR(AVERAGE('Resultados_deepseek-r1_7b'!G2:G10000),"")</f>
        <v/>
      </c>
      <c r="I8">
        <f>IFERROR(AVERAGE('Resultados_deepseek-r1_7b'!H2:H10000),"")</f>
        <v/>
      </c>
      <c r="J8">
        <f>IFERROR(AVERAGE('Resultados_deepseek-r1_7b'!I2:I10000),"")</f>
        <v/>
      </c>
      <c r="K8">
        <f>IFERROR(AVERAGE('Resultados_deepseek-r1_7b'!J2:J10000),"")</f>
        <v/>
      </c>
      <c r="L8">
        <f>IFERROR(AVERAGE('Resultados_deepseek-r1_7b'!K2:K10000),"")</f>
        <v/>
      </c>
      <c r="M8">
        <f>IFERROR(COUNTIF('Resultados_deepseek-r1_7b'!G2:G10000,"&gt;=4")/COUNTA('Resultados_deepseek-r1_7b'!G2:G10000)*100,"")</f>
        <v/>
      </c>
      <c r="N8">
        <f>IFERROR(COUNTIF('Resultados_deepseek-r1_7b'!K2:K10000,"&gt;=15")/COUNTA('Resultados_deepseek-r1_7b'!K2:K10000)*100,"")</f>
        <v/>
      </c>
      <c r="O8">
        <f>IFERROR(AVERAGE('Resultados_deepseek-r1_7b'!T2:T10000),"")</f>
        <v/>
      </c>
      <c r="P8">
        <f>IFERROR(AVERAGE('Resultados_deepseek-r1_7b'!U2:U10000),"")</f>
        <v/>
      </c>
      <c r="Q8">
        <f>IFERROR(COUNTIF('Resultados_deepseek-r1_7b'!V2:V10000,"&lt;&gt;")/COUNTA('Resultados_deepseek-r1_7b'!A2:A10000)*100,"")</f>
        <v/>
      </c>
    </row>
    <row r="9">
      <c r="A9" t="n">
        <v>8</v>
      </c>
      <c r="B9" t="inlineStr">
        <is>
          <t>llama3.2:3b</t>
        </is>
      </c>
      <c r="C9">
        <f>COUNTA('Resultados_llama3.2_3b'!A2:A10000)</f>
        <v/>
      </c>
      <c r="D9">
        <f>IFERROR(AVERAGE('Resultados_llama3.2_3b'!L2:L10000),"")</f>
        <v/>
      </c>
      <c r="E9">
        <f>IFERROR(PERCENTILE('Resultados_llama3.2_3b'!L2:L10000,0.95),"")</f>
        <v/>
      </c>
      <c r="F9">
        <f>IFERROR(IF(AVERAGE('Resultados_llama3.2_3b'!L2:L10000)&gt;0,60/AVERAGE('Resultados_llama3.2_3b'!L2:L10000),0),"")</f>
        <v/>
      </c>
      <c r="G9">
        <f>IFERROR(AVERAGE('Resultados_llama3.2_3b'!M2:M10000),"")</f>
        <v/>
      </c>
      <c r="H9">
        <f>IFERROR(AVERAGE('Resultados_llama3.2_3b'!G2:G10000),"")</f>
        <v/>
      </c>
      <c r="I9">
        <f>IFERROR(AVERAGE('Resultados_llama3.2_3b'!H2:H10000),"")</f>
        <v/>
      </c>
      <c r="J9">
        <f>IFERROR(AVERAGE('Resultados_llama3.2_3b'!I2:I10000),"")</f>
        <v/>
      </c>
      <c r="K9">
        <f>IFERROR(AVERAGE('Resultados_llama3.2_3b'!J2:J10000),"")</f>
        <v/>
      </c>
      <c r="L9">
        <f>IFERROR(AVERAGE('Resultados_llama3.2_3b'!K2:K10000),"")</f>
        <v/>
      </c>
      <c r="M9">
        <f>IFERROR(COUNTIF('Resultados_llama3.2_3b'!G2:G10000,"&gt;=4")/COUNTA('Resultados_llama3.2_3b'!G2:G10000)*100,"")</f>
        <v/>
      </c>
      <c r="N9">
        <f>IFERROR(COUNTIF('Resultados_llama3.2_3b'!K2:K10000,"&gt;=15")/COUNTA('Resultados_llama3.2_3b'!K2:K10000)*100,"")</f>
        <v/>
      </c>
      <c r="O9">
        <f>IFERROR(AVERAGE('Resultados_llama3.2_3b'!T2:T10000),"")</f>
        <v/>
      </c>
      <c r="P9">
        <f>IFERROR(AVERAGE('Resultados_llama3.2_3b'!U2:U10000),"")</f>
        <v/>
      </c>
      <c r="Q9">
        <f>IFERROR(COUNTIF('Resultados_llama3.2_3b'!V2:V10000,"&lt;&gt;")/COUNTA('Resultados_llama3.2_3b'!A2:A10000)*100,"")</f>
        <v/>
      </c>
    </row>
    <row r="10">
      <c r="A10" t="n">
        <v>9</v>
      </c>
      <c r="B10" t="inlineStr">
        <is>
          <t>phi4-mini:3.8b</t>
        </is>
      </c>
      <c r="C10">
        <f>COUNTA('Resultados_phi4-mini_3.8b'!A2:A10000)</f>
        <v/>
      </c>
      <c r="D10">
        <f>IFERROR(AVERAGE('Resultados_phi4-mini_3.8b'!L2:L10000),"")</f>
        <v/>
      </c>
      <c r="E10">
        <f>IFERROR(PERCENTILE('Resultados_phi4-mini_3.8b'!L2:L10000,0.95),"")</f>
        <v/>
      </c>
      <c r="F10">
        <f>IFERROR(IF(AVERAGE('Resultados_phi4-mini_3.8b'!L2:L10000)&gt;0,60/AVERAGE('Resultados_phi4-mini_3.8b'!L2:L10000),0),"")</f>
        <v/>
      </c>
      <c r="G10">
        <f>IFERROR(AVERAGE('Resultados_phi4-mini_3.8b'!M2:M10000),"")</f>
        <v/>
      </c>
      <c r="H10">
        <f>IFERROR(AVERAGE('Resultados_phi4-mini_3.8b'!G2:G10000),"")</f>
        <v/>
      </c>
      <c r="I10">
        <f>IFERROR(AVERAGE('Resultados_phi4-mini_3.8b'!H2:H10000),"")</f>
        <v/>
      </c>
      <c r="J10">
        <f>IFERROR(AVERAGE('Resultados_phi4-mini_3.8b'!I2:I10000),"")</f>
        <v/>
      </c>
      <c r="K10">
        <f>IFERROR(AVERAGE('Resultados_phi4-mini_3.8b'!J2:J10000),"")</f>
        <v/>
      </c>
      <c r="L10">
        <f>IFERROR(AVERAGE('Resultados_phi4-mini_3.8b'!K2:K10000),"")</f>
        <v/>
      </c>
      <c r="M10">
        <f>IFERROR(COUNTIF('Resultados_phi4-mini_3.8b'!G2:G10000,"&gt;=4")/COUNTA('Resultados_phi4-mini_3.8b'!G2:G10000)*100,"")</f>
        <v/>
      </c>
      <c r="N10">
        <f>IFERROR(COUNTIF('Resultados_phi4-mini_3.8b'!K2:K10000,"&gt;=15")/COUNTA('Resultados_phi4-mini_3.8b'!K2:K10000)*100,"")</f>
        <v/>
      </c>
      <c r="O10">
        <f>IFERROR(AVERAGE('Resultados_phi4-mini_3.8b'!T2:T10000),"")</f>
        <v/>
      </c>
      <c r="P10">
        <f>IFERROR(AVERAGE('Resultados_phi4-mini_3.8b'!U2:U10000),"")</f>
        <v/>
      </c>
      <c r="Q10">
        <f>IFERROR(COUNTIF('Resultados_phi4-mini_3.8b'!V2:V10000,"&lt;&gt;")/COUNTA('Resultados_phi4-mini_3.8b'!A2:A10000)*100,"")</f>
        <v/>
      </c>
    </row>
    <row r="11">
      <c r="A11" t="n">
        <v>10</v>
      </c>
      <c r="B11" t="inlineStr">
        <is>
          <t>Tutor_EDA</t>
        </is>
      </c>
      <c r="C11">
        <f>COUNTA('Resultados_Tutor_EDA'!A2:A10000)</f>
        <v/>
      </c>
      <c r="D11">
        <f>IFERROR(AVERAGE('Resultados_Tutor_EDA'!L2:L10000),"")</f>
        <v/>
      </c>
      <c r="E11">
        <f>IFERROR(PERCENTILE('Resultados_Tutor_EDA'!L2:L10000,0.95),"")</f>
        <v/>
      </c>
      <c r="F11">
        <f>IFERROR(IF(AVERAGE('Resultados_Tutor_EDA'!L2:L10000)&gt;0,60/AVERAGE('Resultados_Tutor_EDA'!L2:L10000),0),"")</f>
        <v/>
      </c>
      <c r="G11">
        <f>IFERROR(AVERAGE('Resultados_Tutor_EDA'!M2:M10000),"")</f>
        <v/>
      </c>
      <c r="H11">
        <f>IFERROR(AVERAGE('Resultados_Tutor_EDA'!G2:G10000),"")</f>
        <v/>
      </c>
      <c r="I11">
        <f>IFERROR(AVERAGE('Resultados_Tutor_EDA'!H2:H10000),"")</f>
        <v/>
      </c>
      <c r="J11">
        <f>IFERROR(AVERAGE('Resultados_Tutor_EDA'!I2:I10000),"")</f>
        <v/>
      </c>
      <c r="K11">
        <f>IFERROR(AVERAGE('Resultados_Tutor_EDA'!J2:J10000),"")</f>
        <v/>
      </c>
      <c r="L11">
        <f>IFERROR(AVERAGE('Resultados_Tutor_EDA'!K2:K10000),"")</f>
        <v/>
      </c>
      <c r="M11">
        <f>IFERROR(COUNTIF('Resultados_Tutor_EDA'!G2:G10000,"&gt;=4")/COUNTA('Resultados_Tutor_EDA'!G2:G10000)*100,"")</f>
        <v/>
      </c>
      <c r="N11">
        <f>IFERROR(COUNTIF('Resultados_Tutor_EDA'!K2:K10000,"&gt;=15")/COUNTA('Resultados_Tutor_EDA'!K2:K10000)*100,"")</f>
        <v/>
      </c>
      <c r="O11">
        <f>IFERROR(AVERAGE('Resultados_Tutor_EDA'!T2:T10000),"")</f>
        <v/>
      </c>
      <c r="P11">
        <f>IFERROR(AVERAGE('Resultados_Tutor_EDA'!U2:U10000),"")</f>
        <v/>
      </c>
      <c r="Q11">
        <f>IFERROR(COUNTIF('Resultados_Tutor_EDA'!V2:V10000,"&lt;&gt;")/COUNTA('Resultados_Tutor_EDA'!A2:A10000)*100,"")</f>
        <v/>
      </c>
    </row>
    <row r="12">
      <c r="A12" t="n">
        <v>11</v>
      </c>
      <c r="B12" t="inlineStr">
        <is>
          <t>qwen3:4b</t>
        </is>
      </c>
      <c r="C12">
        <f>COUNTA('Resultados_qwen3_4b'!A2:A10000)</f>
        <v/>
      </c>
      <c r="D12">
        <f>IFERROR(AVERAGE('Resultados_qwen3_4b'!L2:L10000),"")</f>
        <v/>
      </c>
      <c r="E12">
        <f>IFERROR(PERCENTILE('Resultados_qwen3_4b'!L2:L10000,0.95),"")</f>
        <v/>
      </c>
      <c r="F12">
        <f>IFERROR(IF(AVERAGE('Resultados_qwen3_4b'!L2:L10000)&gt;0,60/AVERAGE('Resultados_qwen3_4b'!L2:L10000),0),"")</f>
        <v/>
      </c>
      <c r="G12">
        <f>IFERROR(AVERAGE('Resultados_qwen3_4b'!M2:M10000),"")</f>
        <v/>
      </c>
      <c r="H12">
        <f>IFERROR(AVERAGE('Resultados_qwen3_4b'!G2:G10000),"")</f>
        <v/>
      </c>
      <c r="I12">
        <f>IFERROR(AVERAGE('Resultados_qwen3_4b'!H2:H10000),"")</f>
        <v/>
      </c>
      <c r="J12">
        <f>IFERROR(AVERAGE('Resultados_qwen3_4b'!I2:I10000),"")</f>
        <v/>
      </c>
      <c r="K12">
        <f>IFERROR(AVERAGE('Resultados_qwen3_4b'!J2:J10000),"")</f>
        <v/>
      </c>
      <c r="L12">
        <f>IFERROR(AVERAGE('Resultados_qwen3_4b'!K2:K10000),"")</f>
        <v/>
      </c>
      <c r="M12">
        <f>IFERROR(COUNTIF('Resultados_qwen3_4b'!G2:G10000,"&gt;=4")/COUNTA('Resultados_qwen3_4b'!G2:G10000)*100,"")</f>
        <v/>
      </c>
      <c r="N12">
        <f>IFERROR(COUNTIF('Resultados_qwen3_4b'!K2:K10000,"&gt;=15")/COUNTA('Resultados_qwen3_4b'!K2:K10000)*100,"")</f>
        <v/>
      </c>
      <c r="O12">
        <f>IFERROR(AVERAGE('Resultados_qwen3_4b'!T2:T10000),"")</f>
        <v/>
      </c>
      <c r="P12">
        <f>IFERROR(AVERAGE('Resultados_qwen3_4b'!U2:U10000),"")</f>
        <v/>
      </c>
      <c r="Q12">
        <f>IFERROR(COUNTIF('Resultados_qwen3_4b'!V2:V10000,"&lt;&gt;")/COUNTA('Resultados_qwen3_4b'!A2:A10000)*100,"")</f>
        <v/>
      </c>
    </row>
    <row r="13">
      <c r="A13" t="n">
        <v>12</v>
      </c>
      <c r="B13" t="inlineStr">
        <is>
          <t>llama-mini</t>
        </is>
      </c>
      <c r="C13">
        <f>COUNTA('Resultados_llama-mini'!A2:A10000)</f>
        <v/>
      </c>
      <c r="D13">
        <f>IFERROR(AVERAGE('Resultados_llama-mini'!L2:L10000),"")</f>
        <v/>
      </c>
      <c r="E13">
        <f>IFERROR(PERCENTILE('Resultados_llama-mini'!L2:L10000,0.95),"")</f>
        <v/>
      </c>
      <c r="F13">
        <f>IFERROR(IF(AVERAGE('Resultados_llama-mini'!L2:L10000)&gt;0,60/AVERAGE('Resultados_llama-mini'!L2:L10000),0),"")</f>
        <v/>
      </c>
      <c r="G13">
        <f>IFERROR(AVERAGE('Resultados_llama-mini'!M2:M10000),"")</f>
        <v/>
      </c>
      <c r="H13">
        <f>IFERROR(AVERAGE('Resultados_llama-mini'!G2:G10000),"")</f>
        <v/>
      </c>
      <c r="I13">
        <f>IFERROR(AVERAGE('Resultados_llama-mini'!H2:H10000),"")</f>
        <v/>
      </c>
      <c r="J13">
        <f>IFERROR(AVERAGE('Resultados_llama-mini'!I2:I10000),"")</f>
        <v/>
      </c>
      <c r="K13">
        <f>IFERROR(AVERAGE('Resultados_llama-mini'!J2:J10000),"")</f>
        <v/>
      </c>
      <c r="L13">
        <f>IFERROR(AVERAGE('Resultados_llama-mini'!K2:K10000),"")</f>
        <v/>
      </c>
      <c r="M13">
        <f>IFERROR(COUNTIF('Resultados_llama-mini'!G2:G10000,"&gt;=4")/COUNTA('Resultados_llama-mini'!G2:G10000)*100,"")</f>
        <v/>
      </c>
      <c r="N13">
        <f>IFERROR(COUNTIF('Resultados_llama-mini'!K2:K10000,"&gt;=15")/COUNTA('Resultados_llama-mini'!K2:K10000)*100,"")</f>
        <v/>
      </c>
      <c r="O13">
        <f>IFERROR(AVERAGE('Resultados_llama-mini'!T2:T10000),"")</f>
        <v/>
      </c>
      <c r="P13">
        <f>IFERROR(AVERAGE('Resultados_llama-mini'!U2:U10000),"")</f>
        <v/>
      </c>
      <c r="Q13">
        <f>IFERROR(COUNTIF('Resultados_llama-mini'!V2:V10000,"&lt;&gt;")/COUNTA('Resultados_llama-mini'!A2:A10000)*100,"")</f>
        <v/>
      </c>
    </row>
    <row r="14">
      <c r="A14" t="n">
        <v>13</v>
      </c>
      <c r="B14" t="inlineStr">
        <is>
          <t>deepseek-r1:32b</t>
        </is>
      </c>
      <c r="C14">
        <f>COUNTA('Resultados_deepseek-r1_32b'!A2:A10000)</f>
        <v/>
      </c>
      <c r="D14">
        <f>IFERROR(AVERAGE('Resultados_deepseek-r1_32b'!L2:L10000),"")</f>
        <v/>
      </c>
      <c r="E14">
        <f>IFERROR(PERCENTILE('Resultados_deepseek-r1_32b'!L2:L10000,0.95),"")</f>
        <v/>
      </c>
      <c r="F14">
        <f>IFERROR(IF(AVERAGE('Resultados_deepseek-r1_32b'!L2:L10000)&gt;0,60/AVERAGE('Resultados_deepseek-r1_32b'!L2:L10000),0),"")</f>
        <v/>
      </c>
      <c r="G14">
        <f>IFERROR(AVERAGE('Resultados_deepseek-r1_32b'!M2:M10000),"")</f>
        <v/>
      </c>
      <c r="H14">
        <f>IFERROR(AVERAGE('Resultados_deepseek-r1_32b'!G2:G10000),"")</f>
        <v/>
      </c>
      <c r="I14">
        <f>IFERROR(AVERAGE('Resultados_deepseek-r1_32b'!H2:H10000),"")</f>
        <v/>
      </c>
      <c r="J14">
        <f>IFERROR(AVERAGE('Resultados_deepseek-r1_32b'!I2:I10000),"")</f>
        <v/>
      </c>
      <c r="K14">
        <f>IFERROR(AVERAGE('Resultados_deepseek-r1_32b'!J2:J10000),"")</f>
        <v/>
      </c>
      <c r="L14">
        <f>IFERROR(AVERAGE('Resultados_deepseek-r1_32b'!K2:K10000),"")</f>
        <v/>
      </c>
      <c r="M14">
        <f>IFERROR(COUNTIF('Resultados_deepseek-r1_32b'!G2:G10000,"&gt;=4")/COUNTA('Resultados_deepseek-r1_32b'!G2:G10000)*100,"")</f>
        <v/>
      </c>
      <c r="N14">
        <f>IFERROR(COUNTIF('Resultados_deepseek-r1_32b'!K2:K10000,"&gt;=15")/COUNTA('Resultados_deepseek-r1_32b'!K2:K10000)*100,"")</f>
        <v/>
      </c>
      <c r="O14">
        <f>IFERROR(AVERAGE('Resultados_deepseek-r1_32b'!T2:T10000),"")</f>
        <v/>
      </c>
      <c r="P14">
        <f>IFERROR(AVERAGE('Resultados_deepseek-r1_32b'!U2:U10000),"")</f>
        <v/>
      </c>
      <c r="Q14">
        <f>IFERROR(COUNTIF('Resultados_deepseek-r1_32b'!V2:V10000,"&lt;&gt;")/COUNTA('Resultados_deepseek-r1_32b'!A2:A10000)*100,"")</f>
        <v/>
      </c>
    </row>
    <row r="15">
      <c r="A15" t="n">
        <v>14</v>
      </c>
      <c r="B15" t="inlineStr">
        <is>
          <t>llama3.1:8b</t>
        </is>
      </c>
      <c r="C15">
        <f>COUNTA('Resultados_llama3.1_8b'!A2:A10000)</f>
        <v/>
      </c>
      <c r="D15">
        <f>IFERROR(AVERAGE('Resultados_llama3.1_8b'!L2:L10000),"")</f>
        <v/>
      </c>
      <c r="E15">
        <f>IFERROR(PERCENTILE('Resultados_llama3.1_8b'!L2:L10000,0.95),"")</f>
        <v/>
      </c>
      <c r="F15">
        <f>IFERROR(IF(AVERAGE('Resultados_llama3.1_8b'!L2:L10000)&gt;0,60/AVERAGE('Resultados_llama3.1_8b'!L2:L10000),0),"")</f>
        <v/>
      </c>
      <c r="G15">
        <f>IFERROR(AVERAGE('Resultados_llama3.1_8b'!M2:M10000),"")</f>
        <v/>
      </c>
      <c r="H15">
        <f>IFERROR(AVERAGE('Resultados_llama3.1_8b'!G2:G10000),"")</f>
        <v/>
      </c>
      <c r="I15">
        <f>IFERROR(AVERAGE('Resultados_llama3.1_8b'!H2:H10000),"")</f>
        <v/>
      </c>
      <c r="J15">
        <f>IFERROR(AVERAGE('Resultados_llama3.1_8b'!I2:I10000),"")</f>
        <v/>
      </c>
      <c r="K15">
        <f>IFERROR(AVERAGE('Resultados_llama3.1_8b'!J2:J10000),"")</f>
        <v/>
      </c>
      <c r="L15">
        <f>IFERROR(AVERAGE('Resultados_llama3.1_8b'!K2:K10000),"")</f>
        <v/>
      </c>
      <c r="M15">
        <f>IFERROR(COUNTIF('Resultados_llama3.1_8b'!G2:G10000,"&gt;=4")/COUNTA('Resultados_llama3.1_8b'!G2:G10000)*100,"")</f>
        <v/>
      </c>
      <c r="N15">
        <f>IFERROR(COUNTIF('Resultados_llama3.1_8b'!K2:K10000,"&gt;=15")/COUNTA('Resultados_llama3.1_8b'!K2:K10000)*100,"")</f>
        <v/>
      </c>
      <c r="O15">
        <f>IFERROR(AVERAGE('Resultados_llama3.1_8b'!T2:T10000),"")</f>
        <v/>
      </c>
      <c r="P15">
        <f>IFERROR(AVERAGE('Resultados_llama3.1_8b'!U2:U10000),"")</f>
        <v/>
      </c>
      <c r="Q15">
        <f>IFERROR(COUNTIF('Resultados_llama3.1_8b'!V2:V10000,"&lt;&gt;")/COUNTA('Resultados_llama3.1_8b'!A2:A10000)*100,"")</f>
        <v/>
      </c>
    </row>
    <row r="16">
      <c r="A16" t="n">
        <v>15</v>
      </c>
      <c r="B16" t="inlineStr">
        <is>
          <t>qwq</t>
        </is>
      </c>
      <c r="C16">
        <f>COUNTA('Resultados_qwq'!A2:A10000)</f>
        <v/>
      </c>
      <c r="D16">
        <f>IFERROR(AVERAGE('Resultados_qwq'!L2:L10000),"")</f>
        <v/>
      </c>
      <c r="E16">
        <f>IFERROR(PERCENTILE('Resultados_qwq'!L2:L10000,0.95),"")</f>
        <v/>
      </c>
      <c r="F16">
        <f>IFERROR(IF(AVERAGE('Resultados_qwq'!L2:L10000)&gt;0,60/AVERAGE('Resultados_qwq'!L2:L10000),0),"")</f>
        <v/>
      </c>
      <c r="G16">
        <f>IFERROR(AVERAGE('Resultados_qwq'!M2:M10000),"")</f>
        <v/>
      </c>
      <c r="H16">
        <f>IFERROR(AVERAGE('Resultados_qwq'!G2:G10000),"")</f>
        <v/>
      </c>
      <c r="I16">
        <f>IFERROR(AVERAGE('Resultados_qwq'!H2:H10000),"")</f>
        <v/>
      </c>
      <c r="J16">
        <f>IFERROR(AVERAGE('Resultados_qwq'!I2:I10000),"")</f>
        <v/>
      </c>
      <c r="K16">
        <f>IFERROR(AVERAGE('Resultados_qwq'!J2:J10000),"")</f>
        <v/>
      </c>
      <c r="L16">
        <f>IFERROR(AVERAGE('Resultados_qwq'!K2:K10000),"")</f>
        <v/>
      </c>
      <c r="M16">
        <f>IFERROR(COUNTIF('Resultados_qwq'!G2:G10000,"&gt;=4")/COUNTA('Resultados_qwq'!G2:G10000)*100,"")</f>
        <v/>
      </c>
      <c r="N16">
        <f>IFERROR(COUNTIF('Resultados_qwq'!K2:K10000,"&gt;=15")/COUNTA('Resultados_qwq'!K2:K10000)*100,"")</f>
        <v/>
      </c>
      <c r="O16">
        <f>IFERROR(AVERAGE('Resultados_qwq'!T2:T10000),"")</f>
        <v/>
      </c>
      <c r="P16">
        <f>IFERROR(AVERAGE('Resultados_qwq'!U2:U10000),"")</f>
        <v/>
      </c>
      <c r="Q16">
        <f>IFERROR(COUNTIF('Resultados_qwq'!V2:V10000,"&lt;&gt;")/COUNTA('Resultados_qwq'!A2:A10000)*100,"")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Model</t>
        </is>
      </c>
      <c r="B1" t="inlineStr">
        <is>
          <t>Arch.</t>
        </is>
      </c>
      <c r="C1" t="inlineStr">
        <is>
          <t>muestras</t>
        </is>
      </c>
      <c r="D1" t="inlineStr">
        <is>
          <t>latencia_media (s)</t>
        </is>
      </c>
      <c r="E1" t="inlineStr">
        <is>
          <t>tokens_medio</t>
        </is>
      </c>
      <c r="F1" t="inlineStr">
        <is>
          <t>socraticity (0-5)</t>
        </is>
      </c>
      <c r="G1" t="inlineStr">
        <is>
          <t>conceptual correctness (0-5)</t>
        </is>
      </c>
      <c r="H1" t="inlineStr">
        <is>
          <t>consistency (0-5)</t>
        </is>
      </c>
      <c r="I1" t="inlineStr">
        <is>
          <t>hallucination rate (0-5)</t>
        </is>
      </c>
      <c r="J1" t="inlineStr">
        <is>
          <t>temperature</t>
        </is>
      </c>
    </row>
    <row r="2">
      <c r="A2" t="inlineStr">
        <is>
          <t>llama3.3:70b</t>
        </is>
      </c>
      <c r="B2" t="inlineStr">
        <is>
          <t>RAG</t>
        </is>
      </c>
      <c r="C2">
        <f>COUNTA('Resultados_llama3.3_70b'!A2:A10000)</f>
        <v/>
      </c>
      <c r="D2">
        <f>IFERROR(AVERAGE('Resultados_llama3.3_70b'!L2:L10000),"")</f>
        <v/>
      </c>
      <c r="E2">
        <f>IFERROR(AVERAGE('Resultados_llama3.3_70b'!M2:M10000),"")</f>
        <v/>
      </c>
      <c r="F2">
        <f>IFERROR(AVERAGE('Resultados_llama3.3_70b'!G2:G10000),"")</f>
        <v/>
      </c>
      <c r="G2">
        <f>IFERROR(AVERAGE('Resultados_llama3.3_70b'!H2:H10000),"")</f>
        <v/>
      </c>
      <c r="H2">
        <f>IFERROR(AVERAGE('Resultados_llama3.3_70b'!I2:I10000),"")</f>
        <v/>
      </c>
      <c r="I2">
        <f>IFERROR(AVERAGE('Resultados_llama3.3_70b'!J2:J10000),"")</f>
        <v/>
      </c>
      <c r="J2" t="n">
        <v>0.7</v>
      </c>
    </row>
    <row r="3">
      <c r="A3" t="inlineStr">
        <is>
          <t>gemma3:27b</t>
        </is>
      </c>
      <c r="B3" t="inlineStr">
        <is>
          <t>RAG</t>
        </is>
      </c>
      <c r="C3">
        <f>COUNTA('Resultados_gemma3_27b'!A2:A10000)</f>
        <v/>
      </c>
      <c r="D3">
        <f>IFERROR(AVERAGE('Resultados_gemma3_27b'!L2:L10000),"")</f>
        <v/>
      </c>
      <c r="E3">
        <f>IFERROR(AVERAGE('Resultados_gemma3_27b'!M2:M10000),"")</f>
        <v/>
      </c>
      <c r="F3">
        <f>IFERROR(AVERAGE('Resultados_gemma3_27b'!G2:G10000),"")</f>
        <v/>
      </c>
      <c r="G3">
        <f>IFERROR(AVERAGE('Resultados_gemma3_27b'!H2:H10000),"")</f>
        <v/>
      </c>
      <c r="H3">
        <f>IFERROR(AVERAGE('Resultados_gemma3_27b'!I2:I10000),"")</f>
        <v/>
      </c>
      <c r="I3">
        <f>IFERROR(AVERAGE('Resultados_gemma3_27b'!J2:J10000),"")</f>
        <v/>
      </c>
      <c r="J3" t="n">
        <v>0.7</v>
      </c>
    </row>
    <row r="4">
      <c r="A4" t="inlineStr">
        <is>
          <t>qwen3:32b</t>
        </is>
      </c>
      <c r="B4" t="inlineStr">
        <is>
          <t>RAG</t>
        </is>
      </c>
      <c r="C4">
        <f>COUNTA('Resultados_qwen3_32b'!A2:A10000)</f>
        <v/>
      </c>
      <c r="D4">
        <f>IFERROR(AVERAGE('Resultados_qwen3_32b'!L2:L10000),"")</f>
        <v/>
      </c>
      <c r="E4">
        <f>IFERROR(AVERAGE('Resultados_qwen3_32b'!M2:M10000),"")</f>
        <v/>
      </c>
      <c r="F4">
        <f>IFERROR(AVERAGE('Resultados_qwen3_32b'!G2:G10000),"")</f>
        <v/>
      </c>
      <c r="G4">
        <f>IFERROR(AVERAGE('Resultados_qwen3_32b'!H2:H10000),"")</f>
        <v/>
      </c>
      <c r="H4">
        <f>IFERROR(AVERAGE('Resultados_qwen3_32b'!I2:I10000),"")</f>
        <v/>
      </c>
      <c r="I4">
        <f>IFERROR(AVERAGE('Resultados_qwen3_32b'!J2:J10000),"")</f>
        <v/>
      </c>
      <c r="J4" t="n">
        <v>0.7</v>
      </c>
    </row>
    <row r="5">
      <c r="A5" t="inlineStr">
        <is>
          <t>gemma</t>
        </is>
      </c>
      <c r="B5" t="inlineStr">
        <is>
          <t>RAG</t>
        </is>
      </c>
      <c r="C5">
        <f>COUNTA('Resultados_gemma'!A2:A10000)</f>
        <v/>
      </c>
      <c r="D5">
        <f>IFERROR(AVERAGE('Resultados_gemma'!L2:L10000),"")</f>
        <v/>
      </c>
      <c r="E5">
        <f>IFERROR(AVERAGE('Resultados_gemma'!M2:M10000),"")</f>
        <v/>
      </c>
      <c r="F5">
        <f>IFERROR(AVERAGE('Resultados_gemma'!G2:G10000),"")</f>
        <v/>
      </c>
      <c r="G5">
        <f>IFERROR(AVERAGE('Resultados_gemma'!H2:H10000),"")</f>
        <v/>
      </c>
      <c r="H5">
        <f>IFERROR(AVERAGE('Resultados_gemma'!I2:I10000),"")</f>
        <v/>
      </c>
      <c r="I5">
        <f>IFERROR(AVERAGE('Resultados_gemma'!J2:J10000),"")</f>
        <v/>
      </c>
      <c r="J5" t="n">
        <v>0.7</v>
      </c>
    </row>
    <row r="6">
      <c r="A6" t="inlineStr">
        <is>
          <t>gemma3:4b</t>
        </is>
      </c>
      <c r="B6" t="inlineStr">
        <is>
          <t>RAG</t>
        </is>
      </c>
      <c r="C6">
        <f>COUNTA('Resultados_gemma3_4b'!A2:A10000)</f>
        <v/>
      </c>
      <c r="D6">
        <f>IFERROR(AVERAGE('Resultados_gemma3_4b'!L2:L10000),"")</f>
        <v/>
      </c>
      <c r="E6">
        <f>IFERROR(AVERAGE('Resultados_gemma3_4b'!M2:M10000),"")</f>
        <v/>
      </c>
      <c r="F6">
        <f>IFERROR(AVERAGE('Resultados_gemma3_4b'!G2:G10000),"")</f>
        <v/>
      </c>
      <c r="G6">
        <f>IFERROR(AVERAGE('Resultados_gemma3_4b'!H2:H10000),"")</f>
        <v/>
      </c>
      <c r="H6">
        <f>IFERROR(AVERAGE('Resultados_gemma3_4b'!I2:I10000),"")</f>
        <v/>
      </c>
      <c r="I6">
        <f>IFERROR(AVERAGE('Resultados_gemma3_4b'!J2:J10000),"")</f>
        <v/>
      </c>
      <c r="J6" t="n">
        <v>0.7</v>
      </c>
    </row>
    <row r="7">
      <c r="A7" t="inlineStr">
        <is>
          <t>poligpt</t>
        </is>
      </c>
      <c r="B7" t="inlineStr">
        <is>
          <t>RAG</t>
        </is>
      </c>
      <c r="C7">
        <f>COUNTA('Resultados_poligpt'!A2:A10000)</f>
        <v/>
      </c>
      <c r="D7">
        <f>IFERROR(AVERAGE('Resultados_poligpt'!L2:L10000),"")</f>
        <v/>
      </c>
      <c r="E7">
        <f>IFERROR(AVERAGE('Resultados_poligpt'!M2:M10000),"")</f>
        <v/>
      </c>
      <c r="F7">
        <f>IFERROR(AVERAGE('Resultados_poligpt'!G2:G10000),"")</f>
        <v/>
      </c>
      <c r="G7">
        <f>IFERROR(AVERAGE('Resultados_poligpt'!H2:H10000),"")</f>
        <v/>
      </c>
      <c r="H7">
        <f>IFERROR(AVERAGE('Resultados_poligpt'!I2:I10000),"")</f>
        <v/>
      </c>
      <c r="I7">
        <f>IFERROR(AVERAGE('Resultados_poligpt'!J2:J10000),"")</f>
        <v/>
      </c>
      <c r="J7" t="n">
        <v>0.7</v>
      </c>
    </row>
    <row r="8">
      <c r="A8" t="inlineStr">
        <is>
          <t>deepseek-r1:7b</t>
        </is>
      </c>
      <c r="B8" t="inlineStr">
        <is>
          <t>RAG</t>
        </is>
      </c>
      <c r="C8">
        <f>COUNTA('Resultados_deepseek-r1_7b'!A2:A10000)</f>
        <v/>
      </c>
      <c r="D8">
        <f>IFERROR(AVERAGE('Resultados_deepseek-r1_7b'!L2:L10000),"")</f>
        <v/>
      </c>
      <c r="E8">
        <f>IFERROR(AVERAGE('Resultados_deepseek-r1_7b'!M2:M10000),"")</f>
        <v/>
      </c>
      <c r="F8">
        <f>IFERROR(AVERAGE('Resultados_deepseek-r1_7b'!G2:G10000),"")</f>
        <v/>
      </c>
      <c r="G8">
        <f>IFERROR(AVERAGE('Resultados_deepseek-r1_7b'!H2:H10000),"")</f>
        <v/>
      </c>
      <c r="H8">
        <f>IFERROR(AVERAGE('Resultados_deepseek-r1_7b'!I2:I10000),"")</f>
        <v/>
      </c>
      <c r="I8">
        <f>IFERROR(AVERAGE('Resultados_deepseek-r1_7b'!J2:J10000),"")</f>
        <v/>
      </c>
      <c r="J8" t="n">
        <v>0.7</v>
      </c>
    </row>
    <row r="9">
      <c r="A9" t="inlineStr">
        <is>
          <t>llama3.2:3b</t>
        </is>
      </c>
      <c r="B9" t="inlineStr">
        <is>
          <t>RAG</t>
        </is>
      </c>
      <c r="C9">
        <f>COUNTA('Resultados_llama3.2_3b'!A2:A10000)</f>
        <v/>
      </c>
      <c r="D9">
        <f>IFERROR(AVERAGE('Resultados_llama3.2_3b'!L2:L10000),"")</f>
        <v/>
      </c>
      <c r="E9">
        <f>IFERROR(AVERAGE('Resultados_llama3.2_3b'!M2:M10000),"")</f>
        <v/>
      </c>
      <c r="F9">
        <f>IFERROR(AVERAGE('Resultados_llama3.2_3b'!G2:G10000),"")</f>
        <v/>
      </c>
      <c r="G9">
        <f>IFERROR(AVERAGE('Resultados_llama3.2_3b'!H2:H10000),"")</f>
        <v/>
      </c>
      <c r="H9">
        <f>IFERROR(AVERAGE('Resultados_llama3.2_3b'!I2:I10000),"")</f>
        <v/>
      </c>
      <c r="I9">
        <f>IFERROR(AVERAGE('Resultados_llama3.2_3b'!J2:J10000),"")</f>
        <v/>
      </c>
      <c r="J9" t="n">
        <v>0.7</v>
      </c>
    </row>
    <row r="10">
      <c r="A10" t="inlineStr">
        <is>
          <t>phi4-mini:3.8b</t>
        </is>
      </c>
      <c r="B10" t="inlineStr">
        <is>
          <t>RAG</t>
        </is>
      </c>
      <c r="C10">
        <f>COUNTA('Resultados_phi4-mini_3.8b'!A2:A10000)</f>
        <v/>
      </c>
      <c r="D10">
        <f>IFERROR(AVERAGE('Resultados_phi4-mini_3.8b'!L2:L10000),"")</f>
        <v/>
      </c>
      <c r="E10">
        <f>IFERROR(AVERAGE('Resultados_phi4-mini_3.8b'!M2:M10000),"")</f>
        <v/>
      </c>
      <c r="F10">
        <f>IFERROR(AVERAGE('Resultados_phi4-mini_3.8b'!G2:G10000),"")</f>
        <v/>
      </c>
      <c r="G10">
        <f>IFERROR(AVERAGE('Resultados_phi4-mini_3.8b'!H2:H10000),"")</f>
        <v/>
      </c>
      <c r="H10">
        <f>IFERROR(AVERAGE('Resultados_phi4-mini_3.8b'!I2:I10000),"")</f>
        <v/>
      </c>
      <c r="I10">
        <f>IFERROR(AVERAGE('Resultados_phi4-mini_3.8b'!J2:J10000),"")</f>
        <v/>
      </c>
      <c r="J10" t="n">
        <v>0.7</v>
      </c>
    </row>
    <row r="11">
      <c r="A11" t="inlineStr">
        <is>
          <t>Tutor_EDA</t>
        </is>
      </c>
      <c r="B11" t="inlineStr">
        <is>
          <t>RAG</t>
        </is>
      </c>
      <c r="C11">
        <f>COUNTA('Resultados_Tutor_EDA'!A2:A10000)</f>
        <v/>
      </c>
      <c r="D11">
        <f>IFERROR(AVERAGE('Resultados_Tutor_EDA'!L2:L10000),"")</f>
        <v/>
      </c>
      <c r="E11">
        <f>IFERROR(AVERAGE('Resultados_Tutor_EDA'!M2:M10000),"")</f>
        <v/>
      </c>
      <c r="F11">
        <f>IFERROR(AVERAGE('Resultados_Tutor_EDA'!G2:G10000),"")</f>
        <v/>
      </c>
      <c r="G11">
        <f>IFERROR(AVERAGE('Resultados_Tutor_EDA'!H2:H10000),"")</f>
        <v/>
      </c>
      <c r="H11">
        <f>IFERROR(AVERAGE('Resultados_Tutor_EDA'!I2:I10000),"")</f>
        <v/>
      </c>
      <c r="I11">
        <f>IFERROR(AVERAGE('Resultados_Tutor_EDA'!J2:J10000),"")</f>
        <v/>
      </c>
      <c r="J11" t="n">
        <v>0.7</v>
      </c>
    </row>
    <row r="12">
      <c r="A12" t="inlineStr">
        <is>
          <t>qwen3:4b</t>
        </is>
      </c>
      <c r="B12" t="inlineStr">
        <is>
          <t>RAG</t>
        </is>
      </c>
      <c r="C12">
        <f>COUNTA('Resultados_qwen3_4b'!A2:A10000)</f>
        <v/>
      </c>
      <c r="D12">
        <f>IFERROR(AVERAGE('Resultados_qwen3_4b'!L2:L10000),"")</f>
        <v/>
      </c>
      <c r="E12">
        <f>IFERROR(AVERAGE('Resultados_qwen3_4b'!M2:M10000),"")</f>
        <v/>
      </c>
      <c r="F12">
        <f>IFERROR(AVERAGE('Resultados_qwen3_4b'!G2:G10000),"")</f>
        <v/>
      </c>
      <c r="G12">
        <f>IFERROR(AVERAGE('Resultados_qwen3_4b'!H2:H10000),"")</f>
        <v/>
      </c>
      <c r="H12">
        <f>IFERROR(AVERAGE('Resultados_qwen3_4b'!I2:I10000),"")</f>
        <v/>
      </c>
      <c r="I12">
        <f>IFERROR(AVERAGE('Resultados_qwen3_4b'!J2:J10000),"")</f>
        <v/>
      </c>
      <c r="J12" t="n">
        <v>0.7</v>
      </c>
    </row>
    <row r="13">
      <c r="A13" t="inlineStr">
        <is>
          <t>llama-mini</t>
        </is>
      </c>
      <c r="B13" t="inlineStr">
        <is>
          <t>RAG</t>
        </is>
      </c>
      <c r="C13">
        <f>COUNTA('Resultados_llama-mini'!A2:A10000)</f>
        <v/>
      </c>
      <c r="D13">
        <f>IFERROR(AVERAGE('Resultados_llama-mini'!L2:L10000),"")</f>
        <v/>
      </c>
      <c r="E13">
        <f>IFERROR(AVERAGE('Resultados_llama-mini'!M2:M10000),"")</f>
        <v/>
      </c>
      <c r="F13">
        <f>IFERROR(AVERAGE('Resultados_llama-mini'!G2:G10000),"")</f>
        <v/>
      </c>
      <c r="G13">
        <f>IFERROR(AVERAGE('Resultados_llama-mini'!H2:H10000),"")</f>
        <v/>
      </c>
      <c r="H13">
        <f>IFERROR(AVERAGE('Resultados_llama-mini'!I2:I10000),"")</f>
        <v/>
      </c>
      <c r="I13">
        <f>IFERROR(AVERAGE('Resultados_llama-mini'!J2:J10000),"")</f>
        <v/>
      </c>
      <c r="J13" t="n">
        <v>0.7</v>
      </c>
    </row>
    <row r="14">
      <c r="A14" t="inlineStr">
        <is>
          <t>deepseek-r1:32b</t>
        </is>
      </c>
      <c r="B14" t="inlineStr">
        <is>
          <t>RAG</t>
        </is>
      </c>
      <c r="C14">
        <f>COUNTA('Resultados_deepseek-r1_32b'!A2:A10000)</f>
        <v/>
      </c>
      <c r="D14">
        <f>IFERROR(AVERAGE('Resultados_deepseek-r1_32b'!L2:L10000),"")</f>
        <v/>
      </c>
      <c r="E14">
        <f>IFERROR(AVERAGE('Resultados_deepseek-r1_32b'!M2:M10000),"")</f>
        <v/>
      </c>
      <c r="F14">
        <f>IFERROR(AVERAGE('Resultados_deepseek-r1_32b'!G2:G10000),"")</f>
        <v/>
      </c>
      <c r="G14">
        <f>IFERROR(AVERAGE('Resultados_deepseek-r1_32b'!H2:H10000),"")</f>
        <v/>
      </c>
      <c r="H14">
        <f>IFERROR(AVERAGE('Resultados_deepseek-r1_32b'!I2:I10000),"")</f>
        <v/>
      </c>
      <c r="I14">
        <f>IFERROR(AVERAGE('Resultados_deepseek-r1_32b'!J2:J10000),"")</f>
        <v/>
      </c>
      <c r="J14" t="n">
        <v>0.7</v>
      </c>
    </row>
    <row r="15">
      <c r="A15" t="inlineStr">
        <is>
          <t>llama3.1:8b</t>
        </is>
      </c>
      <c r="B15" t="inlineStr">
        <is>
          <t>RAG</t>
        </is>
      </c>
      <c r="C15">
        <f>COUNTA('Resultados_llama3.1_8b'!A2:A10000)</f>
        <v/>
      </c>
      <c r="D15">
        <f>IFERROR(AVERAGE('Resultados_llama3.1_8b'!L2:L10000),"")</f>
        <v/>
      </c>
      <c r="E15">
        <f>IFERROR(AVERAGE('Resultados_llama3.1_8b'!M2:M10000),"")</f>
        <v/>
      </c>
      <c r="F15">
        <f>IFERROR(AVERAGE('Resultados_llama3.1_8b'!G2:G10000),"")</f>
        <v/>
      </c>
      <c r="G15">
        <f>IFERROR(AVERAGE('Resultados_llama3.1_8b'!H2:H10000),"")</f>
        <v/>
      </c>
      <c r="H15">
        <f>IFERROR(AVERAGE('Resultados_llama3.1_8b'!I2:I10000),"")</f>
        <v/>
      </c>
      <c r="I15">
        <f>IFERROR(AVERAGE('Resultados_llama3.1_8b'!J2:J10000),"")</f>
        <v/>
      </c>
      <c r="J15" t="n">
        <v>0.7</v>
      </c>
    </row>
    <row r="16">
      <c r="A16" t="inlineStr">
        <is>
          <t>qwq</t>
        </is>
      </c>
      <c r="B16" t="inlineStr">
        <is>
          <t>RAG</t>
        </is>
      </c>
      <c r="C16">
        <f>COUNTA('Resultados_qwq'!A2:A10000)</f>
        <v/>
      </c>
      <c r="D16">
        <f>IFERROR(AVERAGE('Resultados_qwq'!L2:L10000),"")</f>
        <v/>
      </c>
      <c r="E16">
        <f>IFERROR(AVERAGE('Resultados_qwq'!M2:M10000),"")</f>
        <v/>
      </c>
      <c r="F16">
        <f>IFERROR(AVERAGE('Resultados_qwq'!G2:G10000),"")</f>
        <v/>
      </c>
      <c r="G16">
        <f>IFERROR(AVERAGE('Resultados_qwq'!H2:H10000),"")</f>
        <v/>
      </c>
      <c r="H16">
        <f>IFERROR(AVERAGE('Resultados_qwq'!I2:I10000),"")</f>
        <v/>
      </c>
      <c r="I16">
        <f>IFERROR(AVERAGE('Resultados_qwq'!J2:J10000),"")</f>
        <v/>
      </c>
      <c r="J16" t="n">
        <v>0.7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Modelo</t>
        </is>
      </c>
      <c r="B1" t="inlineStr">
        <is>
          <t>latencia_media</t>
        </is>
      </c>
      <c r="C1" t="inlineStr">
        <is>
          <t>latencia_p95</t>
        </is>
      </c>
      <c r="D1" t="inlineStr">
        <is>
          <t>throughput</t>
        </is>
      </c>
      <c r="E1" t="inlineStr">
        <is>
          <t>tokens_medio</t>
        </is>
      </c>
    </row>
    <row r="2">
      <c r="A2" t="inlineStr">
        <is>
          <t>llama3.3:70b</t>
        </is>
      </c>
      <c r="B2">
        <f>IFERROR(AVERAGE('Resultados_llama3.3_70b'!L2:L10000),"")</f>
        <v/>
      </c>
      <c r="C2">
        <f>IFERROR(PERCENTILE('Resultados_llama3.3_70b'!L2:L10000,0.95),"")</f>
        <v/>
      </c>
      <c r="D2">
        <f>IFERROR(IF(AVERAGE('Resultados_llama3.3_70b'!L2:L10000)&gt;0,60/AVERAGE('Resultados_llama3.3_70b'!L2:L10000),0),"")</f>
        <v/>
      </c>
      <c r="E2">
        <f>IFERROR(AVERAGE('Resultados_llama3.3_70b'!M2:M10000),"")</f>
        <v/>
      </c>
    </row>
    <row r="3">
      <c r="A3" t="inlineStr">
        <is>
          <t>gemma3:27b</t>
        </is>
      </c>
      <c r="B3">
        <f>IFERROR(AVERAGE('Resultados_gemma3_27b'!L2:L10000),"")</f>
        <v/>
      </c>
      <c r="C3">
        <f>IFERROR(PERCENTILE('Resultados_gemma3_27b'!L2:L10000,0.95),"")</f>
        <v/>
      </c>
      <c r="D3">
        <f>IFERROR(IF(AVERAGE('Resultados_gemma3_27b'!L2:L10000)&gt;0,60/AVERAGE('Resultados_gemma3_27b'!L2:L10000),0),"")</f>
        <v/>
      </c>
      <c r="E3">
        <f>IFERROR(AVERAGE('Resultados_gemma3_27b'!M2:M10000),"")</f>
        <v/>
      </c>
    </row>
    <row r="4">
      <c r="A4" t="inlineStr">
        <is>
          <t>qwen3:32b</t>
        </is>
      </c>
      <c r="B4">
        <f>IFERROR(AVERAGE('Resultados_qwen3_32b'!L2:L10000),"")</f>
        <v/>
      </c>
      <c r="C4">
        <f>IFERROR(PERCENTILE('Resultados_qwen3_32b'!L2:L10000,0.95),"")</f>
        <v/>
      </c>
      <c r="D4">
        <f>IFERROR(IF(AVERAGE('Resultados_qwen3_32b'!L2:L10000)&gt;0,60/AVERAGE('Resultados_qwen3_32b'!L2:L10000),0),"")</f>
        <v/>
      </c>
      <c r="E4">
        <f>IFERROR(AVERAGE('Resultados_qwen3_32b'!M2:M10000),"")</f>
        <v/>
      </c>
    </row>
    <row r="5">
      <c r="A5" t="inlineStr">
        <is>
          <t>gemma</t>
        </is>
      </c>
      <c r="B5">
        <f>IFERROR(AVERAGE('Resultados_gemma'!L2:L10000),"")</f>
        <v/>
      </c>
      <c r="C5">
        <f>IFERROR(PERCENTILE('Resultados_gemma'!L2:L10000,0.95),"")</f>
        <v/>
      </c>
      <c r="D5">
        <f>IFERROR(IF(AVERAGE('Resultados_gemma'!L2:L10000)&gt;0,60/AVERAGE('Resultados_gemma'!L2:L10000),0),"")</f>
        <v/>
      </c>
      <c r="E5">
        <f>IFERROR(AVERAGE('Resultados_gemma'!M2:M10000),"")</f>
        <v/>
      </c>
    </row>
    <row r="6">
      <c r="A6" t="inlineStr">
        <is>
          <t>gemma3:4b</t>
        </is>
      </c>
      <c r="B6">
        <f>IFERROR(AVERAGE('Resultados_gemma3_4b'!L2:L10000),"")</f>
        <v/>
      </c>
      <c r="C6">
        <f>IFERROR(PERCENTILE('Resultados_gemma3_4b'!L2:L10000,0.95),"")</f>
        <v/>
      </c>
      <c r="D6">
        <f>IFERROR(IF(AVERAGE('Resultados_gemma3_4b'!L2:L10000)&gt;0,60/AVERAGE('Resultados_gemma3_4b'!L2:L10000),0),"")</f>
        <v/>
      </c>
      <c r="E6">
        <f>IFERROR(AVERAGE('Resultados_gemma3_4b'!M2:M10000),"")</f>
        <v/>
      </c>
    </row>
    <row r="7">
      <c r="A7" t="inlineStr">
        <is>
          <t>poligpt</t>
        </is>
      </c>
      <c r="B7">
        <f>IFERROR(AVERAGE('Resultados_poligpt'!L2:L10000),"")</f>
        <v/>
      </c>
      <c r="C7">
        <f>IFERROR(PERCENTILE('Resultados_poligpt'!L2:L10000,0.95),"")</f>
        <v/>
      </c>
      <c r="D7">
        <f>IFERROR(IF(AVERAGE('Resultados_poligpt'!L2:L10000)&gt;0,60/AVERAGE('Resultados_poligpt'!L2:L10000),0),"")</f>
        <v/>
      </c>
      <c r="E7">
        <f>IFERROR(AVERAGE('Resultados_poligpt'!M2:M10000),"")</f>
        <v/>
      </c>
    </row>
    <row r="8">
      <c r="A8" t="inlineStr">
        <is>
          <t>deepseek-r1:7b</t>
        </is>
      </c>
      <c r="B8">
        <f>IFERROR(AVERAGE('Resultados_deepseek-r1_7b'!L2:L10000),"")</f>
        <v/>
      </c>
      <c r="C8">
        <f>IFERROR(PERCENTILE('Resultados_deepseek-r1_7b'!L2:L10000,0.95),"")</f>
        <v/>
      </c>
      <c r="D8">
        <f>IFERROR(IF(AVERAGE('Resultados_deepseek-r1_7b'!L2:L10000)&gt;0,60/AVERAGE('Resultados_deepseek-r1_7b'!L2:L10000),0),"")</f>
        <v/>
      </c>
      <c r="E8">
        <f>IFERROR(AVERAGE('Resultados_deepseek-r1_7b'!M2:M10000),"")</f>
        <v/>
      </c>
    </row>
    <row r="9">
      <c r="A9" t="inlineStr">
        <is>
          <t>llama3.2:3b</t>
        </is>
      </c>
      <c r="B9">
        <f>IFERROR(AVERAGE('Resultados_llama3.2_3b'!L2:L10000),"")</f>
        <v/>
      </c>
      <c r="C9">
        <f>IFERROR(PERCENTILE('Resultados_llama3.2_3b'!L2:L10000,0.95),"")</f>
        <v/>
      </c>
      <c r="D9">
        <f>IFERROR(IF(AVERAGE('Resultados_llama3.2_3b'!L2:L10000)&gt;0,60/AVERAGE('Resultados_llama3.2_3b'!L2:L10000),0),"")</f>
        <v/>
      </c>
      <c r="E9">
        <f>IFERROR(AVERAGE('Resultados_llama3.2_3b'!M2:M10000),"")</f>
        <v/>
      </c>
    </row>
    <row r="10">
      <c r="A10" t="inlineStr">
        <is>
          <t>phi4-mini:3.8b</t>
        </is>
      </c>
      <c r="B10">
        <f>IFERROR(AVERAGE('Resultados_phi4-mini_3.8b'!L2:L10000),"")</f>
        <v/>
      </c>
      <c r="C10">
        <f>IFERROR(PERCENTILE('Resultados_phi4-mini_3.8b'!L2:L10000,0.95),"")</f>
        <v/>
      </c>
      <c r="D10">
        <f>IFERROR(IF(AVERAGE('Resultados_phi4-mini_3.8b'!L2:L10000)&gt;0,60/AVERAGE('Resultados_phi4-mini_3.8b'!L2:L10000),0),"")</f>
        <v/>
      </c>
      <c r="E10">
        <f>IFERROR(AVERAGE('Resultados_phi4-mini_3.8b'!M2:M10000),"")</f>
        <v/>
      </c>
    </row>
    <row r="11">
      <c r="A11" t="inlineStr">
        <is>
          <t>Tutor_EDA</t>
        </is>
      </c>
      <c r="B11">
        <f>IFERROR(AVERAGE('Resultados_Tutor_EDA'!L2:L10000),"")</f>
        <v/>
      </c>
      <c r="C11">
        <f>IFERROR(PERCENTILE('Resultados_Tutor_EDA'!L2:L10000,0.95),"")</f>
        <v/>
      </c>
      <c r="D11">
        <f>IFERROR(IF(AVERAGE('Resultados_Tutor_EDA'!L2:L10000)&gt;0,60/AVERAGE('Resultados_Tutor_EDA'!L2:L10000),0),"")</f>
        <v/>
      </c>
      <c r="E11">
        <f>IFERROR(AVERAGE('Resultados_Tutor_EDA'!M2:M10000),"")</f>
        <v/>
      </c>
    </row>
    <row r="12">
      <c r="A12" t="inlineStr">
        <is>
          <t>qwen3:4b</t>
        </is>
      </c>
      <c r="B12">
        <f>IFERROR(AVERAGE('Resultados_qwen3_4b'!L2:L10000),"")</f>
        <v/>
      </c>
      <c r="C12">
        <f>IFERROR(PERCENTILE('Resultados_qwen3_4b'!L2:L10000,0.95),"")</f>
        <v/>
      </c>
      <c r="D12">
        <f>IFERROR(IF(AVERAGE('Resultados_qwen3_4b'!L2:L10000)&gt;0,60/AVERAGE('Resultados_qwen3_4b'!L2:L10000),0),"")</f>
        <v/>
      </c>
      <c r="E12">
        <f>IFERROR(AVERAGE('Resultados_qwen3_4b'!M2:M10000),"")</f>
        <v/>
      </c>
    </row>
    <row r="13">
      <c r="A13" t="inlineStr">
        <is>
          <t>llama-mini</t>
        </is>
      </c>
      <c r="B13">
        <f>IFERROR(AVERAGE('Resultados_llama-mini'!L2:L10000),"")</f>
        <v/>
      </c>
      <c r="C13">
        <f>IFERROR(PERCENTILE('Resultados_llama-mini'!L2:L10000,0.95),"")</f>
        <v/>
      </c>
      <c r="D13">
        <f>IFERROR(IF(AVERAGE('Resultados_llama-mini'!L2:L10000)&gt;0,60/AVERAGE('Resultados_llama-mini'!L2:L10000),0),"")</f>
        <v/>
      </c>
      <c r="E13">
        <f>IFERROR(AVERAGE('Resultados_llama-mini'!M2:M10000),"")</f>
        <v/>
      </c>
    </row>
    <row r="14">
      <c r="A14" t="inlineStr">
        <is>
          <t>deepseek-r1:32b</t>
        </is>
      </c>
      <c r="B14">
        <f>IFERROR(AVERAGE('Resultados_deepseek-r1_32b'!L2:L10000),"")</f>
        <v/>
      </c>
      <c r="C14">
        <f>IFERROR(PERCENTILE('Resultados_deepseek-r1_32b'!L2:L10000,0.95),"")</f>
        <v/>
      </c>
      <c r="D14">
        <f>IFERROR(IF(AVERAGE('Resultados_deepseek-r1_32b'!L2:L10000)&gt;0,60/AVERAGE('Resultados_deepseek-r1_32b'!L2:L10000),0),"")</f>
        <v/>
      </c>
      <c r="E14">
        <f>IFERROR(AVERAGE('Resultados_deepseek-r1_32b'!M2:M10000),"")</f>
        <v/>
      </c>
    </row>
    <row r="15">
      <c r="A15" t="inlineStr">
        <is>
          <t>llama3.1:8b</t>
        </is>
      </c>
      <c r="B15">
        <f>IFERROR(AVERAGE('Resultados_llama3.1_8b'!L2:L10000),"")</f>
        <v/>
      </c>
      <c r="C15">
        <f>IFERROR(PERCENTILE('Resultados_llama3.1_8b'!L2:L10000,0.95),"")</f>
        <v/>
      </c>
      <c r="D15">
        <f>IFERROR(IF(AVERAGE('Resultados_llama3.1_8b'!L2:L10000)&gt;0,60/AVERAGE('Resultados_llama3.1_8b'!L2:L10000),0),"")</f>
        <v/>
      </c>
      <c r="E15">
        <f>IFERROR(AVERAGE('Resultados_llama3.1_8b'!M2:M10000),"")</f>
        <v/>
      </c>
    </row>
    <row r="16">
      <c r="A16" t="inlineStr">
        <is>
          <t>qwq</t>
        </is>
      </c>
      <c r="B16">
        <f>IFERROR(AVERAGE('Resultados_qwq'!L2:L10000),"")</f>
        <v/>
      </c>
      <c r="C16">
        <f>IFERROR(PERCENTILE('Resultados_qwq'!L2:L10000,0.95),"")</f>
        <v/>
      </c>
      <c r="D16">
        <f>IFERROR(IF(AVERAGE('Resultados_qwq'!L2:L10000)&gt;0,60/AVERAGE('Resultados_qwq'!L2:L10000),0),"")</f>
        <v/>
      </c>
      <c r="E16">
        <f>IFERROR(AVERAGE('Resultados_qwq'!M2:M10000),"")</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Modelo</t>
        </is>
      </c>
      <c r="B1" t="inlineStr">
        <is>
          <t>faithfulness</t>
        </is>
      </c>
      <c r="C1" t="inlineStr">
        <is>
          <t>relevance</t>
        </is>
      </c>
      <c r="D1" t="inlineStr">
        <is>
          <t>pct_cot</t>
        </is>
      </c>
    </row>
    <row r="2">
      <c r="A2" t="inlineStr">
        <is>
          <t>llama3.3:70b</t>
        </is>
      </c>
      <c r="B2">
        <f>IFERROR(AVERAGE('Resultados_llama3.3_70b'!T2:T10000),"")</f>
        <v/>
      </c>
      <c r="C2">
        <f>IFERROR(AVERAGE('Resultados_llama3.3_70b'!U2:U10000),"")</f>
        <v/>
      </c>
      <c r="D2">
        <f>IFERROR(COUNTIF('Resultados_llama3.3_70b'!V2:V10000,"&lt;&gt;")/COUNTA('Resultados_llama3.3_70b'!A2:A10000)*100,"")</f>
        <v/>
      </c>
    </row>
    <row r="3">
      <c r="A3" t="inlineStr">
        <is>
          <t>gemma3:27b</t>
        </is>
      </c>
      <c r="B3">
        <f>IFERROR(AVERAGE('Resultados_gemma3_27b'!T2:T10000),"")</f>
        <v/>
      </c>
      <c r="C3">
        <f>IFERROR(AVERAGE('Resultados_gemma3_27b'!U2:U10000),"")</f>
        <v/>
      </c>
      <c r="D3">
        <f>IFERROR(COUNTIF('Resultados_gemma3_27b'!V2:V10000,"&lt;&gt;")/COUNTA('Resultados_gemma3_27b'!A2:A10000)*100,"")</f>
        <v/>
      </c>
    </row>
    <row r="4">
      <c r="A4" t="inlineStr">
        <is>
          <t>qwen3:32b</t>
        </is>
      </c>
      <c r="B4">
        <f>IFERROR(AVERAGE('Resultados_qwen3_32b'!T2:T10000),"")</f>
        <v/>
      </c>
      <c r="C4">
        <f>IFERROR(AVERAGE('Resultados_qwen3_32b'!U2:U10000),"")</f>
        <v/>
      </c>
      <c r="D4">
        <f>IFERROR(COUNTIF('Resultados_qwen3_32b'!V2:V10000,"&lt;&gt;")/COUNTA('Resultados_qwen3_32b'!A2:A10000)*100,"")</f>
        <v/>
      </c>
    </row>
    <row r="5">
      <c r="A5" t="inlineStr">
        <is>
          <t>gemma</t>
        </is>
      </c>
      <c r="B5">
        <f>IFERROR(AVERAGE('Resultados_gemma'!T2:T10000),"")</f>
        <v/>
      </c>
      <c r="C5">
        <f>IFERROR(AVERAGE('Resultados_gemma'!U2:U10000),"")</f>
        <v/>
      </c>
      <c r="D5">
        <f>IFERROR(COUNTIF('Resultados_gemma'!V2:V10000,"&lt;&gt;")/COUNTA('Resultados_gemma'!A2:A10000)*100,"")</f>
        <v/>
      </c>
    </row>
    <row r="6">
      <c r="A6" t="inlineStr">
        <is>
          <t>gemma3:4b</t>
        </is>
      </c>
      <c r="B6">
        <f>IFERROR(AVERAGE('Resultados_gemma3_4b'!T2:T10000),"")</f>
        <v/>
      </c>
      <c r="C6">
        <f>IFERROR(AVERAGE('Resultados_gemma3_4b'!U2:U10000),"")</f>
        <v/>
      </c>
      <c r="D6">
        <f>IFERROR(COUNTIF('Resultados_gemma3_4b'!V2:V10000,"&lt;&gt;")/COUNTA('Resultados_gemma3_4b'!A2:A10000)*100,"")</f>
        <v/>
      </c>
    </row>
    <row r="7">
      <c r="A7" t="inlineStr">
        <is>
          <t>poligpt</t>
        </is>
      </c>
      <c r="B7">
        <f>IFERROR(AVERAGE('Resultados_poligpt'!T2:T10000),"")</f>
        <v/>
      </c>
      <c r="C7">
        <f>IFERROR(AVERAGE('Resultados_poligpt'!U2:U10000),"")</f>
        <v/>
      </c>
      <c r="D7">
        <f>IFERROR(COUNTIF('Resultados_poligpt'!V2:V10000,"&lt;&gt;")/COUNTA('Resultados_poligpt'!A2:A10000)*100,"")</f>
        <v/>
      </c>
    </row>
    <row r="8">
      <c r="A8" t="inlineStr">
        <is>
          <t>deepseek-r1:7b</t>
        </is>
      </c>
      <c r="B8">
        <f>IFERROR(AVERAGE('Resultados_deepseek-r1_7b'!T2:T10000),"")</f>
        <v/>
      </c>
      <c r="C8">
        <f>IFERROR(AVERAGE('Resultados_deepseek-r1_7b'!U2:U10000),"")</f>
        <v/>
      </c>
      <c r="D8">
        <f>IFERROR(COUNTIF('Resultados_deepseek-r1_7b'!V2:V10000,"&lt;&gt;")/COUNTA('Resultados_deepseek-r1_7b'!A2:A10000)*100,"")</f>
        <v/>
      </c>
    </row>
    <row r="9">
      <c r="A9" t="inlineStr">
        <is>
          <t>llama3.2:3b</t>
        </is>
      </c>
      <c r="B9">
        <f>IFERROR(AVERAGE('Resultados_llama3.2_3b'!T2:T10000),"")</f>
        <v/>
      </c>
      <c r="C9">
        <f>IFERROR(AVERAGE('Resultados_llama3.2_3b'!U2:U10000),"")</f>
        <v/>
      </c>
      <c r="D9">
        <f>IFERROR(COUNTIF('Resultados_llama3.2_3b'!V2:V10000,"&lt;&gt;")/COUNTA('Resultados_llama3.2_3b'!A2:A10000)*100,"")</f>
        <v/>
      </c>
    </row>
    <row r="10">
      <c r="A10" t="inlineStr">
        <is>
          <t>phi4-mini:3.8b</t>
        </is>
      </c>
      <c r="B10">
        <f>IFERROR(AVERAGE('Resultados_phi4-mini_3.8b'!T2:T10000),"")</f>
        <v/>
      </c>
      <c r="C10">
        <f>IFERROR(AVERAGE('Resultados_phi4-mini_3.8b'!U2:U10000),"")</f>
        <v/>
      </c>
      <c r="D10">
        <f>IFERROR(COUNTIF('Resultados_phi4-mini_3.8b'!V2:V10000,"&lt;&gt;")/COUNTA('Resultados_phi4-mini_3.8b'!A2:A10000)*100,"")</f>
        <v/>
      </c>
    </row>
    <row r="11">
      <c r="A11" t="inlineStr">
        <is>
          <t>Tutor_EDA</t>
        </is>
      </c>
      <c r="B11">
        <f>IFERROR(AVERAGE('Resultados_Tutor_EDA'!T2:T10000),"")</f>
        <v/>
      </c>
      <c r="C11">
        <f>IFERROR(AVERAGE('Resultados_Tutor_EDA'!U2:U10000),"")</f>
        <v/>
      </c>
      <c r="D11">
        <f>IFERROR(COUNTIF('Resultados_Tutor_EDA'!V2:V10000,"&lt;&gt;")/COUNTA('Resultados_Tutor_EDA'!A2:A10000)*100,"")</f>
        <v/>
      </c>
    </row>
    <row r="12">
      <c r="A12" t="inlineStr">
        <is>
          <t>qwen3:4b</t>
        </is>
      </c>
      <c r="B12">
        <f>IFERROR(AVERAGE('Resultados_qwen3_4b'!T2:T10000),"")</f>
        <v/>
      </c>
      <c r="C12">
        <f>IFERROR(AVERAGE('Resultados_qwen3_4b'!U2:U10000),"")</f>
        <v/>
      </c>
      <c r="D12">
        <f>IFERROR(COUNTIF('Resultados_qwen3_4b'!V2:V10000,"&lt;&gt;")/COUNTA('Resultados_qwen3_4b'!A2:A10000)*100,"")</f>
        <v/>
      </c>
    </row>
    <row r="13">
      <c r="A13" t="inlineStr">
        <is>
          <t>llama-mini</t>
        </is>
      </c>
      <c r="B13">
        <f>IFERROR(AVERAGE('Resultados_llama-mini'!T2:T10000),"")</f>
        <v/>
      </c>
      <c r="C13">
        <f>IFERROR(AVERAGE('Resultados_llama-mini'!U2:U10000),"")</f>
        <v/>
      </c>
      <c r="D13">
        <f>IFERROR(COUNTIF('Resultados_llama-mini'!V2:V10000,"&lt;&gt;")/COUNTA('Resultados_llama-mini'!A2:A10000)*100,"")</f>
        <v/>
      </c>
    </row>
    <row r="14">
      <c r="A14" t="inlineStr">
        <is>
          <t>deepseek-r1:32b</t>
        </is>
      </c>
      <c r="B14">
        <f>IFERROR(AVERAGE('Resultados_deepseek-r1_32b'!T2:T10000),"")</f>
        <v/>
      </c>
      <c r="C14">
        <f>IFERROR(AVERAGE('Resultados_deepseek-r1_32b'!U2:U10000),"")</f>
        <v/>
      </c>
      <c r="D14">
        <f>IFERROR(COUNTIF('Resultados_deepseek-r1_32b'!V2:V10000,"&lt;&gt;")/COUNTA('Resultados_deepseek-r1_32b'!A2:A10000)*100,"")</f>
        <v/>
      </c>
    </row>
    <row r="15">
      <c r="A15" t="inlineStr">
        <is>
          <t>llama3.1:8b</t>
        </is>
      </c>
      <c r="B15">
        <f>IFERROR(AVERAGE('Resultados_llama3.1_8b'!T2:T10000),"")</f>
        <v/>
      </c>
      <c r="C15">
        <f>IFERROR(AVERAGE('Resultados_llama3.1_8b'!U2:U10000),"")</f>
        <v/>
      </c>
      <c r="D15">
        <f>IFERROR(COUNTIF('Resultados_llama3.1_8b'!V2:V10000,"&lt;&gt;")/COUNTA('Resultados_llama3.1_8b'!A2:A10000)*100,"")</f>
        <v/>
      </c>
    </row>
    <row r="16">
      <c r="A16" t="inlineStr">
        <is>
          <t>qwq</t>
        </is>
      </c>
      <c r="B16">
        <f>IFERROR(AVERAGE('Resultados_qwq'!T2:T10000),"")</f>
        <v/>
      </c>
      <c r="C16">
        <f>IFERROR(AVERAGE('Resultados_qwq'!U2:U10000),"")</f>
        <v/>
      </c>
      <c r="D16">
        <f>IFERROR(COUNTIF('Resultados_qwq'!V2:V10000,"&lt;&gt;")/COUNTA('Resultados_qwq'!A2:A10000)*100,"")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2026-05-20T16:00:54Z</dcterms:created>
  <dcterms:modified xmlns:dcterms="http://purl.org/dc/terms/" xmlns:xsi="http://www.w3.org/2001/XMLSchema-instance" xsi:type="dcterms:W3CDTF">2026-05-20T16:00:55Z</dcterms:modified>
</cp:coreProperties>
</file>