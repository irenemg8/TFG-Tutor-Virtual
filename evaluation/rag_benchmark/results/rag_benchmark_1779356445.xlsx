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_gemma3_27b" sheetId="1" state="visible" r:id="rId1"/>
    <sheet xmlns:r="http://schemas.openxmlformats.org/officeDocument/2006/relationships" name="Results_gemma3_4b" sheetId="2" state="visible" r:id="rId2"/>
    <sheet xmlns:r="http://schemas.openxmlformats.org/officeDocument/2006/relationships" name="Metadata" sheetId="3" state="visible" r:id="rId3"/>
    <sheet xmlns:r="http://schemas.openxmlformats.org/officeDocument/2006/relationships" name="Ranking" sheetId="4" state="visible" r:id="rId4"/>
    <sheet xmlns:r="http://schemas.openxmlformats.org/officeDocument/2006/relationships" name="Results_Article" sheetId="5" state="visible" r:id="rId5"/>
    <sheet xmlns:r="http://schemas.openxmlformats.org/officeDocument/2006/relationships" name="Efficiency" sheetId="6" state="visible" r:id="rId6"/>
    <sheet xmlns:r="http://schemas.openxmlformats.org/officeDocument/2006/relationships" name="CoT Analysi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99"/>
  <sheetViews>
    <sheetView workbookViewId="0">
      <selection activeCell="A1" sqref="A1"/>
    </sheetView>
  </sheetViews>
  <sheetFormatPr baseColWidth="8" defaultRowHeight="15"/>
  <sheetData>
    <row r="1">
      <c r="A1" t="inlineStr">
        <is>
          <t>ID</t>
        </is>
      </c>
      <c r="B1" t="inlineStr">
        <is>
          <t>Conversation</t>
        </is>
      </c>
      <c r="C1" t="inlineStr">
        <is>
          <t>Turn</t>
        </is>
      </c>
      <c r="D1" t="inlineStr">
        <is>
          <t>Exercise</t>
        </is>
      </c>
      <c r="E1" t="inlineStr">
        <is>
          <t>Student Answer</t>
        </is>
      </c>
      <c r="F1" t="inlineStr">
        <is>
          <t>Tutor Socratic Response</t>
        </is>
      </c>
      <c r="G1" t="inlineStr">
        <is>
          <t>Socratic Quality</t>
        </is>
      </c>
      <c r="H1" t="inlineStr">
        <is>
          <t>Conceptual Precision</t>
        </is>
      </c>
      <c r="I1" t="inlineStr">
        <is>
          <t>Consistency</t>
        </is>
      </c>
      <c r="J1" t="inlineStr">
        <is>
          <t>Hallucination Rate</t>
        </is>
      </c>
      <c r="K1" t="inlineStr">
        <is>
          <t>Total Score</t>
        </is>
      </c>
      <c r="L1" t="inlineStr">
        <is>
          <t>Latency (s)</t>
        </is>
      </c>
      <c r="M1" t="inlineStr">
        <is>
          <t>Tokens</t>
        </is>
      </c>
      <c r="N1" t="inlineStr">
        <is>
          <t>Throughput (resp/min)</t>
        </is>
      </c>
      <c r="O1" t="inlineStr">
        <is>
          <t>Expected ACs</t>
        </is>
      </c>
      <c r="P1" t="inlineStr">
        <is>
          <t>Detected ACs</t>
        </is>
      </c>
      <c r="Q1" t="inlineStr">
        <is>
          <t>AC Precision</t>
        </is>
      </c>
      <c r="R1" t="inlineStr">
        <is>
          <t>AC Recall</t>
        </is>
      </c>
      <c r="S1" t="inlineStr">
        <is>
          <t>AC F1</t>
        </is>
      </c>
      <c r="T1" t="inlineStr">
        <is>
          <t>Faithfulness</t>
        </is>
      </c>
      <c r="U1" t="inlineStr">
        <is>
          <t>Relevance</t>
        </is>
      </c>
      <c r="V1" t="inlineStr">
        <is>
          <t>Think Content</t>
        </is>
      </c>
      <c r="W1" t="inlineStr">
        <is>
          <t>Constructive Feedback</t>
        </is>
      </c>
    </row>
    <row r="2">
      <c r="A2" t="n">
        <v>199</v>
      </c>
      <c r="B2" t="n">
        <v>68</v>
      </c>
      <c r="C2" t="n">
        <v>1</v>
      </c>
      <c r="D2" t="n">
        <v>1</v>
      </c>
      <c r="E2" t="inlineStr">
        <is>
          <t>R1 y R2 dado que las dos resistencia forman un divisor de tensión</t>
        </is>
      </c>
      <c r="F2" t="inlineStr">
        <is>
          <t>Considerando que el interruptor entre N2 y N3 está abierto, ¿cómo afecta esto al flujo de corriente a través de todas las resistencias conectadas a esos nodos?</t>
        </is>
      </c>
      <c r="G2" t="n">
        <v>4</v>
      </c>
      <c r="H2" t="n">
        <v>4</v>
      </c>
      <c r="I2" t="n">
        <v>3</v>
      </c>
      <c r="J2" t="n">
        <v>5</v>
      </c>
      <c r="K2" t="n">
        <v>16</v>
      </c>
      <c r="L2" t="n">
        <v>1.571</v>
      </c>
      <c r="M2" t="n">
        <v>36</v>
      </c>
      <c r="N2" t="n">
        <v>38.2</v>
      </c>
      <c r="O2" t="inlineStr">
        <is>
          <t>AC9</t>
        </is>
      </c>
      <c r="P2" t="inlineStr">
        <is>
          <t>AC1, AC9</t>
        </is>
      </c>
      <c r="Q2" t="n">
        <v>0.5</v>
      </c>
      <c r="R2" t="n">
        <v>1</v>
      </c>
      <c r="S2" t="n">
        <v>0.667</v>
      </c>
      <c r="T2" t="inlineStr"/>
      <c r="U2" t="inlineStr"/>
      <c r="V2" t="inlineStr"/>
      <c r="W2"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3">
      <c r="A3" t="n">
        <v>200</v>
      </c>
      <c r="B3" t="n">
        <v>68</v>
      </c>
      <c r="C3" t="n">
        <v>2</v>
      </c>
      <c r="D3" t="n">
        <v>1</v>
      </c>
      <c r="E3" t="inlineStr">
        <is>
          <t>R1 y R2 dado que se pide la tensión en R2</t>
        </is>
      </c>
      <c r="F3" t="inlineStr">
        <is>
          <t>Si conoces la tensión total aplicada al divisor de tensión y la resistencia de R1, ¿qué información adicional necesitarías para calcular la caída de tensión específicamente en R2?</t>
        </is>
      </c>
      <c r="G3" t="n">
        <v>3</v>
      </c>
      <c r="H3" t="n">
        <v>3</v>
      </c>
      <c r="I3" t="n">
        <v>5</v>
      </c>
      <c r="J3" t="n">
        <v>5</v>
      </c>
      <c r="K3" t="n">
        <v>16</v>
      </c>
      <c r="L3" t="n">
        <v>1.137</v>
      </c>
      <c r="M3" t="n">
        <v>36</v>
      </c>
      <c r="N3" t="n">
        <v>52.76</v>
      </c>
      <c r="O3" t="inlineStr">
        <is>
          <t>AC9</t>
        </is>
      </c>
      <c r="P3" t="inlineStr"/>
      <c r="Q3" t="n">
        <v>1</v>
      </c>
      <c r="R3" t="n">
        <v>0</v>
      </c>
      <c r="S3" t="n">
        <v>0</v>
      </c>
      <c r="T3" t="inlineStr"/>
      <c r="U3" t="inlineStr"/>
      <c r="V3" t="inlineStr"/>
      <c r="W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
      <c r="A4" t="n">
        <v>201</v>
      </c>
      <c r="B4" t="n">
        <v>68</v>
      </c>
      <c r="C4" t="n">
        <v>3</v>
      </c>
      <c r="D4" t="n">
        <v>1</v>
      </c>
      <c r="E4" t="inlineStr">
        <is>
          <t>R1 y R2 por identificar un divisor de tensión</t>
        </is>
      </c>
      <c r="F4" t="inlineStr">
        <is>
          <t>Dado que tienes un divisor de tensión compuesto por R1 y R2, ¿cómo se relaciona la resistencia de cada componente con la proporción de la tensión total que cae sobre ella?</t>
        </is>
      </c>
      <c r="G4" t="n">
        <v>3</v>
      </c>
      <c r="H4" t="n">
        <v>3</v>
      </c>
      <c r="I4" t="n">
        <v>5</v>
      </c>
      <c r="J4" t="n">
        <v>5</v>
      </c>
      <c r="K4" t="n">
        <v>16</v>
      </c>
      <c r="L4" t="n">
        <v>1.151</v>
      </c>
      <c r="M4" t="n">
        <v>37</v>
      </c>
      <c r="N4" t="n">
        <v>52.13</v>
      </c>
      <c r="O4" t="inlineStr">
        <is>
          <t>AC9</t>
        </is>
      </c>
      <c r="P4" t="inlineStr"/>
      <c r="Q4" t="n">
        <v>1</v>
      </c>
      <c r="R4" t="n">
        <v>0</v>
      </c>
      <c r="S4" t="n">
        <v>0</v>
      </c>
      <c r="T4" t="inlineStr"/>
      <c r="U4" t="inlineStr"/>
      <c r="V4" t="inlineStr"/>
      <c r="W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
      <c r="A5" t="n">
        <v>202</v>
      </c>
      <c r="B5" t="n">
        <v>69</v>
      </c>
      <c r="C5" t="n">
        <v>1</v>
      </c>
      <c r="D5" t="n">
        <v>1</v>
      </c>
      <c r="E5" t="inlineStr">
        <is>
          <t>R1 y R2 hacen un divisor de tensión</t>
        </is>
      </c>
      <c r="F5" t="inlineStr">
        <is>
          <t>Considerando que el interruptor entre N2 y N3 está abierto, ¿cómo afecta esto al flujo de corriente a través de las diferentes ramas del circuito y qué implicaciones tiene para calcular la diferencia de potencial en N2 con respecto a tierra?</t>
        </is>
      </c>
      <c r="G5" t="n">
        <v>4</v>
      </c>
      <c r="H5" t="n">
        <v>3</v>
      </c>
      <c r="I5" t="n">
        <v>2</v>
      </c>
      <c r="J5" t="n">
        <v>5</v>
      </c>
      <c r="K5" t="n">
        <v>14</v>
      </c>
      <c r="L5" t="n">
        <v>1.544</v>
      </c>
      <c r="M5" t="n">
        <v>51</v>
      </c>
      <c r="N5" t="n">
        <v>38.85</v>
      </c>
      <c r="O5" t="inlineStr">
        <is>
          <t>AC9</t>
        </is>
      </c>
      <c r="P5" t="inlineStr">
        <is>
          <t>AC1, AC9</t>
        </is>
      </c>
      <c r="Q5" t="n">
        <v>0.5</v>
      </c>
      <c r="R5" t="n">
        <v>1</v>
      </c>
      <c r="S5" t="n">
        <v>0.667</v>
      </c>
      <c r="T5" t="inlineStr"/>
      <c r="U5" t="inlineStr"/>
      <c r="V5" t="inlineStr"/>
      <c r="W5"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6">
      <c r="A6" t="n">
        <v>203</v>
      </c>
      <c r="B6" t="n">
        <v>69</v>
      </c>
      <c r="C6" t="n">
        <v>2</v>
      </c>
      <c r="D6" t="n">
        <v>1</v>
      </c>
      <c r="E6" t="inlineStr">
        <is>
          <t>R1, R2, R3 y R4 porque R5 está cortocircuitada</t>
        </is>
      </c>
      <c r="F6" t="inlineStr">
        <is>
          <t>Si R5 está efectivamente cortocircuitada, ¿cómo impacta esta condición en la corriente que fluye a través de R4 y qué consecuencias tiene esto para determinar qué resistencias contribuyen significativamente a la caída de tensión total?</t>
        </is>
      </c>
      <c r="G6" t="n">
        <v>3</v>
      </c>
      <c r="H6" t="n">
        <v>3</v>
      </c>
      <c r="I6" t="n">
        <v>3</v>
      </c>
      <c r="J6" t="n">
        <v>5</v>
      </c>
      <c r="K6" t="n">
        <v>14</v>
      </c>
      <c r="L6" t="n">
        <v>1.304</v>
      </c>
      <c r="M6" t="n">
        <v>48</v>
      </c>
      <c r="N6" t="n">
        <v>46.01</v>
      </c>
      <c r="O6" t="inlineStr">
        <is>
          <t>AC1, AC6</t>
        </is>
      </c>
      <c r="P6" t="inlineStr">
        <is>
          <t>AC1, AC9</t>
        </is>
      </c>
      <c r="Q6" t="n">
        <v>0.5</v>
      </c>
      <c r="R6" t="n">
        <v>0.5</v>
      </c>
      <c r="S6" t="n">
        <v>0.5</v>
      </c>
      <c r="T6" t="inlineStr"/>
      <c r="U6" t="inlineStr"/>
      <c r="V6" t="inlineStr"/>
      <c r="W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
      <c r="A7" t="n">
        <v>204</v>
      </c>
      <c r="B7" t="n">
        <v>69</v>
      </c>
      <c r="C7" t="n">
        <v>3</v>
      </c>
      <c r="D7" t="n">
        <v>1</v>
      </c>
      <c r="E7" t="inlineStr">
        <is>
          <t>R1, R2, R3 y R4 porque por R5 no circula corriente</t>
        </is>
      </c>
      <c r="F7" t="inlineStr">
        <is>
          <t>Si no circula corriente a través de R5 debido al cortocircuito, ¿cómo afecta esto a la configuración general del circuito y a la identificación de las resistencias que realmente determinan la resistencia equivalente total vista por la fuente de tensión?</t>
        </is>
      </c>
      <c r="G7" t="n">
        <v>4</v>
      </c>
      <c r="H7" t="n">
        <v>4</v>
      </c>
      <c r="I7" t="n">
        <v>3</v>
      </c>
      <c r="J7" t="n">
        <v>5</v>
      </c>
      <c r="K7" t="n">
        <v>16</v>
      </c>
      <c r="L7" t="n">
        <v>1.338</v>
      </c>
      <c r="M7" t="n">
        <v>48</v>
      </c>
      <c r="N7" t="n">
        <v>44.85</v>
      </c>
      <c r="O7" t="inlineStr">
        <is>
          <t>AC1, AC6</t>
        </is>
      </c>
      <c r="P7" t="inlineStr">
        <is>
          <t>AC1, AC6, AC9</t>
        </is>
      </c>
      <c r="Q7" t="n">
        <v>0.667</v>
      </c>
      <c r="R7" t="n">
        <v>1</v>
      </c>
      <c r="S7" t="n">
        <v>0.8</v>
      </c>
      <c r="T7" t="inlineStr"/>
      <c r="U7" t="inlineStr"/>
      <c r="V7" t="inlineStr"/>
      <c r="W7"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8">
      <c r="A8" t="n">
        <v>205</v>
      </c>
      <c r="B8" t="n">
        <v>70</v>
      </c>
      <c r="C8" t="n">
        <v>1</v>
      </c>
      <c r="D8" t="n">
        <v>1</v>
      </c>
      <c r="E8" t="inlineStr">
        <is>
          <t>R1, R2, R3 y R4 porque R5 se quita</t>
        </is>
      </c>
      <c r="F8" t="inlineStr">
        <is>
          <t>Si examinas cuidadosamente el netlist, ¿qué relación observas entre los nodos conectados a los terminales de R5?</t>
        </is>
      </c>
      <c r="G8" t="n">
        <v>3</v>
      </c>
      <c r="H8" t="n">
        <v>3</v>
      </c>
      <c r="I8" t="n">
        <v>3</v>
      </c>
      <c r="J8" t="n">
        <v>5</v>
      </c>
      <c r="K8" t="n">
        <v>14</v>
      </c>
      <c r="L8" t="n">
        <v>1.155</v>
      </c>
      <c r="M8" t="n">
        <v>26</v>
      </c>
      <c r="N8" t="n">
        <v>51.96</v>
      </c>
      <c r="O8" t="inlineStr">
        <is>
          <t>AC1, AC6</t>
        </is>
      </c>
      <c r="P8" t="inlineStr">
        <is>
          <t>AC6</t>
        </is>
      </c>
      <c r="Q8" t="n">
        <v>1</v>
      </c>
      <c r="R8" t="n">
        <v>0.5</v>
      </c>
      <c r="S8" t="n">
        <v>0.667</v>
      </c>
      <c r="T8" t="inlineStr"/>
      <c r="U8" t="inlineStr"/>
      <c r="V8" t="inlineStr"/>
      <c r="W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
      <c r="A9" t="n">
        <v>206</v>
      </c>
      <c r="B9" t="n">
        <v>70</v>
      </c>
      <c r="C9" t="n">
        <v>2</v>
      </c>
      <c r="D9" t="n">
        <v>1</v>
      </c>
      <c r="E9" t="inlineStr">
        <is>
          <t>R1, R3 y R4 porque R2 está en paralelo con la fuente y R5 corctocircuitada</t>
        </is>
      </c>
      <c r="F9" t="inlineStr">
        <is>
          <t>Si un componente está en cortocircuito, ¿cómo afecta esto a la corriente que fluye a través de él y a la tensión a través de sus terminales?</t>
        </is>
      </c>
      <c r="G9" t="n">
        <v>4</v>
      </c>
      <c r="H9" t="n">
        <v>4</v>
      </c>
      <c r="I9" t="n">
        <v>3</v>
      </c>
      <c r="J9" t="n">
        <v>5</v>
      </c>
      <c r="K9" t="n">
        <v>16</v>
      </c>
      <c r="L9" t="n">
        <v>1.141</v>
      </c>
      <c r="M9" t="n">
        <v>35</v>
      </c>
      <c r="N9" t="n">
        <v>52.59</v>
      </c>
      <c r="O9" t="inlineStr">
        <is>
          <t>AC1, AC6</t>
        </is>
      </c>
      <c r="P9" t="inlineStr">
        <is>
          <t>AC1, AC6</t>
        </is>
      </c>
      <c r="Q9" t="n">
        <v>1</v>
      </c>
      <c r="R9" t="n">
        <v>1</v>
      </c>
      <c r="S9" t="n">
        <v>1</v>
      </c>
      <c r="T9" t="inlineStr"/>
      <c r="U9" t="inlineStr"/>
      <c r="V9" t="inlineStr"/>
      <c r="W9"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10">
      <c r="A10" t="n">
        <v>207</v>
      </c>
      <c r="B10" t="n">
        <v>70</v>
      </c>
      <c r="C10" t="n">
        <v>3</v>
      </c>
      <c r="D10" t="n">
        <v>1</v>
      </c>
      <c r="E10" t="inlineStr">
        <is>
          <t>R1, R4 y R5 porque R2 se elimina y R3 también</t>
        </is>
      </c>
      <c r="F10" t="inlineStr">
        <is>
          <t>Considerando que un cortocircuito implica una resistencia de cero ohmios, ¿cómo afectaría esto a la corriente total que circula por el circuito y a la distribución de la tensión en las demás resistencias?</t>
        </is>
      </c>
      <c r="G10" t="n">
        <v>3</v>
      </c>
      <c r="H10" t="n">
        <v>4</v>
      </c>
      <c r="I10" t="n">
        <v>3</v>
      </c>
      <c r="J10" t="n">
        <v>5</v>
      </c>
      <c r="K10" t="n">
        <v>15</v>
      </c>
      <c r="L10" t="n">
        <v>1.265</v>
      </c>
      <c r="M10" t="n">
        <v>42</v>
      </c>
      <c r="N10" t="n">
        <v>47.43</v>
      </c>
      <c r="O10" t="inlineStr">
        <is>
          <t>AC1, AC6</t>
        </is>
      </c>
      <c r="P10" t="inlineStr">
        <is>
          <t>AC1, AC6, AC9</t>
        </is>
      </c>
      <c r="Q10" t="n">
        <v>0.667</v>
      </c>
      <c r="R10" t="n">
        <v>1</v>
      </c>
      <c r="S10" t="n">
        <v>0.8</v>
      </c>
      <c r="T10" t="inlineStr"/>
      <c r="U10" t="inlineStr"/>
      <c r="V10" t="inlineStr"/>
      <c r="W1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1">
      <c r="A11" t="n">
        <v>208</v>
      </c>
      <c r="B11" t="n">
        <v>71</v>
      </c>
      <c r="C11" t="n">
        <v>1</v>
      </c>
      <c r="D11" t="n">
        <v>1</v>
      </c>
      <c r="E11" t="inlineStr">
        <is>
          <t>R1 y R4 dado que R2 está en paralelo con la fuente, R3 en circuito abierto y R5 cortocircuitada</t>
        </is>
      </c>
      <c r="F11" t="inlineStr">
        <is>
          <t>Considerando que R2 está en paralelo con la fuente, ¿cómo afecta esta configuración a la corriente que fluye a través de R2 en comparación con la corriente total proveniente de la fuente?</t>
        </is>
      </c>
      <c r="G11" t="n">
        <v>4</v>
      </c>
      <c r="H11" t="n">
        <v>3</v>
      </c>
      <c r="I11" t="n">
        <v>3</v>
      </c>
      <c r="J11" t="n">
        <v>5</v>
      </c>
      <c r="K11" t="n">
        <v>15</v>
      </c>
      <c r="L11" t="n">
        <v>1.412</v>
      </c>
      <c r="M11" t="n">
        <v>41</v>
      </c>
      <c r="N11" t="n">
        <v>42.51</v>
      </c>
      <c r="O11" t="inlineStr">
        <is>
          <t>AC1, AC6</t>
        </is>
      </c>
      <c r="P11" t="inlineStr">
        <is>
          <t>AC1</t>
        </is>
      </c>
      <c r="Q11" t="n">
        <v>1</v>
      </c>
      <c r="R11" t="n">
        <v>0.5</v>
      </c>
      <c r="S11" t="n">
        <v>0.667</v>
      </c>
      <c r="T11" t="inlineStr"/>
      <c r="U11" t="inlineStr"/>
      <c r="V11" t="inlineStr"/>
      <c r="W11"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2">
      <c r="A12" t="n">
        <v>209</v>
      </c>
      <c r="B12" t="n">
        <v>71</v>
      </c>
      <c r="C12" t="n">
        <v>2</v>
      </c>
      <c r="D12" t="n">
        <v>1</v>
      </c>
      <c r="E12" t="inlineStr">
        <is>
          <t>R1, R2 y R3 dado que R2 y R3 están en paralelo y forman un divisor de tensión con R1</t>
        </is>
      </c>
      <c r="F12" t="inlineStr">
        <is>
          <t>Si R2 y R3 están en paralelo, ¿cómo se compara el voltaje a través de R2 con el voltaje a través de R3, y cómo esto impacta la corriente que fluye por cada resistencia?</t>
        </is>
      </c>
      <c r="G12" t="n">
        <v>3</v>
      </c>
      <c r="H12" t="n">
        <v>3</v>
      </c>
      <c r="I12" t="n">
        <v>4</v>
      </c>
      <c r="J12" t="n">
        <v>5</v>
      </c>
      <c r="K12" t="n">
        <v>15</v>
      </c>
      <c r="L12" t="n">
        <v>1.278</v>
      </c>
      <c r="M12" t="n">
        <v>45</v>
      </c>
      <c r="N12" t="n">
        <v>46.97</v>
      </c>
      <c r="O12" t="inlineStr">
        <is>
          <t>AC1, AC9</t>
        </is>
      </c>
      <c r="P12" t="inlineStr">
        <is>
          <t>AC1</t>
        </is>
      </c>
      <c r="Q12" t="n">
        <v>1</v>
      </c>
      <c r="R12" t="n">
        <v>0.5</v>
      </c>
      <c r="S12" t="n">
        <v>0.667</v>
      </c>
      <c r="T12" t="inlineStr"/>
      <c r="U12" t="inlineStr"/>
      <c r="V12" t="inlineStr"/>
      <c r="W1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
      <c r="A13" t="n">
        <v>210</v>
      </c>
      <c r="B13" t="n">
        <v>71</v>
      </c>
      <c r="C13" t="n">
        <v>3</v>
      </c>
      <c r="D13" t="n">
        <v>1</v>
      </c>
      <c r="E13" t="inlineStr">
        <is>
          <t>R1, R2, R4 y R5 dado que R3 está en circuito abierto</t>
        </is>
      </c>
      <c r="F13" t="inlineStr">
        <is>
          <t>Dado que R3 está en circuito abierto, ¿cómo crees que esto afecta el flujo de corriente en el resto del circuito, específicamente en las ramas que contienen a R1, R2, R4 y R5?</t>
        </is>
      </c>
      <c r="G13" t="n">
        <v>3</v>
      </c>
      <c r="H13" t="n">
        <v>3</v>
      </c>
      <c r="I13" t="n">
        <v>5</v>
      </c>
      <c r="J13" t="n">
        <v>5</v>
      </c>
      <c r="K13" t="n">
        <v>16</v>
      </c>
      <c r="L13" t="n">
        <v>1.31</v>
      </c>
      <c r="M13" t="n">
        <v>46</v>
      </c>
      <c r="N13" t="n">
        <v>45.8</v>
      </c>
      <c r="O13" t="inlineStr">
        <is>
          <t>AC1, AC6</t>
        </is>
      </c>
      <c r="P13" t="inlineStr">
        <is>
          <t>AC1</t>
        </is>
      </c>
      <c r="Q13" t="n">
        <v>1</v>
      </c>
      <c r="R13" t="n">
        <v>0.5</v>
      </c>
      <c r="S13" t="n">
        <v>0.667</v>
      </c>
      <c r="T13" t="inlineStr"/>
      <c r="U13" t="inlineStr"/>
      <c r="V13" t="inlineStr"/>
      <c r="W1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
      <c r="A14" t="n">
        <v>211</v>
      </c>
      <c r="B14" t="n">
        <v>72</v>
      </c>
      <c r="C14" t="n">
        <v>1</v>
      </c>
      <c r="D14" t="n">
        <v>1</v>
      </c>
      <c r="E14" t="inlineStr">
        <is>
          <t>R1, R2, R4 y R5 dado que R3 sobra</t>
        </is>
      </c>
      <c r="F14" t="inlineStr">
        <is>
          <t>Considerando el netlist, ¿qué característica comparten los nodos conectados a los terminales de R5, y cómo podría afectar esto al flujo de corriente a través de esa resistencia?</t>
        </is>
      </c>
      <c r="G14" t="n">
        <v>3</v>
      </c>
      <c r="H14" t="n">
        <v>3</v>
      </c>
      <c r="I14" t="n">
        <v>3</v>
      </c>
      <c r="J14" t="n">
        <v>5</v>
      </c>
      <c r="K14" t="n">
        <v>14</v>
      </c>
      <c r="L14" t="n">
        <v>1.324</v>
      </c>
      <c r="M14" t="n">
        <v>37</v>
      </c>
      <c r="N14" t="n">
        <v>45.31</v>
      </c>
      <c r="O14" t="inlineStr">
        <is>
          <t>AC1, AC6</t>
        </is>
      </c>
      <c r="P14" t="inlineStr">
        <is>
          <t>AC1, AC6</t>
        </is>
      </c>
      <c r="Q14" t="n">
        <v>1</v>
      </c>
      <c r="R14" t="n">
        <v>1</v>
      </c>
      <c r="S14" t="n">
        <v>1</v>
      </c>
      <c r="T14" t="inlineStr"/>
      <c r="U14" t="inlineStr"/>
      <c r="V14" t="inlineStr"/>
      <c r="W1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5">
      <c r="A15" t="n">
        <v>212</v>
      </c>
      <c r="B15" t="n">
        <v>72</v>
      </c>
      <c r="C15" t="n">
        <v>2</v>
      </c>
      <c r="D15" t="n">
        <v>1</v>
      </c>
      <c r="E15" t="inlineStr">
        <is>
          <t>R1, R2, R4 y R5 dado que R3 no hace nada</t>
        </is>
      </c>
      <c r="F15" t="inlineStr">
        <is>
          <t>Si R3 no contribuye al circuito, ¿cómo describirías su rol en términos de la corriente eléctrica y la diferencia de potencial entre sus terminales?</t>
        </is>
      </c>
      <c r="G15" t="n">
        <v>3</v>
      </c>
      <c r="H15" t="n">
        <v>3</v>
      </c>
      <c r="I15" t="n">
        <v>3</v>
      </c>
      <c r="J15" t="n">
        <v>5</v>
      </c>
      <c r="K15" t="n">
        <v>14</v>
      </c>
      <c r="L15" t="n">
        <v>1.084</v>
      </c>
      <c r="M15" t="n">
        <v>32</v>
      </c>
      <c r="N15" t="n">
        <v>55.35</v>
      </c>
      <c r="O15" t="inlineStr">
        <is>
          <t>AC1, AC6</t>
        </is>
      </c>
      <c r="P15" t="inlineStr">
        <is>
          <t>AC1, AC6, AC9</t>
        </is>
      </c>
      <c r="Q15" t="n">
        <v>0.667</v>
      </c>
      <c r="R15" t="n">
        <v>1</v>
      </c>
      <c r="S15" t="n">
        <v>0.8</v>
      </c>
      <c r="T15" t="inlineStr"/>
      <c r="U15" t="inlineStr"/>
      <c r="V15" t="inlineStr"/>
      <c r="W1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6">
      <c r="A16" t="n">
        <v>213</v>
      </c>
      <c r="B16" t="n">
        <v>72</v>
      </c>
      <c r="C16" t="n">
        <v>3</v>
      </c>
      <c r="D16" t="n">
        <v>1</v>
      </c>
      <c r="E16" t="inlineStr">
        <is>
          <t>R1, R2 y R4 dado que son las resistencias que forman parte del circuito.</t>
        </is>
      </c>
      <c r="F16" t="inlineStr">
        <is>
          <t>Si R5 está efectivamente desconectada del resto del circuito, ¿cómo afectaría esto a la corriente que fluye a través de R4, considerando las leyes de conservación de la corriente en los nodos?</t>
        </is>
      </c>
      <c r="G16" t="n">
        <v>3</v>
      </c>
      <c r="H16" t="n">
        <v>3</v>
      </c>
      <c r="I16" t="n">
        <v>3</v>
      </c>
      <c r="J16" t="n">
        <v>5</v>
      </c>
      <c r="K16" t="n">
        <v>14</v>
      </c>
      <c r="L16" t="n">
        <v>1.266</v>
      </c>
      <c r="M16" t="n">
        <v>43</v>
      </c>
      <c r="N16" t="n">
        <v>47.38</v>
      </c>
      <c r="O16" t="inlineStr"/>
      <c r="P16" t="inlineStr">
        <is>
          <t>AC1</t>
        </is>
      </c>
      <c r="Q16" t="n">
        <v>0</v>
      </c>
      <c r="R16" t="n">
        <v>1</v>
      </c>
      <c r="S16" t="n">
        <v>0</v>
      </c>
      <c r="T16" t="inlineStr"/>
      <c r="U16" t="inlineStr"/>
      <c r="V16" t="inlineStr"/>
      <c r="W1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
      <c r="A17" t="n">
        <v>214</v>
      </c>
      <c r="B17" t="n">
        <v>73</v>
      </c>
      <c r="C17" t="n">
        <v>1</v>
      </c>
      <c r="D17" t="n">
        <v>1</v>
      </c>
      <c r="E17" t="inlineStr">
        <is>
          <t>R1, R2 y R4 dado que R2 y R4 están en paralelo y forma un divisor de tensión con R1.</t>
        </is>
      </c>
      <c r="F17" t="inlineStr">
        <is>
          <t>Considerando el interruptor abierto entre N2 y N3, ¿cómo afecta esto al flujo de corriente a través de alguna de las resistencias que mencionaste?</t>
        </is>
      </c>
      <c r="G17" t="n">
        <v>4</v>
      </c>
      <c r="H17" t="n">
        <v>4</v>
      </c>
      <c r="I17" t="n">
        <v>3</v>
      </c>
      <c r="J17" t="n">
        <v>5</v>
      </c>
      <c r="K17" t="n">
        <v>16</v>
      </c>
      <c r="L17" t="n">
        <v>1.311</v>
      </c>
      <c r="M17" t="n">
        <v>33</v>
      </c>
      <c r="N17" t="n">
        <v>45.76</v>
      </c>
      <c r="O17" t="inlineStr"/>
      <c r="P17" t="inlineStr">
        <is>
          <t>AC1, AC9</t>
        </is>
      </c>
      <c r="Q17" t="n">
        <v>0</v>
      </c>
      <c r="R17" t="n">
        <v>1</v>
      </c>
      <c r="S17" t="n">
        <v>0</v>
      </c>
      <c r="T17" t="inlineStr"/>
      <c r="U17" t="inlineStr"/>
      <c r="V17" t="inlineStr"/>
      <c r="W17"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18">
      <c r="A18" t="n">
        <v>215</v>
      </c>
      <c r="B18" t="n">
        <v>73</v>
      </c>
      <c r="C18" t="n">
        <v>2</v>
      </c>
      <c r="D18" t="n">
        <v>1</v>
      </c>
      <c r="E18" t="inlineStr">
        <is>
          <t>R1, R2 y R4 dado que R3 está en abierto y R5 cortocircuitada</t>
        </is>
      </c>
      <c r="F18" t="inlineStr">
        <is>
          <t>Si R5 está cortocircuitada, ¿cómo crees que esto impacta la diferencia de potencial a través de ella y, por lo tanto, en el resto del circuito?</t>
        </is>
      </c>
      <c r="G18" t="n">
        <v>3</v>
      </c>
      <c r="H18" t="n">
        <v>2</v>
      </c>
      <c r="I18" t="n">
        <v>3</v>
      </c>
      <c r="J18" t="n">
        <v>5</v>
      </c>
      <c r="K18" t="n">
        <v>13</v>
      </c>
      <c r="L18" t="n">
        <v>1.202</v>
      </c>
      <c r="M18" t="n">
        <v>38</v>
      </c>
      <c r="N18" t="n">
        <v>49.91</v>
      </c>
      <c r="O18" t="inlineStr">
        <is>
          <t>AC1, AC6</t>
        </is>
      </c>
      <c r="P18" t="inlineStr"/>
      <c r="Q18" t="n">
        <v>1</v>
      </c>
      <c r="R18" t="n">
        <v>0</v>
      </c>
      <c r="S18" t="n">
        <v>0</v>
      </c>
      <c r="T18" t="inlineStr"/>
      <c r="U18" t="inlineStr"/>
      <c r="V18" t="inlineStr"/>
      <c r="W18"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9">
      <c r="A19" t="n">
        <v>216</v>
      </c>
      <c r="B19" t="n">
        <v>73</v>
      </c>
      <c r="C19" t="n">
        <v>3</v>
      </c>
      <c r="D19" t="n">
        <v>1</v>
      </c>
      <c r="E19" t="inlineStr">
        <is>
          <t>R1, R2 y R4 dado que solo por estas resistencias circula una corriente diferente de cero</t>
        </is>
      </c>
      <c r="F19" t="inlineStr">
        <is>
          <t>Considerando que R2 y R4 están en paralelo, ¿cómo se compara la corriente que fluye a través de cada una de estas resistencias con la corriente total que proviene de R1?</t>
        </is>
      </c>
      <c r="G19" t="n">
        <v>3</v>
      </c>
      <c r="H19" t="n">
        <v>4</v>
      </c>
      <c r="I19" t="n">
        <v>5</v>
      </c>
      <c r="J19" t="n">
        <v>5</v>
      </c>
      <c r="K19" t="n">
        <v>17</v>
      </c>
      <c r="L19" t="n">
        <v>1.213</v>
      </c>
      <c r="M19" t="n">
        <v>40</v>
      </c>
      <c r="N19" t="n">
        <v>49.45</v>
      </c>
      <c r="O19" t="inlineStr"/>
      <c r="P19" t="inlineStr">
        <is>
          <t>AC1, AC9</t>
        </is>
      </c>
      <c r="Q19" t="n">
        <v>0</v>
      </c>
      <c r="R19" t="n">
        <v>1</v>
      </c>
      <c r="S19" t="n">
        <v>0</v>
      </c>
      <c r="T19" t="inlineStr"/>
      <c r="U19" t="inlineStr"/>
      <c r="V19" t="inlineStr"/>
      <c r="W19"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20">
      <c r="A20" t="n">
        <v>217</v>
      </c>
      <c r="B20" t="n">
        <v>74</v>
      </c>
      <c r="C20" t="n">
        <v>1</v>
      </c>
      <c r="D20" t="n">
        <v>1</v>
      </c>
      <c r="E20" t="inlineStr">
        <is>
          <t>R1, R2 y R4 dado que por R3 y por R5 no circula corriente</t>
        </is>
      </c>
      <c r="F20" t="inlineStr">
        <is>
          <t>Si observas detenidamente el netlist, ¿qué relación de conexión existe entre los terminales de la resistencia R5 y cómo podría afectar esto al flujo de corriente en ese componente?</t>
        </is>
      </c>
      <c r="G20" t="n">
        <v>3</v>
      </c>
      <c r="H20" t="n">
        <v>3</v>
      </c>
      <c r="I20" t="n">
        <v>3</v>
      </c>
      <c r="J20" t="n">
        <v>5</v>
      </c>
      <c r="K20" t="n">
        <v>14</v>
      </c>
      <c r="L20" t="n">
        <v>1.348</v>
      </c>
      <c r="M20" t="n">
        <v>38</v>
      </c>
      <c r="N20" t="n">
        <v>44.5</v>
      </c>
      <c r="O20" t="inlineStr">
        <is>
          <t>AC1, AC6</t>
        </is>
      </c>
      <c r="P20" t="inlineStr">
        <is>
          <t>AC1, AC6</t>
        </is>
      </c>
      <c r="Q20" t="n">
        <v>1</v>
      </c>
      <c r="R20" t="n">
        <v>1</v>
      </c>
      <c r="S20" t="n">
        <v>1</v>
      </c>
      <c r="T20" t="inlineStr"/>
      <c r="U20" t="inlineStr"/>
      <c r="V20" t="inlineStr"/>
      <c r="W2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1">
      <c r="A21" t="n">
        <v>218</v>
      </c>
      <c r="B21" t="n">
        <v>74</v>
      </c>
      <c r="C21" t="n">
        <v>2</v>
      </c>
      <c r="D21" t="n">
        <v>1</v>
      </c>
      <c r="E21" t="inlineStr">
        <is>
          <t>R1, R2 y R4 dado que R3 y R5 se pueden quitar</t>
        </is>
      </c>
      <c r="F21" t="inlineStr">
        <is>
          <t>Si R3 y R5 no tienen corriente circulando, ¿cómo describirías la diferencia de potencial (voltaje) a través de cada uno de estos componentes en relación con los demás elementos del circuito?</t>
        </is>
      </c>
      <c r="G21" t="n">
        <v>3</v>
      </c>
      <c r="H21" t="n">
        <v>3</v>
      </c>
      <c r="I21" t="n">
        <v>3</v>
      </c>
      <c r="J21" t="n">
        <v>5</v>
      </c>
      <c r="K21" t="n">
        <v>14</v>
      </c>
      <c r="L21" t="n">
        <v>1.255</v>
      </c>
      <c r="M21" t="n">
        <v>42</v>
      </c>
      <c r="N21" t="n">
        <v>47.8</v>
      </c>
      <c r="O21" t="inlineStr">
        <is>
          <t>AC1, AC6</t>
        </is>
      </c>
      <c r="P21" t="inlineStr">
        <is>
          <t>AC1</t>
        </is>
      </c>
      <c r="Q21" t="n">
        <v>1</v>
      </c>
      <c r="R21" t="n">
        <v>0.5</v>
      </c>
      <c r="S21" t="n">
        <v>0.667</v>
      </c>
      <c r="T21" t="inlineStr"/>
      <c r="U21" t="inlineStr"/>
      <c r="V21" t="inlineStr"/>
      <c r="W2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2">
      <c r="A22" t="n">
        <v>219</v>
      </c>
      <c r="B22" t="n">
        <v>74</v>
      </c>
      <c r="C22" t="n">
        <v>3</v>
      </c>
      <c r="D22" t="n">
        <v>1</v>
      </c>
      <c r="E22" t="inlineStr">
        <is>
          <t>R1, R2 y R4 dado que R3 y R5 no influyen para nada en la diferencia de potencial que se pide</t>
        </is>
      </c>
      <c r="F22" t="inlineStr">
        <is>
          <t>Si R3 y R5 no influyen en la diferencia de potencial, ¿podrías explicar cómo la corriente que fluye a través de R1, R2 y R4 se vería afectada si, hipotéticamente, R3 y R5 estuvieran presentes y con valores distintos de infinito?</t>
        </is>
      </c>
      <c r="G22" t="n">
        <v>3</v>
      </c>
      <c r="H22" t="n">
        <v>3</v>
      </c>
      <c r="I22" t="n">
        <v>5</v>
      </c>
      <c r="J22" t="n">
        <v>5</v>
      </c>
      <c r="K22" t="n">
        <v>16</v>
      </c>
      <c r="L22" t="n">
        <v>1.584</v>
      </c>
      <c r="M22" t="n">
        <v>63</v>
      </c>
      <c r="N22" t="n">
        <v>37.88</v>
      </c>
      <c r="O22" t="inlineStr">
        <is>
          <t>AC1, AC6</t>
        </is>
      </c>
      <c r="P22" t="inlineStr">
        <is>
          <t>AC1</t>
        </is>
      </c>
      <c r="Q22" t="n">
        <v>1</v>
      </c>
      <c r="R22" t="n">
        <v>0.5</v>
      </c>
      <c r="S22" t="n">
        <v>0.667</v>
      </c>
      <c r="T22" t="inlineStr"/>
      <c r="U22" t="inlineStr"/>
      <c r="V22" t="inlineStr"/>
      <c r="W22" t="inlineStr">
        <is>
          <t>Socratic quality 3/5 (Clarification): Clarification: asks the student to explain their reasoning. Conceptual precision 3/5 (Sufficient): Sufficient: identifies that there is an error and uses correct concepts, but the diagnosis is somewhat vague. Good overall performance; room for improvement in socratic depth.</t>
        </is>
      </c>
    </row>
    <row r="23">
      <c r="A23" t="n">
        <v>220</v>
      </c>
      <c r="B23" t="n">
        <v>75</v>
      </c>
      <c r="C23" t="n">
        <v>1</v>
      </c>
      <c r="D23" t="n">
        <v>1</v>
      </c>
      <c r="E23" t="inlineStr">
        <is>
          <t>R1, R2 y R4 dado que R3 y R5 sobran</t>
        </is>
      </c>
      <c r="F23" t="inlineStr">
        <is>
          <t>Considerando el netlist, ¿qué característica eléctrica comparten los terminales de la resistencia R5 que podría afectar su contribución al cálculo de la diferencia de potencial entre N2 y 0?</t>
        </is>
      </c>
      <c r="G23" t="n">
        <v>3</v>
      </c>
      <c r="H23" t="n">
        <v>3</v>
      </c>
      <c r="I23" t="n">
        <v>3</v>
      </c>
      <c r="J23" t="n">
        <v>5</v>
      </c>
      <c r="K23" t="n">
        <v>14</v>
      </c>
      <c r="L23" t="n">
        <v>1.335</v>
      </c>
      <c r="M23" t="n">
        <v>40</v>
      </c>
      <c r="N23" t="n">
        <v>44.94</v>
      </c>
      <c r="O23" t="inlineStr">
        <is>
          <t>AC1, AC6</t>
        </is>
      </c>
      <c r="P23" t="inlineStr">
        <is>
          <t>AC6, AC9</t>
        </is>
      </c>
      <c r="Q23" t="n">
        <v>0.5</v>
      </c>
      <c r="R23" t="n">
        <v>0.5</v>
      </c>
      <c r="S23" t="n">
        <v>0.5</v>
      </c>
      <c r="T23" t="inlineStr"/>
      <c r="U23" t="inlineStr"/>
      <c r="V23" t="inlineStr"/>
      <c r="W2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4">
      <c r="A24" t="n">
        <v>221</v>
      </c>
      <c r="B24" t="n">
        <v>75</v>
      </c>
      <c r="C24" t="n">
        <v>2</v>
      </c>
      <c r="D24" t="n">
        <v>1</v>
      </c>
      <c r="E24" t="inlineStr">
        <is>
          <t>R1, R2 y R4 dado que R3 sobra</t>
        </is>
      </c>
      <c r="F24" t="inlineStr">
        <is>
          <t>Si consideramos la configuración en serie y en paralelo, ¿cómo afectaría la eliminación de R3 al camino que sigue la corriente desde la fuente de voltaje hacia el nodo donde se conectan R1, R2 y R4?</t>
        </is>
      </c>
      <c r="G24" t="n">
        <v>3</v>
      </c>
      <c r="H24" t="n">
        <v>3</v>
      </c>
      <c r="I24" t="n">
        <v>4</v>
      </c>
      <c r="J24" t="n">
        <v>5</v>
      </c>
      <c r="K24" t="n">
        <v>15</v>
      </c>
      <c r="L24" t="n">
        <v>1.309</v>
      </c>
      <c r="M24" t="n">
        <v>47</v>
      </c>
      <c r="N24" t="n">
        <v>45.82</v>
      </c>
      <c r="O24" t="inlineStr">
        <is>
          <t>AC1</t>
        </is>
      </c>
      <c r="P24" t="inlineStr">
        <is>
          <t>AC1, AC9</t>
        </is>
      </c>
      <c r="Q24" t="n">
        <v>0.5</v>
      </c>
      <c r="R24" t="n">
        <v>1</v>
      </c>
      <c r="S24" t="n">
        <v>0.667</v>
      </c>
      <c r="T24" t="inlineStr"/>
      <c r="U24" t="inlineStr"/>
      <c r="V24" t="inlineStr"/>
      <c r="W2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5">
      <c r="A25" t="n">
        <v>222</v>
      </c>
      <c r="B25" t="n">
        <v>75</v>
      </c>
      <c r="C25" t="n">
        <v>3</v>
      </c>
      <c r="D25" t="n">
        <v>1</v>
      </c>
      <c r="E25" t="inlineStr">
        <is>
          <t>R1, R2 y R4 dado que R5 sobra</t>
        </is>
      </c>
      <c r="F25" t="inlineStr">
        <is>
          <t>Dado que R5 está en cortocircuito, ¿cómo impacta esto en la corriente que fluye a través de la rama que contiene a R3, y cómo podría esto simplificar el análisis del circuito?</t>
        </is>
      </c>
      <c r="G25" t="n">
        <v>3</v>
      </c>
      <c r="H25" t="n">
        <v>3</v>
      </c>
      <c r="I25" t="n">
        <v>3</v>
      </c>
      <c r="J25" t="n">
        <v>5</v>
      </c>
      <c r="K25" t="n">
        <v>14</v>
      </c>
      <c r="L25" t="n">
        <v>1.475</v>
      </c>
      <c r="M25" t="n">
        <v>44</v>
      </c>
      <c r="N25" t="n">
        <v>40.67</v>
      </c>
      <c r="O25" t="inlineStr">
        <is>
          <t>AC6</t>
        </is>
      </c>
      <c r="P25" t="inlineStr">
        <is>
          <t>AC1, AC6</t>
        </is>
      </c>
      <c r="Q25" t="n">
        <v>0.5</v>
      </c>
      <c r="R25" t="n">
        <v>1</v>
      </c>
      <c r="S25" t="n">
        <v>0.667</v>
      </c>
      <c r="T25" t="inlineStr"/>
      <c r="U25" t="inlineStr"/>
      <c r="V25" t="inlineStr"/>
      <c r="W2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6">
      <c r="A26" t="n">
        <v>223</v>
      </c>
      <c r="B26" t="n">
        <v>76</v>
      </c>
      <c r="C26" t="n">
        <v>1</v>
      </c>
      <c r="D26" t="n">
        <v>1</v>
      </c>
      <c r="E26" t="inlineStr">
        <is>
          <t>R1, R2 y R4 dado que R3 está en abierto</t>
        </is>
      </c>
      <c r="F26" t="inlineStr">
        <is>
          <t>Considerando que el interruptor entre N2 y N3 está abierto, ¿qué implicaciones tiene esto para el flujo de corriente a través de cualquier componente conectado directamente a esos nodos?</t>
        </is>
      </c>
      <c r="G26" t="n">
        <v>3</v>
      </c>
      <c r="H26" t="n">
        <v>4</v>
      </c>
      <c r="I26" t="n">
        <v>3</v>
      </c>
      <c r="J26" t="n">
        <v>5</v>
      </c>
      <c r="K26" t="n">
        <v>15</v>
      </c>
      <c r="L26" t="n">
        <v>1.31</v>
      </c>
      <c r="M26" t="n">
        <v>38</v>
      </c>
      <c r="N26" t="n">
        <v>45.8</v>
      </c>
      <c r="O26" t="inlineStr">
        <is>
          <t>AC1</t>
        </is>
      </c>
      <c r="P26" t="inlineStr">
        <is>
          <t>AC1</t>
        </is>
      </c>
      <c r="Q26" t="n">
        <v>1</v>
      </c>
      <c r="R26" t="n">
        <v>1</v>
      </c>
      <c r="S26" t="n">
        <v>1</v>
      </c>
      <c r="T26" t="inlineStr"/>
      <c r="U26" t="inlineStr"/>
      <c r="V26" t="inlineStr"/>
      <c r="W2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27">
      <c r="A27" t="n">
        <v>224</v>
      </c>
      <c r="B27" t="n">
        <v>76</v>
      </c>
      <c r="C27" t="n">
        <v>2</v>
      </c>
      <c r="D27" t="n">
        <v>1</v>
      </c>
      <c r="E27" t="inlineStr">
        <is>
          <t>R1, R2 y R4 dado que  R5 cortocircuitada</t>
        </is>
      </c>
      <c r="F27" t="inlineStr">
        <is>
          <t>Si R5 está en cortocircuito, ¿cómo afecta esto a la diferencia de potencial a través de ella y, por consiguiente, a la corriente que fluye a través de la rama que la contiene?</t>
        </is>
      </c>
      <c r="G27" t="n">
        <v>4</v>
      </c>
      <c r="H27" t="n">
        <v>4</v>
      </c>
      <c r="I27" t="n">
        <v>3</v>
      </c>
      <c r="J27" t="n">
        <v>5</v>
      </c>
      <c r="K27" t="n">
        <v>16</v>
      </c>
      <c r="L27" t="n">
        <v>1.275</v>
      </c>
      <c r="M27" t="n">
        <v>44</v>
      </c>
      <c r="N27" t="n">
        <v>47.07</v>
      </c>
      <c r="O27" t="inlineStr">
        <is>
          <t>AC6</t>
        </is>
      </c>
      <c r="P27" t="inlineStr">
        <is>
          <t>AC1, AC6</t>
        </is>
      </c>
      <c r="Q27" t="n">
        <v>0.5</v>
      </c>
      <c r="R27" t="n">
        <v>1</v>
      </c>
      <c r="S27" t="n">
        <v>0.667</v>
      </c>
      <c r="T27" t="inlineStr"/>
      <c r="U27" t="inlineStr"/>
      <c r="V27" t="inlineStr"/>
      <c r="W27"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28">
      <c r="A28" t="n">
        <v>225</v>
      </c>
      <c r="B28" t="n">
        <v>76</v>
      </c>
      <c r="C28" t="n">
        <v>3</v>
      </c>
      <c r="D28" t="n">
        <v>1</v>
      </c>
      <c r="E28" t="inlineStr">
        <is>
          <t>R1, R2 y R4 dado que por R3 no circula corriente</t>
        </is>
      </c>
      <c r="F28" t="inlineStr">
        <is>
          <t>Si no circula corriente a través de R3, ¿cómo describirías la relación entre los nodos conectados a sus terminales y qué implicaciones tiene esto para el camino que sigue la corriente en el circuito?</t>
        </is>
      </c>
      <c r="G28" t="n">
        <v>3</v>
      </c>
      <c r="H28" t="n">
        <v>4</v>
      </c>
      <c r="I28" t="n">
        <v>3</v>
      </c>
      <c r="J28" t="n">
        <v>5</v>
      </c>
      <c r="K28" t="n">
        <v>15</v>
      </c>
      <c r="L28" t="n">
        <v>1.257</v>
      </c>
      <c r="M28" t="n">
        <v>42</v>
      </c>
      <c r="N28" t="n">
        <v>47.72</v>
      </c>
      <c r="O28" t="inlineStr">
        <is>
          <t>AC1</t>
        </is>
      </c>
      <c r="P28" t="inlineStr">
        <is>
          <t>AC1, AC6, AC9</t>
        </is>
      </c>
      <c r="Q28" t="n">
        <v>0.333</v>
      </c>
      <c r="R28" t="n">
        <v>1</v>
      </c>
      <c r="S28" t="n">
        <v>0.5</v>
      </c>
      <c r="T28" t="inlineStr"/>
      <c r="U28" t="inlineStr"/>
      <c r="V28" t="inlineStr"/>
      <c r="W2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29">
      <c r="A29" t="n">
        <v>226</v>
      </c>
      <c r="B29" t="n">
        <v>77</v>
      </c>
      <c r="C29" t="n">
        <v>1</v>
      </c>
      <c r="D29" t="n">
        <v>1</v>
      </c>
      <c r="E29" t="inlineStr">
        <is>
          <t>R1, R2 y R4 dado que por  R5 no circula corriente</t>
        </is>
      </c>
      <c r="F29" t="inlineStr">
        <is>
          <t>Si observas detenidamente el netlist, ¿qué relación de conexión existe entre los dos terminales de R5 que podría afectar el flujo de corriente a través de ella?</t>
        </is>
      </c>
      <c r="G29" t="n">
        <v>3</v>
      </c>
      <c r="H29" t="n">
        <v>3</v>
      </c>
      <c r="I29" t="n">
        <v>3</v>
      </c>
      <c r="J29" t="n">
        <v>5</v>
      </c>
      <c r="K29" t="n">
        <v>14</v>
      </c>
      <c r="L29" t="n">
        <v>1.304</v>
      </c>
      <c r="M29" t="n">
        <v>36</v>
      </c>
      <c r="N29" t="n">
        <v>46.02</v>
      </c>
      <c r="O29" t="inlineStr">
        <is>
          <t>AC6</t>
        </is>
      </c>
      <c r="P29" t="inlineStr">
        <is>
          <t>AC1, AC6</t>
        </is>
      </c>
      <c r="Q29" t="n">
        <v>0.5</v>
      </c>
      <c r="R29" t="n">
        <v>1</v>
      </c>
      <c r="S29" t="n">
        <v>0.667</v>
      </c>
      <c r="T29" t="inlineStr"/>
      <c r="U29" t="inlineStr"/>
      <c r="V29" t="inlineStr"/>
      <c r="W2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0">
      <c r="A30" t="n">
        <v>227</v>
      </c>
      <c r="B30" t="n">
        <v>77</v>
      </c>
      <c r="C30" t="n">
        <v>2</v>
      </c>
      <c r="D30" t="n">
        <v>1</v>
      </c>
      <c r="E30" t="inlineStr">
        <is>
          <t>R1, R2 y R4 dado que R3 se puede quitar</t>
        </is>
      </c>
      <c r="F30" t="inlineStr">
        <is>
          <t>Si R3 se pudiera remover sin afectar la corriente en otros componentes, ¿cómo describirías la configuración del circuito con respecto a R3: en serie, en paralelo, o quizás una combinación de ambas?</t>
        </is>
      </c>
      <c r="G30" t="n">
        <v>3</v>
      </c>
      <c r="H30" t="n">
        <v>3</v>
      </c>
      <c r="I30" t="n">
        <v>3</v>
      </c>
      <c r="J30" t="n">
        <v>5</v>
      </c>
      <c r="K30" t="n">
        <v>14</v>
      </c>
      <c r="L30" t="n">
        <v>1.257</v>
      </c>
      <c r="M30" t="n">
        <v>42</v>
      </c>
      <c r="N30" t="n">
        <v>47.73</v>
      </c>
      <c r="O30" t="inlineStr">
        <is>
          <t>AC1</t>
        </is>
      </c>
      <c r="P30" t="inlineStr">
        <is>
          <t>AC1</t>
        </is>
      </c>
      <c r="Q30" t="n">
        <v>1</v>
      </c>
      <c r="R30" t="n">
        <v>1</v>
      </c>
      <c r="S30" t="n">
        <v>1</v>
      </c>
      <c r="T30" t="inlineStr"/>
      <c r="U30" t="inlineStr"/>
      <c r="V30" t="inlineStr"/>
      <c r="W3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1">
      <c r="A31" t="n">
        <v>228</v>
      </c>
      <c r="B31" t="n">
        <v>77</v>
      </c>
      <c r="C31" t="n">
        <v>3</v>
      </c>
      <c r="D31" t="n">
        <v>1</v>
      </c>
      <c r="E31" t="inlineStr">
        <is>
          <t>R1, R2 y R4 dado que R5 se puede quitar</t>
        </is>
      </c>
      <c r="F31" t="inlineStr">
        <is>
          <t>Si R5 puede ser removido sin alterar el funcionamiento del circuito, ¿qué implicación tiene esto sobre el camino que la corriente podría tomar en relación con R5?</t>
        </is>
      </c>
      <c r="G31" t="n">
        <v>3</v>
      </c>
      <c r="H31" t="n">
        <v>3</v>
      </c>
      <c r="I31" t="n">
        <v>3</v>
      </c>
      <c r="J31" t="n">
        <v>5</v>
      </c>
      <c r="K31" t="n">
        <v>14</v>
      </c>
      <c r="L31" t="n">
        <v>1.138</v>
      </c>
      <c r="M31" t="n">
        <v>35</v>
      </c>
      <c r="N31" t="n">
        <v>52.71</v>
      </c>
      <c r="O31" t="inlineStr">
        <is>
          <t>AC6</t>
        </is>
      </c>
      <c r="P31" t="inlineStr">
        <is>
          <t>AC1, AC9</t>
        </is>
      </c>
      <c r="Q31" t="n">
        <v>0</v>
      </c>
      <c r="R31" t="n">
        <v>0</v>
      </c>
      <c r="S31" t="n">
        <v>0</v>
      </c>
      <c r="T31" t="inlineStr"/>
      <c r="U31" t="inlineStr"/>
      <c r="V31" t="inlineStr"/>
      <c r="W3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2">
      <c r="A32" t="n">
        <v>229</v>
      </c>
      <c r="B32" t="n">
        <v>78</v>
      </c>
      <c r="C32" t="n">
        <v>1</v>
      </c>
      <c r="D32" t="n">
        <v>1</v>
      </c>
      <c r="E32" t="inlineStr">
        <is>
          <t>R1, R2 y R4 dado que R3 no influye para nada en la diferencia de potencial que se pide</t>
        </is>
      </c>
      <c r="F32" t="inlineStr">
        <is>
          <t>Considerando el netlist, ¿qué condición eléctrica presentan los terminales de la resistencia R5 y cómo afecta esto a la corriente que podría circular a través de ella?</t>
        </is>
      </c>
      <c r="G32" t="n">
        <v>3</v>
      </c>
      <c r="H32" t="n">
        <v>3</v>
      </c>
      <c r="I32" t="n">
        <v>3</v>
      </c>
      <c r="J32" t="n">
        <v>5</v>
      </c>
      <c r="K32" t="n">
        <v>14</v>
      </c>
      <c r="L32" t="n">
        <v>1.332</v>
      </c>
      <c r="M32" t="n">
        <v>35</v>
      </c>
      <c r="N32" t="n">
        <v>45.04</v>
      </c>
      <c r="O32" t="inlineStr">
        <is>
          <t>AC1</t>
        </is>
      </c>
      <c r="P32" t="inlineStr">
        <is>
          <t>AC1, AC6</t>
        </is>
      </c>
      <c r="Q32" t="n">
        <v>0.5</v>
      </c>
      <c r="R32" t="n">
        <v>1</v>
      </c>
      <c r="S32" t="n">
        <v>0.667</v>
      </c>
      <c r="T32" t="inlineStr"/>
      <c r="U32" t="inlineStr"/>
      <c r="V32" t="inlineStr"/>
      <c r="W3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3">
      <c r="A33" t="n">
        <v>230</v>
      </c>
      <c r="B33" t="n">
        <v>78</v>
      </c>
      <c r="C33" t="n">
        <v>2</v>
      </c>
      <c r="D33" t="n">
        <v>1</v>
      </c>
      <c r="E33" t="inlineStr">
        <is>
          <t>R1, R2 y R4 dado que R5 no influye para nada en la diferencia de potencial que se pide</t>
        </is>
      </c>
      <c r="F33" t="inlineStr">
        <is>
          <t>Si R5 no influye en la diferencia de potencial medida, ¿cómo describirías su conexión en relación con los otros componentes del circuito y qué implicaciones tiene esto para el flujo de corriente a través de ella?</t>
        </is>
      </c>
      <c r="G33" t="n">
        <v>3</v>
      </c>
      <c r="H33" t="n">
        <v>3</v>
      </c>
      <c r="I33" t="n">
        <v>3</v>
      </c>
      <c r="J33" t="n">
        <v>5</v>
      </c>
      <c r="K33" t="n">
        <v>14</v>
      </c>
      <c r="L33" t="n">
        <v>1.313</v>
      </c>
      <c r="M33" t="n">
        <v>44</v>
      </c>
      <c r="N33" t="n">
        <v>45.71</v>
      </c>
      <c r="O33" t="inlineStr">
        <is>
          <t>AC6</t>
        </is>
      </c>
      <c r="P33" t="inlineStr">
        <is>
          <t>AC1</t>
        </is>
      </c>
      <c r="Q33" t="n">
        <v>0</v>
      </c>
      <c r="R33" t="n">
        <v>0</v>
      </c>
      <c r="S33" t="n">
        <v>0</v>
      </c>
      <c r="T33" t="inlineStr"/>
      <c r="U33" t="inlineStr"/>
      <c r="V33" t="inlineStr"/>
      <c r="W3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4">
      <c r="A34" t="n">
        <v>231</v>
      </c>
      <c r="B34" t="n">
        <v>78</v>
      </c>
      <c r="C34" t="n">
        <v>3</v>
      </c>
      <c r="D34" t="n">
        <v>1</v>
      </c>
      <c r="E34" t="inlineStr">
        <is>
          <t>No lo sé</t>
        </is>
      </c>
      <c r="F34" t="inlineStr">
        <is>
          <t>Si consideras los nodos del circuito donde se conecta R5, ¿podrías describir el potencial eléctrico en esos puntos en relación con el resto del circuito y cómo esto podría afectar la corriente que fluye a través de R5?</t>
        </is>
      </c>
      <c r="G34" t="n">
        <v>3</v>
      </c>
      <c r="H34" t="n">
        <v>3</v>
      </c>
      <c r="I34" t="n">
        <v>2</v>
      </c>
      <c r="J34" t="n">
        <v>5</v>
      </c>
      <c r="K34" t="n">
        <v>13</v>
      </c>
      <c r="L34" t="n">
        <v>1.35</v>
      </c>
      <c r="M34" t="n">
        <v>48</v>
      </c>
      <c r="N34" t="n">
        <v>44.44</v>
      </c>
      <c r="O34" t="inlineStr">
        <is>
          <t>AC9</t>
        </is>
      </c>
      <c r="P34" t="inlineStr">
        <is>
          <t>AC1</t>
        </is>
      </c>
      <c r="Q34" t="n">
        <v>0</v>
      </c>
      <c r="R34" t="n">
        <v>0</v>
      </c>
      <c r="S34" t="n">
        <v>0</v>
      </c>
      <c r="T34" t="inlineStr"/>
      <c r="U34" t="inlineStr"/>
      <c r="V34" t="inlineStr"/>
      <c r="W3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5">
      <c r="A35" t="n">
        <v>232</v>
      </c>
      <c r="B35" t="n">
        <v>79</v>
      </c>
      <c r="C35" t="n">
        <v>1</v>
      </c>
      <c r="D35" t="n">
        <v>1</v>
      </c>
      <c r="E35" t="inlineStr">
        <is>
          <t>Todas las resistencias</t>
        </is>
      </c>
      <c r="F35" t="inlineStr">
        <is>
          <t>Si el interruptor entre N2 y N3 está abierto, ¿qué implicaciones tiene esto para el flujo de corriente a través de cualquier componente conectado directamente a esos nodos?</t>
        </is>
      </c>
      <c r="G35" t="n">
        <v>3</v>
      </c>
      <c r="H35" t="n">
        <v>3</v>
      </c>
      <c r="I35" t="n">
        <v>2</v>
      </c>
      <c r="J35" t="n">
        <v>5</v>
      </c>
      <c r="K35" t="n">
        <v>13</v>
      </c>
      <c r="L35" t="n">
        <v>1.301</v>
      </c>
      <c r="M35" t="n">
        <v>36</v>
      </c>
      <c r="N35" t="n">
        <v>46.13</v>
      </c>
      <c r="O35" t="inlineStr">
        <is>
          <t>AC9</t>
        </is>
      </c>
      <c r="P35" t="inlineStr">
        <is>
          <t>AC1</t>
        </is>
      </c>
      <c r="Q35" t="n">
        <v>0</v>
      </c>
      <c r="R35" t="n">
        <v>0</v>
      </c>
      <c r="S35" t="n">
        <v>0</v>
      </c>
      <c r="T35" t="inlineStr"/>
      <c r="U35" t="inlineStr"/>
      <c r="V35" t="inlineStr"/>
      <c r="W3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6">
      <c r="A36" t="n">
        <v>233</v>
      </c>
      <c r="B36" t="n">
        <v>79</v>
      </c>
      <c r="C36" t="n">
        <v>2</v>
      </c>
      <c r="D36" t="n">
        <v>1</v>
      </c>
      <c r="E36" t="inlineStr">
        <is>
          <t>R1 y R2</t>
        </is>
      </c>
      <c r="F36" t="inlineStr">
        <is>
          <t>Considerando que la corriente siempre busca el camino de menor resistencia, ¿cómo describirías el rol de R3 en relación con el camino que podría tomar la corriente desde la fuente de voltaje?</t>
        </is>
      </c>
      <c r="G36" t="n">
        <v>3</v>
      </c>
      <c r="H36" t="n">
        <v>3</v>
      </c>
      <c r="I36" t="n">
        <v>2</v>
      </c>
      <c r="J36" t="n">
        <v>5</v>
      </c>
      <c r="K36" t="n">
        <v>13</v>
      </c>
      <c r="L36" t="n">
        <v>1.233</v>
      </c>
      <c r="M36" t="n">
        <v>39</v>
      </c>
      <c r="N36" t="n">
        <v>48.65</v>
      </c>
      <c r="O36" t="inlineStr">
        <is>
          <t>AC9</t>
        </is>
      </c>
      <c r="P36" t="inlineStr">
        <is>
          <t>AC1, AC9</t>
        </is>
      </c>
      <c r="Q36" t="n">
        <v>0.5</v>
      </c>
      <c r="R36" t="n">
        <v>1</v>
      </c>
      <c r="S36" t="n">
        <v>0.667</v>
      </c>
      <c r="T36" t="inlineStr"/>
      <c r="U36" t="inlineStr"/>
      <c r="V36" t="inlineStr"/>
      <c r="W3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7">
      <c r="A37" t="n">
        <v>234</v>
      </c>
      <c r="B37" t="n">
        <v>79</v>
      </c>
      <c r="C37" t="n">
        <v>3</v>
      </c>
      <c r="D37" t="n">
        <v>1</v>
      </c>
      <c r="E37" t="inlineStr">
        <is>
          <t>R1, R2 y R4</t>
        </is>
      </c>
      <c r="F37" t="inlineStr">
        <is>
          <t>Si analizamos la configuración de R4, ¿cómo afecta su conexión en serie o en paralelo a la corriente total que fluye desde la fuente de voltaje?</t>
        </is>
      </c>
      <c r="G37" t="n">
        <v>4</v>
      </c>
      <c r="H37" t="n">
        <v>4</v>
      </c>
      <c r="I37" t="n">
        <v>3</v>
      </c>
      <c r="J37" t="n">
        <v>5</v>
      </c>
      <c r="K37" t="n">
        <v>16</v>
      </c>
      <c r="L37" t="n">
        <v>1.121</v>
      </c>
      <c r="M37" t="n">
        <v>33</v>
      </c>
      <c r="N37" t="n">
        <v>53.53</v>
      </c>
      <c r="O37" t="inlineStr"/>
      <c r="P37" t="inlineStr">
        <is>
          <t>AC1</t>
        </is>
      </c>
      <c r="Q37" t="n">
        <v>0</v>
      </c>
      <c r="R37" t="n">
        <v>1</v>
      </c>
      <c r="S37" t="n">
        <v>0</v>
      </c>
      <c r="T37" t="inlineStr"/>
      <c r="U37" t="inlineStr"/>
      <c r="V37" t="inlineStr"/>
      <c r="W37"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38">
      <c r="A38" t="n">
        <v>235</v>
      </c>
      <c r="B38" t="n">
        <v>80</v>
      </c>
      <c r="C38" t="n">
        <v>1</v>
      </c>
      <c r="D38" t="n">
        <v>1</v>
      </c>
      <c r="E38" t="inlineStr">
        <is>
          <t>R1, R2, R4 y R5</t>
        </is>
      </c>
      <c r="F38" t="inlineStr">
        <is>
          <t>Si examinas cuidadosamente el netlist, ¿qué característica comparten los dos terminales de la resistencia R5 que podría afectar su contribución al flujo de corriente en el circuito?</t>
        </is>
      </c>
      <c r="G38" t="n">
        <v>3</v>
      </c>
      <c r="H38" t="n">
        <v>3</v>
      </c>
      <c r="I38" t="n">
        <v>3</v>
      </c>
      <c r="J38" t="n">
        <v>5</v>
      </c>
      <c r="K38" t="n">
        <v>14</v>
      </c>
      <c r="L38" t="n">
        <v>1.308</v>
      </c>
      <c r="M38" t="n">
        <v>36</v>
      </c>
      <c r="N38" t="n">
        <v>45.88</v>
      </c>
      <c r="O38" t="inlineStr">
        <is>
          <t>AC6</t>
        </is>
      </c>
      <c r="P38" t="inlineStr">
        <is>
          <t>AC1, AC6, AC9</t>
        </is>
      </c>
      <c r="Q38" t="n">
        <v>0.333</v>
      </c>
      <c r="R38" t="n">
        <v>1</v>
      </c>
      <c r="S38" t="n">
        <v>0.5</v>
      </c>
      <c r="T38" t="inlineStr"/>
      <c r="U38" t="inlineStr"/>
      <c r="V38" t="inlineStr"/>
      <c r="W3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9">
      <c r="A39" t="n">
        <v>236</v>
      </c>
      <c r="B39" t="n">
        <v>80</v>
      </c>
      <c r="C39" t="n">
        <v>2</v>
      </c>
      <c r="D39" t="n">
        <v>1</v>
      </c>
      <c r="E39" t="inlineStr">
        <is>
          <t>R1, R2, R3 y R4</t>
        </is>
      </c>
      <c r="F39" t="inlineStr">
        <is>
          <t>Considerando que has identificado cuatro resistencias, ¿cómo podría la presencia de una quinta resistencia (R5) alterar el cálculo de la resistencia equivalente total del circuito?</t>
        </is>
      </c>
      <c r="G39" t="n">
        <v>3</v>
      </c>
      <c r="H39" t="n">
        <v>2</v>
      </c>
      <c r="I39" t="n">
        <v>2</v>
      </c>
      <c r="J39" t="n">
        <v>5</v>
      </c>
      <c r="K39" t="n">
        <v>12</v>
      </c>
      <c r="L39" t="n">
        <v>1.106</v>
      </c>
      <c r="M39" t="n">
        <v>33</v>
      </c>
      <c r="N39" t="n">
        <v>54.23</v>
      </c>
      <c r="O39" t="inlineStr">
        <is>
          <t>AC1</t>
        </is>
      </c>
      <c r="P39" t="inlineStr">
        <is>
          <t>AC9</t>
        </is>
      </c>
      <c r="Q39" t="n">
        <v>0</v>
      </c>
      <c r="R39" t="n">
        <v>0</v>
      </c>
      <c r="S39" t="n">
        <v>0</v>
      </c>
      <c r="T39" t="inlineStr"/>
      <c r="U39" t="inlineStr"/>
      <c r="V39" t="inlineStr"/>
      <c r="W39" t="inlineStr">
        <is>
          <t>Socratic quality 3/5 (Clarification): Generic question: asks for clarification without attacking the root error. Conceptual precision 2/5 (Poor): Poor: responds generically without diagnosing the conceptual error. Acceptable performance; needs to improve precision or socratic methodology.</t>
        </is>
      </c>
    </row>
    <row r="40">
      <c r="A40" t="n">
        <v>237</v>
      </c>
      <c r="B40" t="n">
        <v>80</v>
      </c>
      <c r="C40" t="n">
        <v>3</v>
      </c>
      <c r="D40" t="n">
        <v>1</v>
      </c>
      <c r="E40" t="inlineStr">
        <is>
          <t>R1 y R2 y R4 hacen un divisor de corriente</t>
        </is>
      </c>
      <c r="F40" t="inlineStr">
        <is>
          <t>Si R1, R2 y R4 forman un divisor de corriente, ¿cómo afectaría la presencia de R3 y R5 a los nodos donde se conectan estos componentes, y cómo influiría esto en la corriente total del circuito?</t>
        </is>
      </c>
      <c r="G40" t="n">
        <v>3</v>
      </c>
      <c r="H40" t="n">
        <v>3</v>
      </c>
      <c r="I40" t="n">
        <v>4</v>
      </c>
      <c r="J40" t="n">
        <v>5</v>
      </c>
      <c r="K40" t="n">
        <v>15</v>
      </c>
      <c r="L40" t="n">
        <v>1.43</v>
      </c>
      <c r="M40" t="n">
        <v>51</v>
      </c>
      <c r="N40" t="n">
        <v>41.97</v>
      </c>
      <c r="O40" t="inlineStr"/>
      <c r="P40" t="inlineStr">
        <is>
          <t>AC1</t>
        </is>
      </c>
      <c r="Q40" t="n">
        <v>0</v>
      </c>
      <c r="R40" t="n">
        <v>1</v>
      </c>
      <c r="S40" t="n">
        <v>0</v>
      </c>
      <c r="T40" t="inlineStr"/>
      <c r="U40" t="inlineStr"/>
      <c r="V40" t="inlineStr"/>
      <c r="W4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1">
      <c r="A41" t="n">
        <v>238</v>
      </c>
      <c r="B41" t="n">
        <v>81</v>
      </c>
      <c r="C41" t="n">
        <v>1</v>
      </c>
      <c r="D41" t="n">
        <v>1</v>
      </c>
      <c r="E41" t="inlineStr">
        <is>
          <t>R1 y R2 y R4 hacen un divisor de tensión, r3 no cuenta por estar en corto</t>
        </is>
      </c>
      <c r="F41" t="inlineStr">
        <is>
          <t>Si consideramos el estado del interruptor entre N2 y N3, ¿qué implicaciones tiene esto para el flujo de corriente a través de la rama que contiene a R3?</t>
        </is>
      </c>
      <c r="G41" t="n">
        <v>3</v>
      </c>
      <c r="H41" t="n">
        <v>5</v>
      </c>
      <c r="I41" t="n">
        <v>3</v>
      </c>
      <c r="J41" t="n">
        <v>5</v>
      </c>
      <c r="K41" t="n">
        <v>16</v>
      </c>
      <c r="L41" t="n">
        <v>1.382</v>
      </c>
      <c r="M41" t="n">
        <v>37</v>
      </c>
      <c r="N41" t="n">
        <v>43.42</v>
      </c>
      <c r="O41" t="inlineStr">
        <is>
          <t>AC1</t>
        </is>
      </c>
      <c r="P41" t="inlineStr">
        <is>
          <t>AC1</t>
        </is>
      </c>
      <c r="Q41" t="n">
        <v>1</v>
      </c>
      <c r="R41" t="n">
        <v>1</v>
      </c>
      <c r="S41" t="n">
        <v>1</v>
      </c>
      <c r="T41" t="inlineStr"/>
      <c r="U41" t="inlineStr"/>
      <c r="V41" t="inlineStr"/>
      <c r="W41"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42">
      <c r="A42" t="n">
        <v>239</v>
      </c>
      <c r="B42" t="n">
        <v>81</v>
      </c>
      <c r="C42" t="n">
        <v>2</v>
      </c>
      <c r="D42" t="n">
        <v>1</v>
      </c>
      <c r="E42" t="inlineStr">
        <is>
          <t>No tengo en cuenta R3 porque el interruptor está cerrado</t>
        </is>
      </c>
      <c r="F42" t="inlineStr">
        <is>
          <t>Si el interruptor está cerrado, ¿cómo afecta esto a la diferencia de potencial a través de R3 y, por lo tanto, a la corriente que podría fluir a través de él?</t>
        </is>
      </c>
      <c r="G42" t="n">
        <v>4</v>
      </c>
      <c r="H42" t="n">
        <v>4</v>
      </c>
      <c r="I42" t="n">
        <v>5</v>
      </c>
      <c r="J42" t="n">
        <v>5</v>
      </c>
      <c r="K42" t="n">
        <v>18</v>
      </c>
      <c r="L42" t="n">
        <v>1.266</v>
      </c>
      <c r="M42" t="n">
        <v>40</v>
      </c>
      <c r="N42" t="n">
        <v>47.41</v>
      </c>
      <c r="O42" t="inlineStr">
        <is>
          <t>AC1, AC9</t>
        </is>
      </c>
      <c r="P42" t="inlineStr">
        <is>
          <t>AC1</t>
        </is>
      </c>
      <c r="Q42" t="n">
        <v>1</v>
      </c>
      <c r="R42" t="n">
        <v>0.5</v>
      </c>
      <c r="S42" t="n">
        <v>0.667</v>
      </c>
      <c r="T42" t="inlineStr"/>
      <c r="U42" t="inlineStr"/>
      <c r="V42" t="inlineStr"/>
      <c r="W42" t="inlineStr">
        <is>
          <t>Socratic quality 4/5 (Scaffolding for detection): Scaffolding for detection: identifies the error area and asks a question that confronts the theory. Conceptual precision 4/5 (Good): Good: clearly identifies the alternative conception with precise technical language. High-performing tutor: expert socratic guidance with precise diagnosis.</t>
        </is>
      </c>
    </row>
    <row r="43">
      <c r="A43" t="n">
        <v>240</v>
      </c>
      <c r="B43" t="n">
        <v>81</v>
      </c>
      <c r="C43" t="n">
        <v>3</v>
      </c>
      <c r="D43" t="n">
        <v>1</v>
      </c>
      <c r="E43" t="inlineStr">
        <is>
          <t>No tengo en cuenta R5 porque está en circuito abierto</t>
        </is>
      </c>
      <c r="F43" t="inlineStr">
        <is>
          <t>Si R5 está en circuito abierto, ¿cómo afecta esto a la corriente total que fluye desde la fuente de voltaje y a la distribución de voltaje en el resto del circuito?</t>
        </is>
      </c>
      <c r="G43" t="n">
        <v>4</v>
      </c>
      <c r="H43" t="n">
        <v>3</v>
      </c>
      <c r="I43" t="n">
        <v>5</v>
      </c>
      <c r="J43" t="n">
        <v>5</v>
      </c>
      <c r="K43" t="n">
        <v>17</v>
      </c>
      <c r="L43" t="n">
        <v>1.202</v>
      </c>
      <c r="M43" t="n">
        <v>37</v>
      </c>
      <c r="N43" t="n">
        <v>49.9</v>
      </c>
      <c r="O43" t="inlineStr">
        <is>
          <t>AC6, AC9</t>
        </is>
      </c>
      <c r="P43" t="inlineStr">
        <is>
          <t>AC1, AC9</t>
        </is>
      </c>
      <c r="Q43" t="n">
        <v>0.5</v>
      </c>
      <c r="R43" t="n">
        <v>0.5</v>
      </c>
      <c r="S43" t="n">
        <v>0.5</v>
      </c>
      <c r="T43" t="inlineStr"/>
      <c r="U43" t="inlineStr"/>
      <c r="V43" t="inlineStr"/>
      <c r="W43"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High-performing tutor: expert socratic guidance with precise diagnosis.</t>
        </is>
      </c>
    </row>
    <row r="44">
      <c r="A44" t="n">
        <v>241</v>
      </c>
      <c r="B44" t="n">
        <v>82</v>
      </c>
      <c r="C44" t="n">
        <v>1</v>
      </c>
      <c r="D44" t="n">
        <v>3</v>
      </c>
      <c r="E44" t="inlineStr">
        <is>
          <t>R4 y R5 dado que las dos resistencia forman un divisor de tensión</t>
        </is>
      </c>
      <c r="F44" t="inlineStr">
        <is>
          <t>Según el netlist, ¿qué tienen en común los dos terminales de la resistencia R2 y cómo afecta esto a la corriente que podría circular a través de ella?</t>
        </is>
      </c>
      <c r="G44" t="n">
        <v>3</v>
      </c>
      <c r="H44" t="n">
        <v>3</v>
      </c>
      <c r="I44" t="n">
        <v>3</v>
      </c>
      <c r="J44" t="n">
        <v>5</v>
      </c>
      <c r="K44" t="n">
        <v>14</v>
      </c>
      <c r="L44" t="n">
        <v>1.37</v>
      </c>
      <c r="M44" t="n">
        <v>35</v>
      </c>
      <c r="N44" t="n">
        <v>43.79</v>
      </c>
      <c r="O44" t="inlineStr">
        <is>
          <t>AC9</t>
        </is>
      </c>
      <c r="P44" t="inlineStr">
        <is>
          <t>AC6</t>
        </is>
      </c>
      <c r="Q44" t="n">
        <v>0</v>
      </c>
      <c r="R44" t="n">
        <v>0</v>
      </c>
      <c r="S44" t="n">
        <v>0</v>
      </c>
      <c r="T44" t="inlineStr"/>
      <c r="U44" t="inlineStr"/>
      <c r="V44" t="inlineStr"/>
      <c r="W4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5">
      <c r="A45" t="n">
        <v>242</v>
      </c>
      <c r="B45" t="n">
        <v>82</v>
      </c>
      <c r="C45" t="n">
        <v>2</v>
      </c>
      <c r="D45" t="n">
        <v>3</v>
      </c>
      <c r="E45" t="inlineStr">
        <is>
          <t>R4 y R5 dado que se pide la tensión en R4</t>
        </is>
      </c>
      <c r="F45" t="inlineStr">
        <is>
          <t>Si R4 y R5 forman un divisor de tensión, ¿cómo se relaciona el voltaje en R4 con el voltaje total aplicado al divisor y las resistencias involucradas?</t>
        </is>
      </c>
      <c r="G45" t="n">
        <v>3</v>
      </c>
      <c r="H45" t="n">
        <v>3</v>
      </c>
      <c r="I45" t="n">
        <v>5</v>
      </c>
      <c r="J45" t="n">
        <v>5</v>
      </c>
      <c r="K45" t="n">
        <v>16</v>
      </c>
      <c r="L45" t="n">
        <v>1.15</v>
      </c>
      <c r="M45" t="n">
        <v>35</v>
      </c>
      <c r="N45" t="n">
        <v>52.17</v>
      </c>
      <c r="O45" t="inlineStr">
        <is>
          <t>AC9</t>
        </is>
      </c>
      <c r="P45" t="inlineStr"/>
      <c r="Q45" t="n">
        <v>1</v>
      </c>
      <c r="R45" t="n">
        <v>0</v>
      </c>
      <c r="S45" t="n">
        <v>0</v>
      </c>
      <c r="T45" t="inlineStr"/>
      <c r="U45" t="inlineStr"/>
      <c r="V45" t="inlineStr"/>
      <c r="W4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6">
      <c r="A46" t="n">
        <v>243</v>
      </c>
      <c r="B46" t="n">
        <v>82</v>
      </c>
      <c r="C46" t="n">
        <v>3</v>
      </c>
      <c r="D46" t="n">
        <v>3</v>
      </c>
      <c r="E46" t="inlineStr">
        <is>
          <t>R4 y R5 por identificar un divisor de tensión</t>
        </is>
      </c>
      <c r="F46" t="inlineStr">
        <is>
          <t>Considerando que tienes un divisor de tensión formado por R4 y R5, ¿cómo puedes expresar matemáticamente la relación entre el voltaje en R4 (V4) y el voltaje total aplicado (Vtotal)?</t>
        </is>
      </c>
      <c r="G46" t="n">
        <v>3</v>
      </c>
      <c r="H46" t="n">
        <v>3</v>
      </c>
      <c r="I46" t="n">
        <v>5</v>
      </c>
      <c r="J46" t="n">
        <v>5</v>
      </c>
      <c r="K46" t="n">
        <v>16</v>
      </c>
      <c r="L46" t="n">
        <v>1.296</v>
      </c>
      <c r="M46" t="n">
        <v>44</v>
      </c>
      <c r="N46" t="n">
        <v>46.3</v>
      </c>
      <c r="O46" t="inlineStr">
        <is>
          <t>AC9</t>
        </is>
      </c>
      <c r="P46" t="inlineStr">
        <is>
          <t>AC13</t>
        </is>
      </c>
      <c r="Q46" t="n">
        <v>0</v>
      </c>
      <c r="R46" t="n">
        <v>0</v>
      </c>
      <c r="S46" t="n">
        <v>0</v>
      </c>
      <c r="T46" t="inlineStr"/>
      <c r="U46" t="inlineStr"/>
      <c r="V46" t="inlineStr"/>
      <c r="W4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7">
      <c r="A47" t="n">
        <v>244</v>
      </c>
      <c r="B47" t="n">
        <v>83</v>
      </c>
      <c r="C47" t="n">
        <v>1</v>
      </c>
      <c r="D47" t="n">
        <v>3</v>
      </c>
      <c r="E47" t="inlineStr">
        <is>
          <t>R4 y R5 hacen un divisor de tensión</t>
        </is>
      </c>
      <c r="F47" t="inlineStr">
        <is>
          <t>Si R2 está conectada directamente entre el nodo N2 y tierra (0V), ¿qué implicaciones tiene esto para la corriente que fluye a través de ella y, por lo tanto, para su contribución a la diferencia de potencial en N2?</t>
        </is>
      </c>
      <c r="G47" t="n">
        <v>3</v>
      </c>
      <c r="H47" t="n">
        <v>3</v>
      </c>
      <c r="I47" t="n">
        <v>2</v>
      </c>
      <c r="J47" t="n">
        <v>5</v>
      </c>
      <c r="K47" t="n">
        <v>13</v>
      </c>
      <c r="L47" t="n">
        <v>1.668</v>
      </c>
      <c r="M47" t="n">
        <v>54</v>
      </c>
      <c r="N47" t="n">
        <v>35.97</v>
      </c>
      <c r="O47" t="inlineStr">
        <is>
          <t>AC9</t>
        </is>
      </c>
      <c r="P47" t="inlineStr">
        <is>
          <t>AC13</t>
        </is>
      </c>
      <c r="Q47" t="n">
        <v>0</v>
      </c>
      <c r="R47" t="n">
        <v>0</v>
      </c>
      <c r="S47" t="n">
        <v>0</v>
      </c>
      <c r="T47" t="inlineStr"/>
      <c r="U47" t="inlineStr"/>
      <c r="V47" t="inlineStr"/>
      <c r="W4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8">
      <c r="A48" t="n">
        <v>245</v>
      </c>
      <c r="B48" t="n">
        <v>83</v>
      </c>
      <c r="C48" t="n">
        <v>2</v>
      </c>
      <c r="D48" t="n">
        <v>3</v>
      </c>
      <c r="E48" t="inlineStr">
        <is>
          <t>R3, R4 y R5 porque son las resistencias que están conectadas a N2</t>
        </is>
      </c>
      <c r="F48" t="inlineStr">
        <is>
          <t>Considerando que un divisor de tensión se basa en la proporción de resistencias para determinar la caída de tensión, ¿cómo afectaría la presencia de R2 conectada a tierra al cálculo de esa proporción y al nodo N2?</t>
        </is>
      </c>
      <c r="G48" t="n">
        <v>3</v>
      </c>
      <c r="H48" t="n">
        <v>5</v>
      </c>
      <c r="I48" t="n">
        <v>3</v>
      </c>
      <c r="J48" t="n">
        <v>5</v>
      </c>
      <c r="K48" t="n">
        <v>16</v>
      </c>
      <c r="L48" t="n">
        <v>1.3</v>
      </c>
      <c r="M48" t="n">
        <v>46</v>
      </c>
      <c r="N48" t="n">
        <v>46.16</v>
      </c>
      <c r="O48" t="inlineStr"/>
      <c r="P48" t="inlineStr"/>
      <c r="Q48" t="n">
        <v>1</v>
      </c>
      <c r="R48" t="n">
        <v>1</v>
      </c>
      <c r="S48" t="n">
        <v>1</v>
      </c>
      <c r="T48" t="inlineStr"/>
      <c r="U48" t="inlineStr"/>
      <c r="V48" t="inlineStr"/>
      <c r="W48"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49">
      <c r="A49" t="n">
        <v>246</v>
      </c>
      <c r="B49" t="n">
        <v>83</v>
      </c>
      <c r="C49" t="n">
        <v>3</v>
      </c>
      <c r="D49" t="n">
        <v>3</v>
      </c>
      <c r="E49" t="inlineStr">
        <is>
          <t>R3, R4 y R5 porque están en paralelo</t>
        </is>
      </c>
      <c r="F49" t="inlineStr">
        <is>
          <t>Si las resistencias estuvieran realmente en paralelo, ¿cómo describirías la diferencia de potencial a través de cada una de ellas en relación con el nodo N2?</t>
        </is>
      </c>
      <c r="G49" t="n">
        <v>3</v>
      </c>
      <c r="H49" t="n">
        <v>4</v>
      </c>
      <c r="I49" t="n">
        <v>3</v>
      </c>
      <c r="J49" t="n">
        <v>5</v>
      </c>
      <c r="K49" t="n">
        <v>15</v>
      </c>
      <c r="L49" t="n">
        <v>1.107</v>
      </c>
      <c r="M49" t="n">
        <v>33</v>
      </c>
      <c r="N49" t="n">
        <v>54.19</v>
      </c>
      <c r="O49" t="inlineStr"/>
      <c r="P49" t="inlineStr">
        <is>
          <t>AC13</t>
        </is>
      </c>
      <c r="Q49" t="n">
        <v>0</v>
      </c>
      <c r="R49" t="n">
        <v>1</v>
      </c>
      <c r="S49" t="n">
        <v>0</v>
      </c>
      <c r="T49" t="inlineStr"/>
      <c r="U49" t="inlineStr"/>
      <c r="V49" t="inlineStr"/>
      <c r="W4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50">
      <c r="A50" t="n">
        <v>247</v>
      </c>
      <c r="B50" t="n">
        <v>84</v>
      </c>
      <c r="C50" t="n">
        <v>1</v>
      </c>
      <c r="D50" t="n">
        <v>3</v>
      </c>
      <c r="E50" t="inlineStr">
        <is>
          <t>R3, R4 y R5 porque R3 está en serie con el paralelo de R4 y R5</t>
        </is>
      </c>
      <c r="F50" t="inlineStr">
        <is>
          <t>Según el netlist, ¿qué tienen en común los dos terminales de la resistencia R2 y cómo afecta esto a la corriente que puede fluir a través de ella?</t>
        </is>
      </c>
      <c r="G50" t="n">
        <v>3</v>
      </c>
      <c r="H50" t="n">
        <v>5</v>
      </c>
      <c r="I50" t="n">
        <v>3</v>
      </c>
      <c r="J50" t="n">
        <v>5</v>
      </c>
      <c r="K50" t="n">
        <v>16</v>
      </c>
      <c r="L50" t="n">
        <v>1.307</v>
      </c>
      <c r="M50" t="n">
        <v>36</v>
      </c>
      <c r="N50" t="n">
        <v>45.9</v>
      </c>
      <c r="O50" t="inlineStr"/>
      <c r="P50" t="inlineStr">
        <is>
          <t>AC6</t>
        </is>
      </c>
      <c r="Q50" t="n">
        <v>0</v>
      </c>
      <c r="R50" t="n">
        <v>1</v>
      </c>
      <c r="S50" t="n">
        <v>0</v>
      </c>
      <c r="T50" t="inlineStr"/>
      <c r="U50" t="inlineStr"/>
      <c r="V50" t="inlineStr"/>
      <c r="W50"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51">
      <c r="A51" t="n">
        <v>248</v>
      </c>
      <c r="B51" t="n">
        <v>84</v>
      </c>
      <c r="C51" t="n">
        <v>2</v>
      </c>
      <c r="D51" t="n">
        <v>3</v>
      </c>
      <c r="E51" t="inlineStr">
        <is>
          <t>R3, R4 y R5 porque R1 está en paralelo con la fuente y R2 cortocircuitada</t>
        </is>
      </c>
      <c r="F51" t="inlineStr">
        <is>
          <t>Si R2 está cortocircuitada, ¿cómo afecta esto a la diferencia de potencial a través de ella y a la corriente que fluye por el resto del circuito?</t>
        </is>
      </c>
      <c r="G51" t="n">
        <v>4</v>
      </c>
      <c r="H51" t="n">
        <v>3</v>
      </c>
      <c r="I51" t="n">
        <v>3</v>
      </c>
      <c r="J51" t="n">
        <v>5</v>
      </c>
      <c r="K51" t="n">
        <v>15</v>
      </c>
      <c r="L51" t="n">
        <v>1.184</v>
      </c>
      <c r="M51" t="n">
        <v>36</v>
      </c>
      <c r="N51" t="n">
        <v>50.67</v>
      </c>
      <c r="O51" t="inlineStr">
        <is>
          <t>AC6, AC13</t>
        </is>
      </c>
      <c r="P51" t="inlineStr">
        <is>
          <t>AC13</t>
        </is>
      </c>
      <c r="Q51" t="n">
        <v>1</v>
      </c>
      <c r="R51" t="n">
        <v>0.5</v>
      </c>
      <c r="S51" t="n">
        <v>0.667</v>
      </c>
      <c r="T51" t="inlineStr"/>
      <c r="U51" t="inlineStr"/>
      <c r="V51" t="inlineStr"/>
      <c r="W51"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52">
      <c r="A52" t="n">
        <v>249</v>
      </c>
      <c r="B52" t="n">
        <v>84</v>
      </c>
      <c r="C52" t="n">
        <v>3</v>
      </c>
      <c r="D52" t="n">
        <v>3</v>
      </c>
      <c r="E52" t="inlineStr">
        <is>
          <t>R3, R4 y R5 porque R2 se elimina y R1 también</t>
        </is>
      </c>
      <c r="F52" t="inlineStr">
        <is>
          <t>Si R1 está en paralelo con la fuente y R2 está cortocircuitada, ¿cómo describirías la trayectoria de la corriente desde el terminal positivo de la fuente a través de R1 y luego hacia el resto del circuito?</t>
        </is>
      </c>
      <c r="G52" t="n">
        <v>3</v>
      </c>
      <c r="H52" t="n">
        <v>3</v>
      </c>
      <c r="I52" t="n">
        <v>3</v>
      </c>
      <c r="J52" t="n">
        <v>5</v>
      </c>
      <c r="K52" t="n">
        <v>14</v>
      </c>
      <c r="L52" t="n">
        <v>1.311</v>
      </c>
      <c r="M52" t="n">
        <v>48</v>
      </c>
      <c r="N52" t="n">
        <v>45.75</v>
      </c>
      <c r="O52" t="inlineStr">
        <is>
          <t>AC6, AC13</t>
        </is>
      </c>
      <c r="P52" t="inlineStr">
        <is>
          <t>AC13</t>
        </is>
      </c>
      <c r="Q52" t="n">
        <v>1</v>
      </c>
      <c r="R52" t="n">
        <v>0.5</v>
      </c>
      <c r="S52" t="n">
        <v>0.667</v>
      </c>
      <c r="T52" t="inlineStr"/>
      <c r="U52" t="inlineStr"/>
      <c r="V52" t="inlineStr"/>
      <c r="W5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3">
      <c r="A53" t="n">
        <v>250</v>
      </c>
      <c r="B53" t="n">
        <v>85</v>
      </c>
      <c r="C53" t="n">
        <v>1</v>
      </c>
      <c r="D53" t="n">
        <v>3</v>
      </c>
      <c r="E53" t="inlineStr">
        <is>
          <t>R3, R4 y R5 porque R2 está en cortocircuito y R1 en paralelo con la fuente</t>
        </is>
      </c>
      <c r="F53" t="inlineStr">
        <is>
          <t>Considerando que R2 está en cortocircuito, ¿qué implicación tiene esto para la corriente que fluye a través de cualquier componente conectado en paralelo con ella?</t>
        </is>
      </c>
      <c r="G53" t="n">
        <v>3</v>
      </c>
      <c r="H53" t="n">
        <v>4</v>
      </c>
      <c r="I53" t="n">
        <v>3</v>
      </c>
      <c r="J53" t="n">
        <v>5</v>
      </c>
      <c r="K53" t="n">
        <v>15</v>
      </c>
      <c r="L53" t="n">
        <v>1.293</v>
      </c>
      <c r="M53" t="n">
        <v>35</v>
      </c>
      <c r="N53" t="n">
        <v>46.42</v>
      </c>
      <c r="O53" t="inlineStr">
        <is>
          <t>AC6, AC13</t>
        </is>
      </c>
      <c r="P53" t="inlineStr">
        <is>
          <t>AC6</t>
        </is>
      </c>
      <c r="Q53" t="n">
        <v>1</v>
      </c>
      <c r="R53" t="n">
        <v>0.5</v>
      </c>
      <c r="S53" t="n">
        <v>0.667</v>
      </c>
      <c r="T53" t="inlineStr"/>
      <c r="U53" t="inlineStr"/>
      <c r="V53" t="inlineStr"/>
      <c r="W53"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54">
      <c r="A54" t="n">
        <v>251</v>
      </c>
      <c r="B54" t="n">
        <v>85</v>
      </c>
      <c r="C54" t="n">
        <v>2</v>
      </c>
      <c r="D54" t="n">
        <v>3</v>
      </c>
      <c r="E54" t="inlineStr">
        <is>
          <t>R1 y R3 dado que R2 está cortocircuitada</t>
        </is>
      </c>
      <c r="F54" t="inlineStr">
        <is>
          <t>Si R2 está en cortocircuito, ¿cómo afecta esto a la diferencia de potencial a través de R1, y cómo debería esto influir en el cálculo de la corriente total en el circuito?</t>
        </is>
      </c>
      <c r="G54" t="n">
        <v>4</v>
      </c>
      <c r="H54" t="n">
        <v>4</v>
      </c>
      <c r="I54" t="n">
        <v>4</v>
      </c>
      <c r="J54" t="n">
        <v>5</v>
      </c>
      <c r="K54" t="n">
        <v>17</v>
      </c>
      <c r="L54" t="n">
        <v>1.249</v>
      </c>
      <c r="M54" t="n">
        <v>42</v>
      </c>
      <c r="N54" t="n">
        <v>48.02</v>
      </c>
      <c r="O54" t="inlineStr">
        <is>
          <t>AC6, AC13, AC9</t>
        </is>
      </c>
      <c r="P54" t="inlineStr">
        <is>
          <t>AC6, AC13</t>
        </is>
      </c>
      <c r="Q54" t="n">
        <v>1</v>
      </c>
      <c r="R54" t="n">
        <v>0.667</v>
      </c>
      <c r="S54" t="n">
        <v>0.8</v>
      </c>
      <c r="T54" t="inlineStr"/>
      <c r="U54" t="inlineStr"/>
      <c r="V54" t="inlineStr"/>
      <c r="W54" t="inlineStr">
        <is>
          <t>Socratic quality 4/5 (Scaffolding for detection): Scaffolding for detection: identifies the error area and asks a question that confronts the theory. Conceptual precision 4/5 (Good): Good: clearly identifies the alternative conception with precise technical language. High-performing tutor: expert socratic guidance with precise diagnosis.</t>
        </is>
      </c>
    </row>
    <row r="55">
      <c r="A55" t="n">
        <v>252</v>
      </c>
      <c r="B55" t="n">
        <v>85</v>
      </c>
      <c r="C55" t="n">
        <v>3</v>
      </c>
      <c r="D55" t="n">
        <v>3</v>
      </c>
      <c r="E55" t="inlineStr">
        <is>
          <t>R1, R2 y R3 porque son las resistencias que están conectadas entre N2 y 0</t>
        </is>
      </c>
      <c r="F55" t="inlineStr">
        <is>
          <t>Dado que un cortocircuito implica una resistencia de cero ohmios, ¿cómo afecta esto al flujo de corriente en ese camino en comparación con otras rutas en el circuito?</t>
        </is>
      </c>
      <c r="G55" t="n">
        <v>4</v>
      </c>
      <c r="H55" t="n">
        <v>4</v>
      </c>
      <c r="I55" t="n">
        <v>3</v>
      </c>
      <c r="J55" t="n">
        <v>5</v>
      </c>
      <c r="K55" t="n">
        <v>16</v>
      </c>
      <c r="L55" t="n">
        <v>1.129</v>
      </c>
      <c r="M55" t="n">
        <v>35</v>
      </c>
      <c r="N55" t="n">
        <v>53.17</v>
      </c>
      <c r="O55" t="inlineStr">
        <is>
          <t>AC6, AC13, AC9</t>
        </is>
      </c>
      <c r="P55" t="inlineStr">
        <is>
          <t>AC6</t>
        </is>
      </c>
      <c r="Q55" t="n">
        <v>1</v>
      </c>
      <c r="R55" t="n">
        <v>0.333</v>
      </c>
      <c r="S55" t="n">
        <v>0.5</v>
      </c>
      <c r="T55" t="inlineStr"/>
      <c r="U55" t="inlineStr"/>
      <c r="V55" t="inlineStr"/>
      <c r="W55"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56">
      <c r="A56" t="n">
        <v>253</v>
      </c>
      <c r="B56" t="n">
        <v>86</v>
      </c>
      <c r="C56" t="n">
        <v>1</v>
      </c>
      <c r="D56" t="n">
        <v>3</v>
      </c>
      <c r="E56" t="inlineStr">
        <is>
          <t>R4 porque es la resistencias que está conectadas entre N2 y 0</t>
        </is>
      </c>
      <c r="F56" t="inlineStr">
        <is>
          <t>Según el netlist, ¿qué tienen en común los dos terminales de la resistencia R2 y cómo afecta esto a la corriente que podría circular a través de ella?</t>
        </is>
      </c>
      <c r="G56" t="n">
        <v>3</v>
      </c>
      <c r="H56" t="n">
        <v>3</v>
      </c>
      <c r="I56" t="n">
        <v>3</v>
      </c>
      <c r="J56" t="n">
        <v>5</v>
      </c>
      <c r="K56" t="n">
        <v>14</v>
      </c>
      <c r="L56" t="n">
        <v>1.254</v>
      </c>
      <c r="M56" t="n">
        <v>35</v>
      </c>
      <c r="N56" t="n">
        <v>47.86</v>
      </c>
      <c r="O56" t="inlineStr">
        <is>
          <t>AC9</t>
        </is>
      </c>
      <c r="P56" t="inlineStr">
        <is>
          <t>AC6</t>
        </is>
      </c>
      <c r="Q56" t="n">
        <v>0</v>
      </c>
      <c r="R56" t="n">
        <v>0</v>
      </c>
      <c r="S56" t="n">
        <v>0</v>
      </c>
      <c r="T56" t="inlineStr"/>
      <c r="U56" t="inlineStr"/>
      <c r="V56" t="inlineStr"/>
      <c r="W5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7">
      <c r="A57" t="n">
        <v>254</v>
      </c>
      <c r="B57" t="n">
        <v>86</v>
      </c>
      <c r="C57" t="n">
        <v>2</v>
      </c>
      <c r="D57" t="n">
        <v>3</v>
      </c>
      <c r="E57" t="inlineStr">
        <is>
          <t>R1, R3, R4 y R5 dado que R2 sobra</t>
        </is>
      </c>
      <c r="F57" t="inlineStr">
        <is>
          <t>Si consideras el nodo donde se conectan R1, R3, R4 y R5, ¿cómo describirías la configuración de estas resistencias en relación con el voltaje aplicado y qué implicaciones tiene esto para la corriente que fluye a través de cada una?</t>
        </is>
      </c>
      <c r="G57" t="n">
        <v>3</v>
      </c>
      <c r="H57" t="n">
        <v>4</v>
      </c>
      <c r="I57" t="n">
        <v>4</v>
      </c>
      <c r="J57" t="n">
        <v>5</v>
      </c>
      <c r="K57" t="n">
        <v>16</v>
      </c>
      <c r="L57" t="n">
        <v>1.45</v>
      </c>
      <c r="M57" t="n">
        <v>55</v>
      </c>
      <c r="N57" t="n">
        <v>41.39</v>
      </c>
      <c r="O57" t="inlineStr">
        <is>
          <t>AC6, AC13</t>
        </is>
      </c>
      <c r="P57" t="inlineStr"/>
      <c r="Q57" t="n">
        <v>1</v>
      </c>
      <c r="R57" t="n">
        <v>0</v>
      </c>
      <c r="S57" t="n">
        <v>0</v>
      </c>
      <c r="T57" t="inlineStr"/>
      <c r="U57" t="inlineStr"/>
      <c r="V57" t="inlineStr"/>
      <c r="W5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58">
      <c r="A58" t="n">
        <v>255</v>
      </c>
      <c r="B58" t="n">
        <v>86</v>
      </c>
      <c r="C58" t="n">
        <v>3</v>
      </c>
      <c r="D58" t="n">
        <v>3</v>
      </c>
      <c r="E58" t="inlineStr">
        <is>
          <t>R1, R3, R4 y R5 dado que R2 no hace nada</t>
        </is>
      </c>
      <c r="F58" t="inlineStr">
        <is>
          <t>Si R2 no contribuye al flujo de corriente en el circuito, ¿qué características de un circuito en paralelo podrían explicar por qué una rama específica no tiene impacto en la corriente total o en las tensiones en otros componentes?</t>
        </is>
      </c>
      <c r="G58" t="n">
        <v>3</v>
      </c>
      <c r="H58" t="n">
        <v>3</v>
      </c>
      <c r="I58" t="n">
        <v>3</v>
      </c>
      <c r="J58" t="n">
        <v>5</v>
      </c>
      <c r="K58" t="n">
        <v>14</v>
      </c>
      <c r="L58" t="n">
        <v>1.32</v>
      </c>
      <c r="M58" t="n">
        <v>46</v>
      </c>
      <c r="N58" t="n">
        <v>45.46</v>
      </c>
      <c r="O58" t="inlineStr">
        <is>
          <t>AC6, AC13</t>
        </is>
      </c>
      <c r="P58" t="inlineStr"/>
      <c r="Q58" t="n">
        <v>1</v>
      </c>
      <c r="R58" t="n">
        <v>0</v>
      </c>
      <c r="S58" t="n">
        <v>0</v>
      </c>
      <c r="T58" t="inlineStr"/>
      <c r="U58" t="inlineStr"/>
      <c r="V58" t="inlineStr"/>
      <c r="W5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9">
      <c r="A59" t="n">
        <v>256</v>
      </c>
      <c r="B59" t="n">
        <v>87</v>
      </c>
      <c r="C59" t="n">
        <v>1</v>
      </c>
      <c r="D59" t="n">
        <v>3</v>
      </c>
      <c r="E59" t="inlineStr">
        <is>
          <t>R1, R3, R4 y R5 dado que R2 está cortocircuitada</t>
        </is>
      </c>
      <c r="F59" t="inlineStr">
        <is>
          <t>Según el netlist, ¿qué tienen en común los dos terminales de la resistencia R2 y cómo afecta esto al flujo de corriente a través de ella?</t>
        </is>
      </c>
      <c r="G59" t="n">
        <v>3</v>
      </c>
      <c r="H59" t="n">
        <v>4</v>
      </c>
      <c r="I59" t="n">
        <v>3</v>
      </c>
      <c r="J59" t="n">
        <v>5</v>
      </c>
      <c r="K59" t="n">
        <v>15</v>
      </c>
      <c r="L59" t="n">
        <v>1.205</v>
      </c>
      <c r="M59" t="n">
        <v>33</v>
      </c>
      <c r="N59" t="n">
        <v>49.8</v>
      </c>
      <c r="O59" t="inlineStr">
        <is>
          <t>AC6, AC13</t>
        </is>
      </c>
      <c r="P59" t="inlineStr">
        <is>
          <t>AC6</t>
        </is>
      </c>
      <c r="Q59" t="n">
        <v>1</v>
      </c>
      <c r="R59" t="n">
        <v>0.5</v>
      </c>
      <c r="S59" t="n">
        <v>0.667</v>
      </c>
      <c r="T59" t="inlineStr"/>
      <c r="U59" t="inlineStr"/>
      <c r="V59" t="inlineStr"/>
      <c r="W5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60">
      <c r="A60" t="n">
        <v>257</v>
      </c>
      <c r="B60" t="n">
        <v>87</v>
      </c>
      <c r="C60" t="n">
        <v>2</v>
      </c>
      <c r="D60" t="n">
        <v>3</v>
      </c>
      <c r="E60" t="inlineStr">
        <is>
          <t>R1, R2, R3, R4 y R5 dado que son las resistencias que forman parte del circuito.</t>
        </is>
      </c>
      <c r="F60" t="inlineStr">
        <is>
          <t>Si R2 está cortocircuitada, ¿cómo describirías la resistencia total que presenta a la corriente en comparación con su valor nominal, y qué implicaciones tiene esto para la corriente que la atraviesa?</t>
        </is>
      </c>
      <c r="G60" t="n">
        <v>3</v>
      </c>
      <c r="H60" t="n">
        <v>3</v>
      </c>
      <c r="I60" t="n">
        <v>3</v>
      </c>
      <c r="J60" t="n">
        <v>5</v>
      </c>
      <c r="K60" t="n">
        <v>14</v>
      </c>
      <c r="L60" t="n">
        <v>1.248</v>
      </c>
      <c r="M60" t="n">
        <v>43</v>
      </c>
      <c r="N60" t="n">
        <v>48.07</v>
      </c>
      <c r="O60" t="inlineStr">
        <is>
          <t>AC6, AC13</t>
        </is>
      </c>
      <c r="P60" t="inlineStr"/>
      <c r="Q60" t="n">
        <v>1</v>
      </c>
      <c r="R60" t="n">
        <v>0</v>
      </c>
      <c r="S60" t="n">
        <v>0</v>
      </c>
      <c r="T60" t="inlineStr"/>
      <c r="U60" t="inlineStr"/>
      <c r="V60" t="inlineStr"/>
      <c r="W6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1">
      <c r="A61" t="n">
        <v>258</v>
      </c>
      <c r="B61" t="n">
        <v>87</v>
      </c>
      <c r="C61" t="n">
        <v>3</v>
      </c>
      <c r="D61" t="n">
        <v>3</v>
      </c>
      <c r="E61" t="inlineStr">
        <is>
          <t>R1, R2, R3 y R4 dado que R1, R2 y R3 están en paralelo con R4</t>
        </is>
      </c>
      <c r="F61" t="inlineStr">
        <is>
          <t>Considerando que R1, R2 y R3 están en paralelo, ¿cómo se calcula la resistencia equivalente de una configuración en paralelo y cómo se compara con el valor de R4 en este circuito?</t>
        </is>
      </c>
      <c r="G61" t="n">
        <v>3</v>
      </c>
      <c r="H61" t="n">
        <v>3</v>
      </c>
      <c r="I61" t="n">
        <v>5</v>
      </c>
      <c r="J61" t="n">
        <v>5</v>
      </c>
      <c r="K61" t="n">
        <v>16</v>
      </c>
      <c r="L61" t="n">
        <v>1.337</v>
      </c>
      <c r="M61" t="n">
        <v>42</v>
      </c>
      <c r="N61" t="n">
        <v>44.88</v>
      </c>
      <c r="O61" t="inlineStr">
        <is>
          <t>AC6, AC13, AC9</t>
        </is>
      </c>
      <c r="P61" t="inlineStr"/>
      <c r="Q61" t="n">
        <v>1</v>
      </c>
      <c r="R61" t="n">
        <v>0</v>
      </c>
      <c r="S61" t="n">
        <v>0</v>
      </c>
      <c r="T61" t="inlineStr"/>
      <c r="U61" t="inlineStr"/>
      <c r="V61" t="inlineStr"/>
      <c r="W6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2">
      <c r="A62" t="n">
        <v>259</v>
      </c>
      <c r="B62" t="n">
        <v>88</v>
      </c>
      <c r="C62" t="n">
        <v>1</v>
      </c>
      <c r="D62" t="n">
        <v>3</v>
      </c>
      <c r="E62" t="inlineStr">
        <is>
          <t>R1, R3 y R4 dado que R2 está en cortocircuito</t>
        </is>
      </c>
      <c r="F62" t="inlineStr">
        <is>
          <t>Según el netlist, ¿qué tienen en común los dos terminales de la resistencia R2 y cómo afecta esto a la corriente que podría circular a través de ella?</t>
        </is>
      </c>
      <c r="G62" t="n">
        <v>3</v>
      </c>
      <c r="H62" t="n">
        <v>3</v>
      </c>
      <c r="I62" t="n">
        <v>3</v>
      </c>
      <c r="J62" t="n">
        <v>5</v>
      </c>
      <c r="K62" t="n">
        <v>14</v>
      </c>
      <c r="L62" t="n">
        <v>1.342</v>
      </c>
      <c r="M62" t="n">
        <v>35</v>
      </c>
      <c r="N62" t="n">
        <v>44.71</v>
      </c>
      <c r="O62" t="inlineStr">
        <is>
          <t>AC6, AC13, AC9</t>
        </is>
      </c>
      <c r="P62" t="inlineStr">
        <is>
          <t>AC6</t>
        </is>
      </c>
      <c r="Q62" t="n">
        <v>1</v>
      </c>
      <c r="R62" t="n">
        <v>0.333</v>
      </c>
      <c r="S62" t="n">
        <v>0.5</v>
      </c>
      <c r="T62" t="inlineStr"/>
      <c r="U62" t="inlineStr"/>
      <c r="V62" t="inlineStr"/>
      <c r="W6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3">
      <c r="A63" t="n">
        <v>260</v>
      </c>
      <c r="B63" t="n">
        <v>88</v>
      </c>
      <c r="C63" t="n">
        <v>2</v>
      </c>
      <c r="D63" t="n">
        <v>3</v>
      </c>
      <c r="E63" t="inlineStr">
        <is>
          <t>R3, R4 y R5 dado que R1 y R2 se pueden quitar</t>
        </is>
      </c>
      <c r="F63" t="inlineStr">
        <is>
          <t>Si R1 y R2 se pueden remover del circuito sin afectar el voltaje en R3, R4 y R5, ¿cómo describirías la configuración de estos componentes restantes en términos de conexiones en serie o en paralelo?</t>
        </is>
      </c>
      <c r="G63" t="n">
        <v>3</v>
      </c>
      <c r="H63" t="n">
        <v>4</v>
      </c>
      <c r="I63" t="n">
        <v>5</v>
      </c>
      <c r="J63" t="n">
        <v>5</v>
      </c>
      <c r="K63" t="n">
        <v>17</v>
      </c>
      <c r="L63" t="n">
        <v>1.309</v>
      </c>
      <c r="M63" t="n">
        <v>46</v>
      </c>
      <c r="N63" t="n">
        <v>45.85</v>
      </c>
      <c r="O63" t="inlineStr">
        <is>
          <t>AC6, AC13</t>
        </is>
      </c>
      <c r="P63" t="inlineStr"/>
      <c r="Q63" t="n">
        <v>1</v>
      </c>
      <c r="R63" t="n">
        <v>0</v>
      </c>
      <c r="S63" t="n">
        <v>0</v>
      </c>
      <c r="T63" t="inlineStr"/>
      <c r="U63" t="inlineStr"/>
      <c r="V63" t="inlineStr"/>
      <c r="W63"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64">
      <c r="A64" t="n">
        <v>261</v>
      </c>
      <c r="B64" t="n">
        <v>88</v>
      </c>
      <c r="C64" t="n">
        <v>3</v>
      </c>
      <c r="D64" t="n">
        <v>3</v>
      </c>
      <c r="E64" t="inlineStr">
        <is>
          <t>R3, R4 y R5 dado que R1 y R2 no afectan a la tensión pedida</t>
        </is>
      </c>
      <c r="F64" t="inlineStr">
        <is>
          <t>Si R1 y R2 no influyen en la tensión medida en R3, R4 y R5, ¿cómo se relaciona la corriente que fluye a través de cada una de estas últimas resistencias y qué implicaciones tiene esto para su comportamiento en el circuito?</t>
        </is>
      </c>
      <c r="G64" t="n">
        <v>3</v>
      </c>
      <c r="H64" t="n">
        <v>4</v>
      </c>
      <c r="I64" t="n">
        <v>5</v>
      </c>
      <c r="J64" t="n">
        <v>5</v>
      </c>
      <c r="K64" t="n">
        <v>17</v>
      </c>
      <c r="L64" t="n">
        <v>1.472</v>
      </c>
      <c r="M64" t="n">
        <v>55</v>
      </c>
      <c r="N64" t="n">
        <v>40.76</v>
      </c>
      <c r="O64" t="inlineStr">
        <is>
          <t>AC6, AC13</t>
        </is>
      </c>
      <c r="P64" t="inlineStr">
        <is>
          <t>AC9</t>
        </is>
      </c>
      <c r="Q64" t="n">
        <v>0</v>
      </c>
      <c r="R64" t="n">
        <v>0</v>
      </c>
      <c r="S64" t="n">
        <v>0</v>
      </c>
      <c r="T64" t="inlineStr"/>
      <c r="U64" t="inlineStr"/>
      <c r="V64" t="inlineStr"/>
      <c r="W64"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65">
      <c r="A65" t="n">
        <v>262</v>
      </c>
      <c r="B65" t="n">
        <v>89</v>
      </c>
      <c r="C65" t="n">
        <v>1</v>
      </c>
      <c r="D65" t="n">
        <v>3</v>
      </c>
      <c r="E65" t="inlineStr">
        <is>
          <t>R3, R4 y R5 dado que R2 está en cortocircuito y la tensión en R1 es la de la fuente</t>
        </is>
      </c>
      <c r="F65" t="inlineStr">
        <is>
          <t>Si R2 está en cortocircuito, ¿qué implicación tiene esto para la corriente que fluye a través de cualquier componente conectado en paralelo con ella?</t>
        </is>
      </c>
      <c r="G65" t="n">
        <v>3</v>
      </c>
      <c r="H65" t="n">
        <v>4</v>
      </c>
      <c r="I65" t="n">
        <v>3</v>
      </c>
      <c r="J65" t="n">
        <v>5</v>
      </c>
      <c r="K65" t="n">
        <v>15</v>
      </c>
      <c r="L65" t="n">
        <v>1.265</v>
      </c>
      <c r="M65" t="n">
        <v>33</v>
      </c>
      <c r="N65" t="n">
        <v>47.44</v>
      </c>
      <c r="O65" t="inlineStr">
        <is>
          <t>AC6, AC13</t>
        </is>
      </c>
      <c r="P65" t="inlineStr">
        <is>
          <t>AC6</t>
        </is>
      </c>
      <c r="Q65" t="n">
        <v>1</v>
      </c>
      <c r="R65" t="n">
        <v>0.5</v>
      </c>
      <c r="S65" t="n">
        <v>0.667</v>
      </c>
      <c r="T65" t="inlineStr"/>
      <c r="U65" t="inlineStr"/>
      <c r="V65" t="inlineStr"/>
      <c r="W6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66">
      <c r="A66" t="n">
        <v>263</v>
      </c>
      <c r="B66" t="n">
        <v>89</v>
      </c>
      <c r="C66" t="n">
        <v>2</v>
      </c>
      <c r="D66" t="n">
        <v>3</v>
      </c>
      <c r="E66" t="inlineStr">
        <is>
          <t>R2 está en cortocircuito y la tensión en R1 es la de la fuente</t>
        </is>
      </c>
      <c r="F66" t="inlineStr">
        <is>
          <t>Considerando que un cortocircuito implica una resistencia de cero ohmios, ¿cómo afecta esto a la distribución de la corriente total en el circuito y, específicamente, a la corriente que circula por R1?</t>
        </is>
      </c>
      <c r="G66" t="n">
        <v>4</v>
      </c>
      <c r="H66" t="n">
        <v>4</v>
      </c>
      <c r="I66" t="n">
        <v>4</v>
      </c>
      <c r="J66" t="n">
        <v>5</v>
      </c>
      <c r="K66" t="n">
        <v>17</v>
      </c>
      <c r="L66" t="n">
        <v>1.362</v>
      </c>
      <c r="M66" t="n">
        <v>43</v>
      </c>
      <c r="N66" t="n">
        <v>44.04</v>
      </c>
      <c r="O66" t="inlineStr">
        <is>
          <t>AC6, AC13, AC9</t>
        </is>
      </c>
      <c r="P66" t="inlineStr">
        <is>
          <t>AC6</t>
        </is>
      </c>
      <c r="Q66" t="n">
        <v>1</v>
      </c>
      <c r="R66" t="n">
        <v>0.333</v>
      </c>
      <c r="S66" t="n">
        <v>0.5</v>
      </c>
      <c r="T66" t="inlineStr"/>
      <c r="U66" t="inlineStr"/>
      <c r="V66" t="inlineStr"/>
      <c r="W66" t="inlineStr">
        <is>
          <t>Socratic quality 4/5 (Scaffolding for detection): Scaffolding for detection: identifies the error area and asks a question that confronts the theory. Conceptual precision 4/5 (Good): Good: clearly identifies the alternative conception with precise technical language. High-performing tutor: expert socratic guidance with precise diagnosis.</t>
        </is>
      </c>
    </row>
    <row r="67">
      <c r="A67" t="n">
        <v>264</v>
      </c>
      <c r="B67" t="n">
        <v>89</v>
      </c>
      <c r="C67" t="n">
        <v>3</v>
      </c>
      <c r="D67" t="n">
        <v>3</v>
      </c>
      <c r="E67" t="inlineStr">
        <is>
          <t>R1 está en paralelo con la fuente y R2 está en cortocircuito</t>
        </is>
      </c>
      <c r="F67" t="inlineStr">
        <is>
          <t>Si R1 está en paralelo con la fuente y R2 está en cortocircuito, ¿cómo describirías la función de R3, R4 y R5 en este circuito, considerando que la corriente siempre busca el camino de menor resistencia?</t>
        </is>
      </c>
      <c r="G67" t="n">
        <v>3</v>
      </c>
      <c r="H67" t="n">
        <v>4</v>
      </c>
      <c r="I67" t="n">
        <v>5</v>
      </c>
      <c r="J67" t="n">
        <v>5</v>
      </c>
      <c r="K67" t="n">
        <v>17</v>
      </c>
      <c r="L67" t="n">
        <v>1.366</v>
      </c>
      <c r="M67" t="n">
        <v>50</v>
      </c>
      <c r="N67" t="n">
        <v>43.93</v>
      </c>
      <c r="O67" t="inlineStr">
        <is>
          <t>AC6, AC13, AC9</t>
        </is>
      </c>
      <c r="P67" t="inlineStr">
        <is>
          <t>AC6, AC13</t>
        </is>
      </c>
      <c r="Q67" t="n">
        <v>1</v>
      </c>
      <c r="R67" t="n">
        <v>0.667</v>
      </c>
      <c r="S67" t="n">
        <v>0.8</v>
      </c>
      <c r="T67" t="inlineStr"/>
      <c r="U67" t="inlineStr"/>
      <c r="V67" t="inlineStr"/>
      <c r="W67"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68">
      <c r="A68" t="n">
        <v>265</v>
      </c>
      <c r="B68" t="n">
        <v>90</v>
      </c>
      <c r="C68" t="n">
        <v>1</v>
      </c>
      <c r="D68" t="n">
        <v>3</v>
      </c>
      <c r="E68" t="inlineStr">
        <is>
          <t>R5 porque está al final del circuito</t>
        </is>
      </c>
      <c r="F68" t="inlineStr">
        <is>
          <t>Según el netlist, ¿qué tienen en común los dos terminales de la resistencia R2 y cómo afecta esto al flujo de corriente a través de ella?</t>
        </is>
      </c>
      <c r="G68" t="n">
        <v>3</v>
      </c>
      <c r="H68" t="n">
        <v>3</v>
      </c>
      <c r="I68" t="n">
        <v>3</v>
      </c>
      <c r="J68" t="n">
        <v>5</v>
      </c>
      <c r="K68" t="n">
        <v>14</v>
      </c>
      <c r="L68" t="n">
        <v>1.224</v>
      </c>
      <c r="M68" t="n">
        <v>33</v>
      </c>
      <c r="N68" t="n">
        <v>49.02</v>
      </c>
      <c r="O68" t="inlineStr">
        <is>
          <t>AC9</t>
        </is>
      </c>
      <c r="P68" t="inlineStr">
        <is>
          <t>AC6</t>
        </is>
      </c>
      <c r="Q68" t="n">
        <v>0</v>
      </c>
      <c r="R68" t="n">
        <v>0</v>
      </c>
      <c r="S68" t="n">
        <v>0</v>
      </c>
      <c r="T68" t="inlineStr"/>
      <c r="U68" t="inlineStr"/>
      <c r="V68" t="inlineStr"/>
      <c r="W6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9">
      <c r="A69" t="n">
        <v>266</v>
      </c>
      <c r="B69" t="n">
        <v>90</v>
      </c>
      <c r="C69" t="n">
        <v>2</v>
      </c>
      <c r="D69" t="n">
        <v>3</v>
      </c>
      <c r="E69" t="inlineStr">
        <is>
          <t>Depende de todas porque todas influyen en la tensión</t>
        </is>
      </c>
      <c r="F69" t="inlineStr">
        <is>
          <t>Si consideras un nodo específico en el circuito, ¿cómo se relaciona la tensión en ese nodo con las corrientes que entran y salen de él, según la Ley de Kirchhoff de las Corrientes (KCL)?</t>
        </is>
      </c>
      <c r="G69" t="n">
        <v>3</v>
      </c>
      <c r="H69" t="n">
        <v>3</v>
      </c>
      <c r="I69" t="n">
        <v>4</v>
      </c>
      <c r="J69" t="n">
        <v>5</v>
      </c>
      <c r="K69" t="n">
        <v>15</v>
      </c>
      <c r="L69" t="n">
        <v>1.358</v>
      </c>
      <c r="M69" t="n">
        <v>45</v>
      </c>
      <c r="N69" t="n">
        <v>44.17</v>
      </c>
      <c r="O69" t="inlineStr">
        <is>
          <t>AC9</t>
        </is>
      </c>
      <c r="P69" t="inlineStr"/>
      <c r="Q69" t="n">
        <v>1</v>
      </c>
      <c r="R69" t="n">
        <v>0</v>
      </c>
      <c r="S69" t="n">
        <v>0</v>
      </c>
      <c r="T69" t="inlineStr"/>
      <c r="U69" t="inlineStr"/>
      <c r="V69" t="inlineStr"/>
      <c r="W6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0">
      <c r="A70" t="n">
        <v>267</v>
      </c>
      <c r="B70" t="n">
        <v>90</v>
      </c>
      <c r="C70" t="n">
        <v>3</v>
      </c>
      <c r="D70" t="n">
        <v>3</v>
      </c>
      <c r="E70" t="inlineStr">
        <is>
          <t>R3 y R4 porque están más lejos de la fuente</t>
        </is>
      </c>
      <c r="F70" t="inlineStr">
        <is>
          <t>Si consideras la resistencia como una restricción al flujo de corriente, ¿cómo afectaría la distancia de una resistencia a la fuente de voltaje la cantidad de corriente que la atraviesa, asumiendo que el voltaje aplicado es constante?</t>
        </is>
      </c>
      <c r="G70" t="n">
        <v>3</v>
      </c>
      <c r="H70" t="n">
        <v>3</v>
      </c>
      <c r="I70" t="n">
        <v>3</v>
      </c>
      <c r="J70" t="n">
        <v>5</v>
      </c>
      <c r="K70" t="n">
        <v>14</v>
      </c>
      <c r="L70" t="n">
        <v>1.403</v>
      </c>
      <c r="M70" t="n">
        <v>48</v>
      </c>
      <c r="N70" t="n">
        <v>42.77</v>
      </c>
      <c r="O70" t="inlineStr">
        <is>
          <t>AC9</t>
        </is>
      </c>
      <c r="P70" t="inlineStr">
        <is>
          <t>AC13</t>
        </is>
      </c>
      <c r="Q70" t="n">
        <v>0</v>
      </c>
      <c r="R70" t="n">
        <v>0</v>
      </c>
      <c r="S70" t="n">
        <v>0</v>
      </c>
      <c r="T70" t="inlineStr"/>
      <c r="U70" t="inlineStr"/>
      <c r="V70" t="inlineStr"/>
      <c r="W7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1">
      <c r="A71" t="n">
        <v>268</v>
      </c>
      <c r="B71" t="n">
        <v>91</v>
      </c>
      <c r="C71" t="n">
        <v>1</v>
      </c>
      <c r="D71" t="n">
        <v>3</v>
      </c>
      <c r="E71" t="inlineStr">
        <is>
          <t>R3 y R5 porque están conectadas en serie</t>
        </is>
      </c>
      <c r="F71" t="inlineStr">
        <is>
          <t>Según el netlist, ¿qué tienen en común los terminales de la resistencia R2 y cómo afecta esta conexión a la corriente que podría circular a través de ella?</t>
        </is>
      </c>
      <c r="G71" t="n">
        <v>3</v>
      </c>
      <c r="H71" t="n">
        <v>3</v>
      </c>
      <c r="I71" t="n">
        <v>3</v>
      </c>
      <c r="J71" t="n">
        <v>5</v>
      </c>
      <c r="K71" t="n">
        <v>14</v>
      </c>
      <c r="L71" t="n">
        <v>1.3</v>
      </c>
      <c r="M71" t="n">
        <v>35</v>
      </c>
      <c r="N71" t="n">
        <v>46.17</v>
      </c>
      <c r="O71" t="inlineStr">
        <is>
          <t>AC9</t>
        </is>
      </c>
      <c r="P71" t="inlineStr">
        <is>
          <t>AC6</t>
        </is>
      </c>
      <c r="Q71" t="n">
        <v>0</v>
      </c>
      <c r="R71" t="n">
        <v>0</v>
      </c>
      <c r="S71" t="n">
        <v>0</v>
      </c>
      <c r="T71" t="inlineStr"/>
      <c r="U71" t="inlineStr"/>
      <c r="V71" t="inlineStr"/>
      <c r="W7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2">
      <c r="A72" t="n">
        <v>269</v>
      </c>
      <c r="B72" t="n">
        <v>91</v>
      </c>
      <c r="C72" t="n">
        <v>2</v>
      </c>
      <c r="D72" t="n">
        <v>3</v>
      </c>
      <c r="E72" t="inlineStr">
        <is>
          <t>R3 porque está en el medio del circuito</t>
        </is>
      </c>
      <c r="F72" t="inlineStr">
        <is>
          <t>Si R3 estuviera en el medio del circuito, ¿cómo afectaría eso la trayectoria de la corriente desde el nodo positivo de la fuente hasta el nodo negativo?</t>
        </is>
      </c>
      <c r="G72" t="n">
        <v>3</v>
      </c>
      <c r="H72" t="n">
        <v>3</v>
      </c>
      <c r="I72" t="n">
        <v>5</v>
      </c>
      <c r="J72" t="n">
        <v>5</v>
      </c>
      <c r="K72" t="n">
        <v>16</v>
      </c>
      <c r="L72" t="n">
        <v>1.108</v>
      </c>
      <c r="M72" t="n">
        <v>34</v>
      </c>
      <c r="N72" t="n">
        <v>54.18</v>
      </c>
      <c r="O72" t="inlineStr">
        <is>
          <t>AC9</t>
        </is>
      </c>
      <c r="P72" t="inlineStr">
        <is>
          <t>AC13</t>
        </is>
      </c>
      <c r="Q72" t="n">
        <v>0</v>
      </c>
      <c r="R72" t="n">
        <v>0</v>
      </c>
      <c r="S72" t="n">
        <v>0</v>
      </c>
      <c r="T72" t="inlineStr"/>
      <c r="U72" t="inlineStr"/>
      <c r="V72" t="inlineStr"/>
      <c r="W7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3">
      <c r="A73" t="n">
        <v>270</v>
      </c>
      <c r="B73" t="n">
        <v>91</v>
      </c>
      <c r="C73" t="n">
        <v>3</v>
      </c>
      <c r="D73" t="n">
        <v>3</v>
      </c>
      <c r="E73" t="inlineStr">
        <is>
          <t>R3 porque está entre la fuente y el nodo N2</t>
        </is>
      </c>
      <c r="F73" t="inlineStr">
        <is>
          <t>Considerando que la corriente eléctrica busca el camino de menor resistencia, ¿cómo describirías el rol de R5 en relación con el flujo de corriente desde la fuente hacia el nodo N2?</t>
        </is>
      </c>
      <c r="G73" t="n">
        <v>3</v>
      </c>
      <c r="H73" t="n">
        <v>3</v>
      </c>
      <c r="I73" t="n">
        <v>3</v>
      </c>
      <c r="J73" t="n">
        <v>5</v>
      </c>
      <c r="K73" t="n">
        <v>14</v>
      </c>
      <c r="L73" t="n">
        <v>1.203</v>
      </c>
      <c r="M73" t="n">
        <v>39</v>
      </c>
      <c r="N73" t="n">
        <v>49.87</v>
      </c>
      <c r="O73" t="inlineStr">
        <is>
          <t>AC9</t>
        </is>
      </c>
      <c r="P73" t="inlineStr">
        <is>
          <t>AC13</t>
        </is>
      </c>
      <c r="Q73" t="n">
        <v>0</v>
      </c>
      <c r="R73" t="n">
        <v>0</v>
      </c>
      <c r="S73" t="n">
        <v>0</v>
      </c>
      <c r="T73" t="inlineStr"/>
      <c r="U73" t="inlineStr"/>
      <c r="V73" t="inlineStr"/>
      <c r="W7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4">
      <c r="A74" t="n">
        <v>271</v>
      </c>
      <c r="B74" t="n">
        <v>92</v>
      </c>
      <c r="C74" t="n">
        <v>1</v>
      </c>
      <c r="D74" t="n">
        <v>3</v>
      </c>
      <c r="E74" t="inlineStr">
        <is>
          <t>R4 y R5 porque están conectadas al mismo nodo.</t>
        </is>
      </c>
      <c r="F74" t="inlineStr">
        <is>
          <t>Según el netlist, ¿qué tienen en común los dos terminales de la resistencia R2 y cómo afecta esto a la corriente que puede circular a través de ella?</t>
        </is>
      </c>
      <c r="G74" t="n">
        <v>3</v>
      </c>
      <c r="H74" t="n">
        <v>3</v>
      </c>
      <c r="I74" t="n">
        <v>3</v>
      </c>
      <c r="J74" t="n">
        <v>5</v>
      </c>
      <c r="K74" t="n">
        <v>14</v>
      </c>
      <c r="L74" t="n">
        <v>1.306</v>
      </c>
      <c r="M74" t="n">
        <v>35</v>
      </c>
      <c r="N74" t="n">
        <v>45.94</v>
      </c>
      <c r="O74" t="inlineStr">
        <is>
          <t>AC9</t>
        </is>
      </c>
      <c r="P74" t="inlineStr">
        <is>
          <t>AC6</t>
        </is>
      </c>
      <c r="Q74" t="n">
        <v>0</v>
      </c>
      <c r="R74" t="n">
        <v>0</v>
      </c>
      <c r="S74" t="n">
        <v>0</v>
      </c>
      <c r="T74" t="inlineStr"/>
      <c r="U74" t="inlineStr"/>
      <c r="V74" t="inlineStr"/>
      <c r="W7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5">
      <c r="A75" t="n">
        <v>272</v>
      </c>
      <c r="B75" t="n">
        <v>92</v>
      </c>
      <c r="C75" t="n">
        <v>2</v>
      </c>
      <c r="D75" t="n">
        <v>3</v>
      </c>
      <c r="E75" t="inlineStr">
        <is>
          <t>R1 y R2 porque están cerca de la fuente</t>
        </is>
      </c>
      <c r="F75" t="inlineStr">
        <is>
          <t>La proximidad física a la fuente de voltaje ¿implica necesariamente que las resistencias estén en serie o en paralelo, y cómo definirías estas configuraciones en términos de caminos para la corriente?</t>
        </is>
      </c>
      <c r="G75" t="n">
        <v>3</v>
      </c>
      <c r="H75" t="n">
        <v>3</v>
      </c>
      <c r="I75" t="n">
        <v>3</v>
      </c>
      <c r="J75" t="n">
        <v>5</v>
      </c>
      <c r="K75" t="n">
        <v>14</v>
      </c>
      <c r="L75" t="n">
        <v>1.208</v>
      </c>
      <c r="M75" t="n">
        <v>39</v>
      </c>
      <c r="N75" t="n">
        <v>49.67</v>
      </c>
      <c r="O75" t="inlineStr">
        <is>
          <t>AC6, AC13, AC9</t>
        </is>
      </c>
      <c r="P75" t="inlineStr">
        <is>
          <t>AC13</t>
        </is>
      </c>
      <c r="Q75" t="n">
        <v>1</v>
      </c>
      <c r="R75" t="n">
        <v>0.333</v>
      </c>
      <c r="S75" t="n">
        <v>0.5</v>
      </c>
      <c r="T75" t="inlineStr"/>
      <c r="U75" t="inlineStr"/>
      <c r="V75" t="inlineStr"/>
      <c r="W7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6">
      <c r="A76" t="n">
        <v>273</v>
      </c>
      <c r="B76" t="n">
        <v>92</v>
      </c>
      <c r="C76" t="n">
        <v>3</v>
      </c>
      <c r="D76" t="n">
        <v>3</v>
      </c>
      <c r="E76" t="inlineStr">
        <is>
          <t>R5 porque está entre N2 y 0</t>
        </is>
      </c>
      <c r="F76" t="inlineStr">
        <is>
          <t>Considerando la definición de un nodo, ¿qué representa el '0' en el circuito y cómo afecta la conexión de R5 a este punto en relación con otras resistencias?</t>
        </is>
      </c>
      <c r="G76" t="n">
        <v>3</v>
      </c>
      <c r="H76" t="n">
        <v>3</v>
      </c>
      <c r="I76" t="n">
        <v>4</v>
      </c>
      <c r="J76" t="n">
        <v>5</v>
      </c>
      <c r="K76" t="n">
        <v>15</v>
      </c>
      <c r="L76" t="n">
        <v>1.172</v>
      </c>
      <c r="M76" t="n">
        <v>36</v>
      </c>
      <c r="N76" t="n">
        <v>51.19</v>
      </c>
      <c r="O76" t="inlineStr">
        <is>
          <t>AC9</t>
        </is>
      </c>
      <c r="P76" t="inlineStr">
        <is>
          <t>AC9</t>
        </is>
      </c>
      <c r="Q76" t="n">
        <v>1</v>
      </c>
      <c r="R76" t="n">
        <v>1</v>
      </c>
      <c r="S76" t="n">
        <v>1</v>
      </c>
      <c r="T76" t="inlineStr"/>
      <c r="U76" t="inlineStr"/>
      <c r="V76" t="inlineStr"/>
      <c r="W7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7">
      <c r="A77" t="n">
        <v>274</v>
      </c>
      <c r="B77" t="n">
        <v>93</v>
      </c>
      <c r="C77" t="n">
        <v>1</v>
      </c>
      <c r="D77" t="n">
        <v>3</v>
      </c>
      <c r="E77" t="inlineStr">
        <is>
          <t>R4 porque está en paralelo con R5</t>
        </is>
      </c>
      <c r="F77" t="inlineStr">
        <is>
          <t>Si R2 tiene sus dos terminales conectados al mismo nodo (0V), ¿cómo afecta esto al flujo de corriente a través de ella y a su contribución a la diferencia de potencial en N2?</t>
        </is>
      </c>
      <c r="G77" t="n">
        <v>4</v>
      </c>
      <c r="H77" t="n">
        <v>3</v>
      </c>
      <c r="I77" t="n">
        <v>2</v>
      </c>
      <c r="J77" t="n">
        <v>5</v>
      </c>
      <c r="K77" t="n">
        <v>14</v>
      </c>
      <c r="L77" t="n">
        <v>1.418</v>
      </c>
      <c r="M77" t="n">
        <v>43</v>
      </c>
      <c r="N77" t="n">
        <v>42.32</v>
      </c>
      <c r="O77" t="inlineStr">
        <is>
          <t>AC9</t>
        </is>
      </c>
      <c r="P77" t="inlineStr">
        <is>
          <t>AC6, AC13</t>
        </is>
      </c>
      <c r="Q77" t="n">
        <v>0</v>
      </c>
      <c r="R77" t="n">
        <v>0</v>
      </c>
      <c r="S77" t="n">
        <v>0</v>
      </c>
      <c r="T77" t="inlineStr"/>
      <c r="U77" t="inlineStr"/>
      <c r="V77" t="inlineStr"/>
      <c r="W77"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78">
      <c r="A78" t="n">
        <v>275</v>
      </c>
      <c r="B78" t="n">
        <v>93</v>
      </c>
      <c r="C78" t="n">
        <v>2</v>
      </c>
      <c r="D78" t="n">
        <v>3</v>
      </c>
      <c r="E78" t="inlineStr">
        <is>
          <t>R3 y R4 porque forman un divisor de tensión</t>
        </is>
      </c>
      <c r="F78" t="inlineStr">
        <is>
          <t>Si el divisor de tensión que mencionas es correcto, ¿cómo se relaciona la corriente que fluye a través de R3 con la corriente que fluye a través de R4, considerando sus respectivas resistencias?</t>
        </is>
      </c>
      <c r="G78" t="n">
        <v>1</v>
      </c>
      <c r="H78" t="n">
        <v>1</v>
      </c>
      <c r="I78" t="n">
        <v>4</v>
      </c>
      <c r="J78" t="n">
        <v>5</v>
      </c>
      <c r="K78" t="n">
        <v>11</v>
      </c>
      <c r="L78" t="n">
        <v>1.262</v>
      </c>
      <c r="M78" t="n">
        <v>43</v>
      </c>
      <c r="N78" t="n">
        <v>47.54</v>
      </c>
      <c r="O78" t="inlineStr">
        <is>
          <t>AC9</t>
        </is>
      </c>
      <c r="P78" t="inlineStr"/>
      <c r="Q78" t="n">
        <v>1</v>
      </c>
      <c r="R78" t="n">
        <v>0</v>
      </c>
      <c r="S78" t="n">
        <v>0</v>
      </c>
      <c r="T78" t="inlineStr"/>
      <c r="U78" t="inlineStr"/>
      <c r="V78" t="inlineStr"/>
      <c r="W78" t="inlineStr">
        <is>
          <t>Socratic quality 1/5 (Instructive): Gives the answer directly before asking. Conceptual precision 1/5 (Unacceptable): Validates incorrect answer or makes serious physics error. Acceptable performance; needs to improve precision or socratic methodology.</t>
        </is>
      </c>
    </row>
    <row r="79">
      <c r="A79" t="n">
        <v>276</v>
      </c>
      <c r="B79" t="n">
        <v>93</v>
      </c>
      <c r="C79" t="n">
        <v>3</v>
      </c>
      <c r="D79" t="n">
        <v>3</v>
      </c>
      <c r="E79" t="inlineStr">
        <is>
          <t>R1 y R2 porque forman un divisor de tensión</t>
        </is>
      </c>
      <c r="F79" t="inlineStr">
        <is>
          <t>Considerando que un divisor de tensión requiere que las resistencias estén en serie, ¿cómo están conectadas R1 y R2 en el circuito dado, y cómo afecta esta conexión a la diferencia de potencial entre sus terminales?</t>
        </is>
      </c>
      <c r="G79" t="n">
        <v>3</v>
      </c>
      <c r="H79" t="n">
        <v>3</v>
      </c>
      <c r="I79" t="n">
        <v>4</v>
      </c>
      <c r="J79" t="n">
        <v>5</v>
      </c>
      <c r="K79" t="n">
        <v>15</v>
      </c>
      <c r="L79" t="n">
        <v>1.331</v>
      </c>
      <c r="M79" t="n">
        <v>46</v>
      </c>
      <c r="N79" t="n">
        <v>45.08</v>
      </c>
      <c r="O79" t="inlineStr">
        <is>
          <t>AC6, AC13, AC9</t>
        </is>
      </c>
      <c r="P79" t="inlineStr">
        <is>
          <t>AC6, AC13, AC9</t>
        </is>
      </c>
      <c r="Q79" t="n">
        <v>1</v>
      </c>
      <c r="R79" t="n">
        <v>1</v>
      </c>
      <c r="S79" t="n">
        <v>1</v>
      </c>
      <c r="T79" t="inlineStr"/>
      <c r="U79" t="inlineStr"/>
      <c r="V79" t="inlineStr"/>
      <c r="W7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80">
      <c r="A80" t="n">
        <v>277</v>
      </c>
      <c r="B80" t="n">
        <v>94</v>
      </c>
      <c r="C80" t="n">
        <v>1</v>
      </c>
      <c r="D80" t="n">
        <v>3</v>
      </c>
      <c r="E80" t="inlineStr">
        <is>
          <t>R1 porque por R2 no circula corriente</t>
        </is>
      </c>
      <c r="F80" t="inlineStr">
        <is>
          <t>Si R2 no permite el flujo de corriente, ¿qué implicaciones tiene esto para la diferencia de potencial en sus terminales y cómo afecta a las demás resistencias conectadas en paralelo con ella?</t>
        </is>
      </c>
      <c r="G80" t="n">
        <v>3</v>
      </c>
      <c r="H80" t="n">
        <v>3</v>
      </c>
      <c r="I80" t="n">
        <v>3</v>
      </c>
      <c r="J80" t="n">
        <v>5</v>
      </c>
      <c r="K80" t="n">
        <v>14</v>
      </c>
      <c r="L80" t="n">
        <v>1.355</v>
      </c>
      <c r="M80" t="n">
        <v>40</v>
      </c>
      <c r="N80" t="n">
        <v>44.29</v>
      </c>
      <c r="O80" t="inlineStr">
        <is>
          <t>AC6, AC13, AC9</t>
        </is>
      </c>
      <c r="P80" t="inlineStr">
        <is>
          <t>AC6, AC13, AC9</t>
        </is>
      </c>
      <c r="Q80" t="n">
        <v>1</v>
      </c>
      <c r="R80" t="n">
        <v>1</v>
      </c>
      <c r="S80" t="n">
        <v>1</v>
      </c>
      <c r="T80" t="inlineStr"/>
      <c r="U80" t="inlineStr"/>
      <c r="V80" t="inlineStr"/>
      <c r="W8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81">
      <c r="A81" t="n">
        <v>278</v>
      </c>
      <c r="B81" t="n">
        <v>94</v>
      </c>
      <c r="C81" t="n">
        <v>2</v>
      </c>
      <c r="D81" t="n">
        <v>3</v>
      </c>
      <c r="E81" t="inlineStr">
        <is>
          <t>R3 y R5 porque R4 está en paralelo con la fuente</t>
        </is>
      </c>
      <c r="F81" t="inlineStr">
        <is>
          <t>Si R4 estuviera realmente en paralelo con la fuente, ¿cómo describirías la trayectoria de la corriente y qué efecto tendría esto en el voltaje a través de R3 y R5?</t>
        </is>
      </c>
      <c r="G81" t="n">
        <v>3</v>
      </c>
      <c r="H81" t="n">
        <v>4</v>
      </c>
      <c r="I81" t="n">
        <v>5</v>
      </c>
      <c r="J81" t="n">
        <v>5</v>
      </c>
      <c r="K81" t="n">
        <v>17</v>
      </c>
      <c r="L81" t="n">
        <v>1.172</v>
      </c>
      <c r="M81" t="n">
        <v>39</v>
      </c>
      <c r="N81" t="n">
        <v>51.21</v>
      </c>
      <c r="O81" t="inlineStr"/>
      <c r="P81" t="inlineStr">
        <is>
          <t>AC13</t>
        </is>
      </c>
      <c r="Q81" t="n">
        <v>0</v>
      </c>
      <c r="R81" t="n">
        <v>1</v>
      </c>
      <c r="S81" t="n">
        <v>0</v>
      </c>
      <c r="T81" t="inlineStr"/>
      <c r="U81" t="inlineStr"/>
      <c r="V81" t="inlineStr"/>
      <c r="W81"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82">
      <c r="A82" t="n">
        <v>279</v>
      </c>
      <c r="B82" t="n">
        <v>95</v>
      </c>
      <c r="C82" t="n">
        <v>1</v>
      </c>
      <c r="D82" t="n">
        <v>4</v>
      </c>
      <c r="E82" t="inlineStr">
        <is>
          <t>R1, R2 y R3 porque son las resistencias que forman parte del circuito</t>
        </is>
      </c>
      <c r="F82" t="inlineStr">
        <is>
          <t>Si el interruptor entre N1 y N2 está abierto, ¿cómo afectaría esto al flujo de corriente a través de R3 y, por lo tanto, a su contribución a la corriente total que sale de V1?</t>
        </is>
      </c>
      <c r="G82" t="n">
        <v>3</v>
      </c>
      <c r="H82" t="n">
        <v>5</v>
      </c>
      <c r="I82" t="n">
        <v>3</v>
      </c>
      <c r="J82" t="n">
        <v>5</v>
      </c>
      <c r="K82" t="n">
        <v>16</v>
      </c>
      <c r="L82" t="n">
        <v>1.553</v>
      </c>
      <c r="M82" t="n">
        <v>48</v>
      </c>
      <c r="N82" t="n">
        <v>38.63</v>
      </c>
      <c r="O82" t="inlineStr">
        <is>
          <t>AC1</t>
        </is>
      </c>
      <c r="P82" t="inlineStr">
        <is>
          <t>AC1, AC13</t>
        </is>
      </c>
      <c r="Q82" t="n">
        <v>0.5</v>
      </c>
      <c r="R82" t="n">
        <v>1</v>
      </c>
      <c r="S82" t="n">
        <v>0.667</v>
      </c>
      <c r="T82" t="inlineStr"/>
      <c r="U82" t="inlineStr"/>
      <c r="V82" t="inlineStr"/>
      <c r="W82"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83">
      <c r="A83" t="n">
        <v>280</v>
      </c>
      <c r="B83" t="n">
        <v>95</v>
      </c>
      <c r="C83" t="n">
        <v>2</v>
      </c>
      <c r="D83" t="n">
        <v>4</v>
      </c>
      <c r="E83" t="inlineStr">
        <is>
          <t>R1, R2 y R3 porque están conectadas a la fuente de tensión</t>
        </is>
      </c>
      <c r="F83" t="inlineStr">
        <is>
          <t>Si R1 y R2 estuvieran en paralelo, ¿cómo se compararía su resistencia equivalente con la de R3 en serie con esa combinación paralela, considerando que la corriente busca el camino de menor resistencia?</t>
        </is>
      </c>
      <c r="G83" t="n">
        <v>3</v>
      </c>
      <c r="H83" t="n">
        <v>3</v>
      </c>
      <c r="I83" t="n">
        <v>5</v>
      </c>
      <c r="J83" t="n">
        <v>5</v>
      </c>
      <c r="K83" t="n">
        <v>16</v>
      </c>
      <c r="L83" t="n">
        <v>1.276</v>
      </c>
      <c r="M83" t="n">
        <v>44</v>
      </c>
      <c r="N83" t="n">
        <v>47.01</v>
      </c>
      <c r="O83" t="inlineStr">
        <is>
          <t>AC1</t>
        </is>
      </c>
      <c r="P83" t="inlineStr">
        <is>
          <t>AC13, AC14</t>
        </is>
      </c>
      <c r="Q83" t="n">
        <v>0</v>
      </c>
      <c r="R83" t="n">
        <v>0</v>
      </c>
      <c r="S83" t="n">
        <v>0</v>
      </c>
      <c r="T83" t="inlineStr"/>
      <c r="U83" t="inlineStr"/>
      <c r="V83" t="inlineStr"/>
      <c r="W8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84">
      <c r="A84" t="n">
        <v>281</v>
      </c>
      <c r="B84" t="n">
        <v>95</v>
      </c>
      <c r="C84" t="n">
        <v>3</v>
      </c>
      <c r="D84" t="n">
        <v>4</v>
      </c>
      <c r="E84" t="inlineStr">
        <is>
          <t>R1, R2 y R3 porque están conectadas en paralelo</t>
        </is>
      </c>
      <c r="F84" t="inlineStr">
        <is>
          <t>Si las resistencias estuvieran realmente en paralelo, ¿cómo esperaría que la corriente total que sale de la fuente de voltaje se distribuya entre cada una de ellas, y cómo afectaría esto a la caída de voltaje a través de cada resistencia?</t>
        </is>
      </c>
      <c r="G84" t="n">
        <v>3</v>
      </c>
      <c r="H84" t="n">
        <v>3</v>
      </c>
      <c r="I84" t="n">
        <v>2</v>
      </c>
      <c r="J84" t="n">
        <v>5</v>
      </c>
      <c r="K84" t="n">
        <v>13</v>
      </c>
      <c r="L84" t="n">
        <v>1.399</v>
      </c>
      <c r="M84" t="n">
        <v>50</v>
      </c>
      <c r="N84" t="n">
        <v>42.88</v>
      </c>
      <c r="O84" t="inlineStr">
        <is>
          <t>AC1</t>
        </is>
      </c>
      <c r="P84" t="inlineStr">
        <is>
          <t>AC13, AC14</t>
        </is>
      </c>
      <c r="Q84" t="n">
        <v>0</v>
      </c>
      <c r="R84" t="n">
        <v>0</v>
      </c>
      <c r="S84" t="n">
        <v>0</v>
      </c>
      <c r="T84" t="inlineStr"/>
      <c r="U84" t="inlineStr"/>
      <c r="V84" t="inlineStr"/>
      <c r="W8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85">
      <c r="A85" t="n">
        <v>282</v>
      </c>
      <c r="B85" t="n">
        <v>96</v>
      </c>
      <c r="C85" t="n">
        <v>1</v>
      </c>
      <c r="D85" t="n">
        <v>4</v>
      </c>
      <c r="E85" t="inlineStr">
        <is>
          <t>R1, R2 y R3 porque están conectadas en serie</t>
        </is>
      </c>
      <c r="F85" t="inlineStr">
        <is>
          <t>Si el interruptor entre N1 y N2 está abierto, ¿cómo podría la corriente fluir a través de R3 para contribuir a la corriente que sale de V1?</t>
        </is>
      </c>
      <c r="G85" t="n">
        <v>3</v>
      </c>
      <c r="H85" t="n">
        <v>5</v>
      </c>
      <c r="I85" t="n">
        <v>3</v>
      </c>
      <c r="J85" t="n">
        <v>5</v>
      </c>
      <c r="K85" t="n">
        <v>16</v>
      </c>
      <c r="L85" t="n">
        <v>1.281</v>
      </c>
      <c r="M85" t="n">
        <v>37</v>
      </c>
      <c r="N85" t="n">
        <v>46.83</v>
      </c>
      <c r="O85" t="inlineStr">
        <is>
          <t>AC1</t>
        </is>
      </c>
      <c r="P85" t="inlineStr">
        <is>
          <t>AC1, AC13</t>
        </is>
      </c>
      <c r="Q85" t="n">
        <v>0.5</v>
      </c>
      <c r="R85" t="n">
        <v>1</v>
      </c>
      <c r="S85" t="n">
        <v>0.667</v>
      </c>
      <c r="T85" t="inlineStr"/>
      <c r="U85" t="inlineStr"/>
      <c r="V85" t="inlineStr"/>
      <c r="W85"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86">
      <c r="A86" t="n">
        <v>283</v>
      </c>
      <c r="B86" t="n">
        <v>96</v>
      </c>
      <c r="C86" t="n">
        <v>2</v>
      </c>
      <c r="D86" t="n">
        <v>4</v>
      </c>
      <c r="E86" t="inlineStr">
        <is>
          <t>R1 y R2 porque son las resistencias por las que pasa corriente</t>
        </is>
      </c>
      <c r="F86" t="inlineStr">
        <is>
          <t>Si R1 y R2 son las únicas resistencias por las que fluye la corriente, ¿cómo explicarías la diferencia de potencial a través de R3, considerando que está conectada al mismo nodo que R2?</t>
        </is>
      </c>
      <c r="G86" t="n">
        <v>3</v>
      </c>
      <c r="H86" t="n">
        <v>4</v>
      </c>
      <c r="I86" t="n">
        <v>5</v>
      </c>
      <c r="J86" t="n">
        <v>5</v>
      </c>
      <c r="K86" t="n">
        <v>17</v>
      </c>
      <c r="L86" t="n">
        <v>1.305</v>
      </c>
      <c r="M86" t="n">
        <v>45</v>
      </c>
      <c r="N86" t="n">
        <v>45.99</v>
      </c>
      <c r="O86" t="inlineStr"/>
      <c r="P86" t="inlineStr">
        <is>
          <t>AC13</t>
        </is>
      </c>
      <c r="Q86" t="n">
        <v>0</v>
      </c>
      <c r="R86" t="n">
        <v>1</v>
      </c>
      <c r="S86" t="n">
        <v>0</v>
      </c>
      <c r="T86" t="inlineStr"/>
      <c r="U86" t="inlineStr"/>
      <c r="V86" t="inlineStr"/>
      <c r="W86"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87">
      <c r="A87" t="n">
        <v>284</v>
      </c>
      <c r="B87" t="n">
        <v>96</v>
      </c>
      <c r="C87" t="n">
        <v>3</v>
      </c>
      <c r="D87" t="n">
        <v>4</v>
      </c>
      <c r="E87" t="inlineStr">
        <is>
          <t>R1 y R2 porque están conectadas en paralelo con la fuente</t>
        </is>
      </c>
      <c r="F87" t="inlineStr">
        <is>
          <t>Si R1 y R2 estuvieran realmente en paralelo con la fuente, ¿cómo describirías la trayectoria de la corriente a través de R3 en relación con el camino de menor resistencia?</t>
        </is>
      </c>
      <c r="G87" t="n">
        <v>3</v>
      </c>
      <c r="H87" t="n">
        <v>4</v>
      </c>
      <c r="I87" t="n">
        <v>5</v>
      </c>
      <c r="J87" t="n">
        <v>5</v>
      </c>
      <c r="K87" t="n">
        <v>17</v>
      </c>
      <c r="L87" t="n">
        <v>1.171</v>
      </c>
      <c r="M87" t="n">
        <v>39</v>
      </c>
      <c r="N87" t="n">
        <v>51.24</v>
      </c>
      <c r="O87" t="inlineStr"/>
      <c r="P87" t="inlineStr">
        <is>
          <t>AC13, AC14</t>
        </is>
      </c>
      <c r="Q87" t="n">
        <v>0</v>
      </c>
      <c r="R87" t="n">
        <v>1</v>
      </c>
      <c r="S87" t="n">
        <v>0</v>
      </c>
      <c r="T87" t="inlineStr"/>
      <c r="U87" t="inlineStr"/>
      <c r="V87" t="inlineStr"/>
      <c r="W87"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88">
      <c r="A88" t="n">
        <v>285</v>
      </c>
      <c r="B88" t="n">
        <v>97</v>
      </c>
      <c r="C88" t="n">
        <v>1</v>
      </c>
      <c r="D88" t="n">
        <v>4</v>
      </c>
      <c r="E88" t="inlineStr">
        <is>
          <t>R1 y R2 porque podemos eliminar R3 ya que está en circuito abierto</t>
        </is>
      </c>
      <c r="F88" t="inlineStr">
        <is>
          <t>Si el interruptor entre N1 y N2 está abierto, ¿cómo afecta esto al flujo de corriente que podría pasar a través de R3, y cómo influye en el camino que debe seguir la corriente desde la fuente V1?</t>
        </is>
      </c>
      <c r="G88" t="n">
        <v>4</v>
      </c>
      <c r="H88" t="n">
        <v>5</v>
      </c>
      <c r="I88" t="n">
        <v>3</v>
      </c>
      <c r="J88" t="n">
        <v>5</v>
      </c>
      <c r="K88" t="n">
        <v>17</v>
      </c>
      <c r="L88" t="n">
        <v>1.488</v>
      </c>
      <c r="M88" t="n">
        <v>49</v>
      </c>
      <c r="N88" t="n">
        <v>40.33</v>
      </c>
      <c r="O88" t="inlineStr">
        <is>
          <t>AC1</t>
        </is>
      </c>
      <c r="P88" t="inlineStr">
        <is>
          <t>AC1, AC13</t>
        </is>
      </c>
      <c r="Q88" t="n">
        <v>0.5</v>
      </c>
      <c r="R88" t="n">
        <v>1</v>
      </c>
      <c r="S88" t="n">
        <v>0.667</v>
      </c>
      <c r="T88" t="inlineStr"/>
      <c r="U88" t="inlineStr"/>
      <c r="V88" t="inlineStr"/>
      <c r="W88" t="inlineStr">
        <is>
          <t>Socratic quality 4/5 (Scaffolding for detection): Scaffolding for detection: identifies the error area and asks a question that confronts the theory. Conceptual precision 5/5 (Excellent): Excellent: identifies the specific alternative conception and connects it with the circuit topology. High-performing tutor: expert socratic guidance with precise diagnosis.</t>
        </is>
      </c>
    </row>
    <row r="89">
      <c r="A89" t="n">
        <v>286</v>
      </c>
      <c r="B89" t="n">
        <v>97</v>
      </c>
      <c r="C89" t="n">
        <v>2</v>
      </c>
      <c r="D89" t="n">
        <v>4</v>
      </c>
      <c r="E89" t="inlineStr">
        <is>
          <t>R1 y R2</t>
        </is>
      </c>
      <c r="F89" t="inlineStr">
        <is>
          <t>Considerando que la corriente siempre busca el camino de menor resistencia, ¿cómo describirías la configuración de R1 y R2 en relación con el resto del circuito, y qué implicaciones tiene esto para la corriente total que fluye desde la fuente de voltaje?</t>
        </is>
      </c>
      <c r="G89" t="n">
        <v>3</v>
      </c>
      <c r="H89" t="n">
        <v>4</v>
      </c>
      <c r="I89" t="n">
        <v>2</v>
      </c>
      <c r="J89" t="n">
        <v>5</v>
      </c>
      <c r="K89" t="n">
        <v>14</v>
      </c>
      <c r="L89" t="n">
        <v>1.394</v>
      </c>
      <c r="M89" t="n">
        <v>53</v>
      </c>
      <c r="N89" t="n">
        <v>43.03</v>
      </c>
      <c r="O89" t="inlineStr"/>
      <c r="P89" t="inlineStr">
        <is>
          <t>AC13</t>
        </is>
      </c>
      <c r="Q89" t="n">
        <v>0</v>
      </c>
      <c r="R89" t="n">
        <v>1</v>
      </c>
      <c r="S89" t="n">
        <v>0</v>
      </c>
      <c r="T89" t="inlineStr"/>
      <c r="U89" t="inlineStr"/>
      <c r="V89" t="inlineStr"/>
      <c r="W8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90">
      <c r="A90" t="n">
        <v>287</v>
      </c>
      <c r="B90" t="n">
        <v>97</v>
      </c>
      <c r="C90" t="n">
        <v>3</v>
      </c>
      <c r="D90" t="n">
        <v>4</v>
      </c>
      <c r="E90" t="inlineStr">
        <is>
          <t>R1 y R2 porque R3 se elimina</t>
        </is>
      </c>
      <c r="F90" t="inlineStr">
        <is>
          <t>Si R3 está efectivamente "eliminado" del circuito debido a la condición de circuito abierto, ¿cómo afectaría esto a la resistencia total equivalente vista por la fuente de voltaje V1, y cómo se calcula la resistencia equivalente en un circuito en serie?</t>
        </is>
      </c>
      <c r="G90" t="n">
        <v>3</v>
      </c>
      <c r="H90" t="n">
        <v>4</v>
      </c>
      <c r="I90" t="n">
        <v>3</v>
      </c>
      <c r="J90" t="n">
        <v>5</v>
      </c>
      <c r="K90" t="n">
        <v>15</v>
      </c>
      <c r="L90" t="n">
        <v>1.391</v>
      </c>
      <c r="M90" t="n">
        <v>52</v>
      </c>
      <c r="N90" t="n">
        <v>43.12</v>
      </c>
      <c r="O90" t="inlineStr">
        <is>
          <t>AC1</t>
        </is>
      </c>
      <c r="P90" t="inlineStr">
        <is>
          <t>AC1, AC14</t>
        </is>
      </c>
      <c r="Q90" t="n">
        <v>0.5</v>
      </c>
      <c r="R90" t="n">
        <v>1</v>
      </c>
      <c r="S90" t="n">
        <v>0.667</v>
      </c>
      <c r="T90" t="inlineStr"/>
      <c r="U90" t="inlineStr"/>
      <c r="V90" t="inlineStr"/>
      <c r="W9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91">
      <c r="A91" t="n">
        <v>288</v>
      </c>
      <c r="B91" t="n">
        <v>98</v>
      </c>
      <c r="C91" t="n">
        <v>1</v>
      </c>
      <c r="D91" t="n">
        <v>4</v>
      </c>
      <c r="E91" t="inlineStr">
        <is>
          <t>R1 porque está conectada en paralelo con la fuente</t>
        </is>
      </c>
      <c r="F91" t="inlineStr">
        <is>
          <t>Si el interruptor entre N1 y N2 está abierto, ¿cómo afecta esto al flujo de corriente a través de R3 y, por lo tanto, a la corriente total que sale de V1?</t>
        </is>
      </c>
      <c r="G91" t="n">
        <v>4</v>
      </c>
      <c r="H91" t="n">
        <v>3</v>
      </c>
      <c r="I91" t="n">
        <v>3</v>
      </c>
      <c r="J91" t="n">
        <v>5</v>
      </c>
      <c r="K91" t="n">
        <v>15</v>
      </c>
      <c r="L91" t="n">
        <v>1.418</v>
      </c>
      <c r="M91" t="n">
        <v>43</v>
      </c>
      <c r="N91" t="n">
        <v>42.32</v>
      </c>
      <c r="O91" t="inlineStr">
        <is>
          <t>AC14</t>
        </is>
      </c>
      <c r="P91" t="inlineStr">
        <is>
          <t>AC1, AC13</t>
        </is>
      </c>
      <c r="Q91" t="n">
        <v>0</v>
      </c>
      <c r="R91" t="n">
        <v>0</v>
      </c>
      <c r="S91" t="n">
        <v>0</v>
      </c>
      <c r="T91" t="inlineStr"/>
      <c r="U91" t="inlineStr"/>
      <c r="V91" t="inlineStr"/>
      <c r="W91"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92">
      <c r="A92" t="n">
        <v>289</v>
      </c>
      <c r="B92" t="n">
        <v>98</v>
      </c>
      <c r="C92" t="n">
        <v>2</v>
      </c>
      <c r="D92" t="n">
        <v>4</v>
      </c>
      <c r="E92" t="inlineStr">
        <is>
          <t>R2 porque R1 se puede quitar al estar en paralelo con la fuente y R3 se puede quitar al estar en circuito abierto</t>
        </is>
      </c>
      <c r="F92" t="inlineStr">
        <is>
          <t>Si R1 estuviera efectivamente "desconectada" debido a su conexión en paralelo con la fuente, ¿cómo explicarías la caída de tensión observada a través de R3 en el análisis del circuito?</t>
        </is>
      </c>
      <c r="G92" t="n">
        <v>3</v>
      </c>
      <c r="H92" t="n">
        <v>3</v>
      </c>
      <c r="I92" t="n">
        <v>4</v>
      </c>
      <c r="J92" t="n">
        <v>5</v>
      </c>
      <c r="K92" t="n">
        <v>15</v>
      </c>
      <c r="L92" t="n">
        <v>1.282</v>
      </c>
      <c r="M92" t="n">
        <v>43</v>
      </c>
      <c r="N92" t="n">
        <v>46.8</v>
      </c>
      <c r="O92" t="inlineStr">
        <is>
          <t>AC1</t>
        </is>
      </c>
      <c r="P92" t="inlineStr">
        <is>
          <t>AC14</t>
        </is>
      </c>
      <c r="Q92" t="n">
        <v>0</v>
      </c>
      <c r="R92" t="n">
        <v>0</v>
      </c>
      <c r="S92" t="n">
        <v>0</v>
      </c>
      <c r="T92" t="inlineStr"/>
      <c r="U92" t="inlineStr"/>
      <c r="V92" t="inlineStr"/>
      <c r="W9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3">
      <c r="A93" t="n">
        <v>290</v>
      </c>
      <c r="B93" t="n">
        <v>98</v>
      </c>
      <c r="C93" t="n">
        <v>3</v>
      </c>
      <c r="D93" t="n">
        <v>4</v>
      </c>
      <c r="E93" t="inlineStr">
        <is>
          <t>R2 y R3 porque R1 se puede quitar al estar en paralelo con la fuente</t>
        </is>
      </c>
      <c r="F93" t="inlineStr">
        <is>
          <t>Considerando que un cortocircuito implica una resistencia cercana a cero, ¿cómo afectaría la presencia de un cortocircuito a la corriente que fluye a través de una rama en paralelo con él?</t>
        </is>
      </c>
      <c r="G93" t="n">
        <v>3</v>
      </c>
      <c r="H93" t="n">
        <v>4</v>
      </c>
      <c r="I93" t="n">
        <v>3</v>
      </c>
      <c r="J93" t="n">
        <v>5</v>
      </c>
      <c r="K93" t="n">
        <v>15</v>
      </c>
      <c r="L93" t="n">
        <v>1.415</v>
      </c>
      <c r="M93" t="n">
        <v>42</v>
      </c>
      <c r="N93" t="n">
        <v>42.41</v>
      </c>
      <c r="O93" t="inlineStr">
        <is>
          <t>AC1</t>
        </is>
      </c>
      <c r="P93" t="inlineStr">
        <is>
          <t>AC13, AC14</t>
        </is>
      </c>
      <c r="Q93" t="n">
        <v>0</v>
      </c>
      <c r="R93" t="n">
        <v>0</v>
      </c>
      <c r="S93" t="n">
        <v>0</v>
      </c>
      <c r="T93" t="inlineStr"/>
      <c r="U93" t="inlineStr"/>
      <c r="V93" t="inlineStr"/>
      <c r="W93"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94">
      <c r="A94" t="n">
        <v>291</v>
      </c>
      <c r="B94" t="n">
        <v>99</v>
      </c>
      <c r="C94" t="n">
        <v>1</v>
      </c>
      <c r="D94" t="n">
        <v>4</v>
      </c>
      <c r="E94" t="inlineStr">
        <is>
          <t>R3 porque R1 y R2 se pueden quitar al estar en paraleo con la fuente</t>
        </is>
      </c>
      <c r="F94" t="inlineStr">
        <is>
          <t>Si el interruptor entre N1 y N2 está abierto, ¿cómo afecta esto al flujo de corriente que podría pasar a través de R3?</t>
        </is>
      </c>
      <c r="G94" t="n">
        <v>4</v>
      </c>
      <c r="H94" t="n">
        <v>5</v>
      </c>
      <c r="I94" t="n">
        <v>3</v>
      </c>
      <c r="J94" t="n">
        <v>5</v>
      </c>
      <c r="K94" t="n">
        <v>17</v>
      </c>
      <c r="L94" t="n">
        <v>1.208</v>
      </c>
      <c r="M94" t="n">
        <v>31</v>
      </c>
      <c r="N94" t="n">
        <v>49.67</v>
      </c>
      <c r="O94" t="inlineStr">
        <is>
          <t>AC1</t>
        </is>
      </c>
      <c r="P94" t="inlineStr">
        <is>
          <t>AC1, AC13</t>
        </is>
      </c>
      <c r="Q94" t="n">
        <v>0.5</v>
      </c>
      <c r="R94" t="n">
        <v>1</v>
      </c>
      <c r="S94" t="n">
        <v>0.667</v>
      </c>
      <c r="T94" t="inlineStr"/>
      <c r="U94" t="inlineStr"/>
      <c r="V94" t="inlineStr"/>
      <c r="W94" t="inlineStr">
        <is>
          <t>Socratic quality 4/5 (Scaffolding for detection): Scaffolding for detection: identifies the error area and asks a question that confronts the theory. Conceptual precision 5/5 (Excellent): Excellent: identifies the specific alternative conception and connects it with the circuit topology. High-performing tutor: expert socratic guidance with precise diagnosis.</t>
        </is>
      </c>
    </row>
    <row r="95">
      <c r="A95" t="n">
        <v>292</v>
      </c>
      <c r="B95" t="n">
        <v>99</v>
      </c>
      <c r="C95" t="n">
        <v>2</v>
      </c>
      <c r="D95" t="n">
        <v>4</v>
      </c>
      <c r="E95" t="inlineStr">
        <is>
          <t>R1 y R2 porque están conectadas en serie con la fuente</t>
        </is>
      </c>
      <c r="F95" t="inlineStr">
        <is>
          <t>Si R1 y R2 estuvieran en serie con la fuente, ¿cómo describirías la trayectoria única que la corriente eléctrica tomaría a través del circuito?</t>
        </is>
      </c>
      <c r="G95" t="n">
        <v>3</v>
      </c>
      <c r="H95" t="n">
        <v>3</v>
      </c>
      <c r="I95" t="n">
        <v>5</v>
      </c>
      <c r="J95" t="n">
        <v>5</v>
      </c>
      <c r="K95" t="n">
        <v>16</v>
      </c>
      <c r="L95" t="n">
        <v>1.078</v>
      </c>
      <c r="M95" t="n">
        <v>33</v>
      </c>
      <c r="N95" t="n">
        <v>55.65</v>
      </c>
      <c r="O95" t="inlineStr"/>
      <c r="P95" t="inlineStr">
        <is>
          <t>AC13, AC14</t>
        </is>
      </c>
      <c r="Q95" t="n">
        <v>0</v>
      </c>
      <c r="R95" t="n">
        <v>1</v>
      </c>
      <c r="S95" t="n">
        <v>0</v>
      </c>
      <c r="T95" t="inlineStr"/>
      <c r="U95" t="inlineStr"/>
      <c r="V95" t="inlineStr"/>
      <c r="W9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6">
      <c r="A96" t="n">
        <v>293</v>
      </c>
      <c r="B96" t="n">
        <v>99</v>
      </c>
      <c r="C96" t="n">
        <v>3</v>
      </c>
      <c r="D96" t="n">
        <v>4</v>
      </c>
      <c r="E96" t="inlineStr">
        <is>
          <t>No</t>
        </is>
      </c>
      <c r="F96" t="inlineStr">
        <is>
          <t>Considerando que la corriente busca el camino de menor resistencia, ¿cómo describirías el comportamiento de la corriente en un nodo donde convergen múltiples resistencias en paralelo?</t>
        </is>
      </c>
      <c r="G96" t="n">
        <v>3</v>
      </c>
      <c r="H96" t="n">
        <v>4</v>
      </c>
      <c r="I96" t="n">
        <v>2</v>
      </c>
      <c r="J96" t="n">
        <v>5</v>
      </c>
      <c r="K96" t="n">
        <v>14</v>
      </c>
      <c r="L96" t="n">
        <v>1.396</v>
      </c>
      <c r="M96" t="n">
        <v>33</v>
      </c>
      <c r="N96" t="n">
        <v>42.98</v>
      </c>
      <c r="O96" t="inlineStr">
        <is>
          <t>AC14</t>
        </is>
      </c>
      <c r="P96" t="inlineStr">
        <is>
          <t>AC13, AC14</t>
        </is>
      </c>
      <c r="Q96" t="n">
        <v>0.5</v>
      </c>
      <c r="R96" t="n">
        <v>1</v>
      </c>
      <c r="S96" t="n">
        <v>0.667</v>
      </c>
      <c r="T96" t="inlineStr"/>
      <c r="U96" t="inlineStr"/>
      <c r="V96" t="inlineStr"/>
      <c r="W9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97">
      <c r="A97" t="n">
        <v>294</v>
      </c>
      <c r="B97" t="n">
        <v>100</v>
      </c>
      <c r="C97" t="n">
        <v>1</v>
      </c>
      <c r="D97" t="n">
        <v>4</v>
      </c>
      <c r="E97" t="inlineStr">
        <is>
          <t>Sí</t>
        </is>
      </c>
      <c r="F97" t="inlineStr">
        <is>
          <t>Si el interruptor entre N1 y N2 está abierto, ¿cómo afecta esto al flujo de corriente que podría pasar a través de la resistencia R3?</t>
        </is>
      </c>
      <c r="G97" t="n">
        <v>4</v>
      </c>
      <c r="H97" t="n">
        <v>3</v>
      </c>
      <c r="I97" t="n">
        <v>2</v>
      </c>
      <c r="J97" t="n">
        <v>5</v>
      </c>
      <c r="K97" t="n">
        <v>14</v>
      </c>
      <c r="L97" t="n">
        <v>1.372</v>
      </c>
      <c r="M97" t="n">
        <v>33</v>
      </c>
      <c r="N97" t="n">
        <v>43.72</v>
      </c>
      <c r="O97" t="inlineStr">
        <is>
          <t>AC14</t>
        </is>
      </c>
      <c r="P97" t="inlineStr">
        <is>
          <t>AC1, AC13</t>
        </is>
      </c>
      <c r="Q97" t="n">
        <v>0</v>
      </c>
      <c r="R97" t="n">
        <v>0</v>
      </c>
      <c r="S97" t="n">
        <v>0</v>
      </c>
      <c r="T97" t="inlineStr"/>
      <c r="U97" t="inlineStr"/>
      <c r="V97" t="inlineStr"/>
      <c r="W97"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98">
      <c r="A98" t="n">
        <v>295</v>
      </c>
      <c r="B98" t="n">
        <v>100</v>
      </c>
      <c r="C98" t="n">
        <v>2</v>
      </c>
      <c r="D98" t="n">
        <v>4</v>
      </c>
      <c r="E98" t="inlineStr">
        <is>
          <t>R3 está en circuito abierto</t>
        </is>
      </c>
      <c r="F98" t="inlineStr">
        <is>
          <t>Si R3 está en circuito abierto, ¿qué implicaciones tiene esto para la diferencia de potencial a través de ella y, por tanto, para la corriente que la atraviesa?</t>
        </is>
      </c>
      <c r="G98" t="n">
        <v>3</v>
      </c>
      <c r="H98" t="n">
        <v>4</v>
      </c>
      <c r="I98" t="n">
        <v>3</v>
      </c>
      <c r="J98" t="n">
        <v>5</v>
      </c>
      <c r="K98" t="n">
        <v>15</v>
      </c>
      <c r="L98" t="n">
        <v>1.16</v>
      </c>
      <c r="M98" t="n">
        <v>37</v>
      </c>
      <c r="N98" t="n">
        <v>51.75</v>
      </c>
      <c r="O98" t="inlineStr">
        <is>
          <t>AC1, AC14</t>
        </is>
      </c>
      <c r="P98" t="inlineStr">
        <is>
          <t>AC1, AC13</t>
        </is>
      </c>
      <c r="Q98" t="n">
        <v>0.5</v>
      </c>
      <c r="R98" t="n">
        <v>0.5</v>
      </c>
      <c r="S98" t="n">
        <v>0.5</v>
      </c>
      <c r="T98" t="inlineStr"/>
      <c r="U98" t="inlineStr"/>
      <c r="V98" t="inlineStr"/>
      <c r="W9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99">
      <c r="A99" t="n">
        <v>296</v>
      </c>
      <c r="B99" t="n">
        <v>100</v>
      </c>
      <c r="C99" t="n">
        <v>3</v>
      </c>
      <c r="D99" t="n">
        <v>4</v>
      </c>
      <c r="E99" t="inlineStr">
        <is>
          <t>Por R3 no pasa corriente</t>
        </is>
      </c>
      <c r="F99" t="inlineStr">
        <is>
          <t>Si no fluye corriente a través de R3, ¿cómo describirías el estado de carga en el nodo conectado a un extremo de R3, considerando que no hay flujo de electrones a través de él?</t>
        </is>
      </c>
      <c r="G99" t="n">
        <v>3</v>
      </c>
      <c r="H99" t="n">
        <v>3</v>
      </c>
      <c r="I99" t="n">
        <v>3</v>
      </c>
      <c r="J99" t="n">
        <v>5</v>
      </c>
      <c r="K99" t="n">
        <v>14</v>
      </c>
      <c r="L99" t="n">
        <v>1.279</v>
      </c>
      <c r="M99" t="n">
        <v>44</v>
      </c>
      <c r="N99" t="n">
        <v>46.9</v>
      </c>
      <c r="O99" t="inlineStr">
        <is>
          <t>AC1, AC14</t>
        </is>
      </c>
      <c r="P99" t="inlineStr">
        <is>
          <t>AC13</t>
        </is>
      </c>
      <c r="Q99" t="n">
        <v>0</v>
      </c>
      <c r="R99" t="n">
        <v>0</v>
      </c>
      <c r="S99" t="n">
        <v>0</v>
      </c>
      <c r="T99" t="inlineStr"/>
      <c r="U99" t="inlineStr"/>
      <c r="V99" t="inlineStr"/>
      <c r="W9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0">
      <c r="A100" t="n">
        <v>297</v>
      </c>
      <c r="B100" t="n">
        <v>101</v>
      </c>
      <c r="C100" t="n">
        <v>1</v>
      </c>
      <c r="D100" t="n">
        <v>4</v>
      </c>
      <c r="E100" t="inlineStr">
        <is>
          <t>R1 porque está más cerca de la fuente</t>
        </is>
      </c>
      <c r="F100" t="inlineStr">
        <is>
          <t>Si el interruptor entre N1 y N2 está abierto, ¿cómo afecta esto al flujo de corriente que podría pasar a través de R3?</t>
        </is>
      </c>
      <c r="G100" t="n">
        <v>4</v>
      </c>
      <c r="H100" t="n">
        <v>3</v>
      </c>
      <c r="I100" t="n">
        <v>3</v>
      </c>
      <c r="J100" t="n">
        <v>5</v>
      </c>
      <c r="K100" t="n">
        <v>15</v>
      </c>
      <c r="L100" t="n">
        <v>1.23</v>
      </c>
      <c r="M100" t="n">
        <v>31</v>
      </c>
      <c r="N100" t="n">
        <v>48.8</v>
      </c>
      <c r="O100" t="inlineStr">
        <is>
          <t>AC14</t>
        </is>
      </c>
      <c r="P100" t="inlineStr">
        <is>
          <t>AC1, AC13</t>
        </is>
      </c>
      <c r="Q100" t="n">
        <v>0</v>
      </c>
      <c r="R100" t="n">
        <v>0</v>
      </c>
      <c r="S100" t="n">
        <v>0</v>
      </c>
      <c r="T100" t="inlineStr"/>
      <c r="U100" t="inlineStr"/>
      <c r="V100" t="inlineStr"/>
      <c r="W100"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01">
      <c r="A101" t="n">
        <v>298</v>
      </c>
      <c r="B101" t="n">
        <v>101</v>
      </c>
      <c r="C101" t="n">
        <v>2</v>
      </c>
      <c r="D101" t="n">
        <v>4</v>
      </c>
      <c r="E101" t="inlineStr">
        <is>
          <t>R1 y R2 porque están conectadas a la fuente</t>
        </is>
      </c>
      <c r="F101" t="inlineStr">
        <is>
          <t>Si R1 y R2 estuvieran conectadas directamente a la fuente, ¿cómo describirías la diferencia de potencial entre los nodos que conectan R1, R2 y R3?</t>
        </is>
      </c>
      <c r="G101" t="n">
        <v>3</v>
      </c>
      <c r="H101" t="n">
        <v>3</v>
      </c>
      <c r="I101" t="n">
        <v>5</v>
      </c>
      <c r="J101" t="n">
        <v>5</v>
      </c>
      <c r="K101" t="n">
        <v>16</v>
      </c>
      <c r="L101" t="n">
        <v>1.498</v>
      </c>
      <c r="M101" t="n">
        <v>39</v>
      </c>
      <c r="N101" t="n">
        <v>40.06</v>
      </c>
      <c r="O101" t="inlineStr"/>
      <c r="P101" t="inlineStr">
        <is>
          <t>AC13</t>
        </is>
      </c>
      <c r="Q101" t="n">
        <v>0</v>
      </c>
      <c r="R101" t="n">
        <v>1</v>
      </c>
      <c r="S101" t="n">
        <v>0</v>
      </c>
      <c r="T101" t="inlineStr"/>
      <c r="U101" t="inlineStr"/>
      <c r="V101" t="inlineStr"/>
      <c r="W10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2">
      <c r="A102" t="n">
        <v>299</v>
      </c>
      <c r="B102" t="n">
        <v>101</v>
      </c>
      <c r="C102" t="n">
        <v>3</v>
      </c>
      <c r="D102" t="n">
        <v>4</v>
      </c>
      <c r="E102" t="inlineStr">
        <is>
          <t>R1 y R3 porque están conectadas a la fuente</t>
        </is>
      </c>
      <c r="F102" t="inlineStr">
        <is>
          <t>Considerando que la corriente eléctrica busca el camino de menor resistencia, ¿cómo influye la resistencia de cada componente en la cantidad de corriente que fluye a través de él en un circuito en paralelo?</t>
        </is>
      </c>
      <c r="G102" t="n">
        <v>4</v>
      </c>
      <c r="H102" t="n">
        <v>4</v>
      </c>
      <c r="I102" t="n">
        <v>3</v>
      </c>
      <c r="J102" t="n">
        <v>5</v>
      </c>
      <c r="K102" t="n">
        <v>16</v>
      </c>
      <c r="L102" t="n">
        <v>1.324</v>
      </c>
      <c r="M102" t="n">
        <v>41</v>
      </c>
      <c r="N102" t="n">
        <v>45.32</v>
      </c>
      <c r="O102" t="inlineStr">
        <is>
          <t>AC1, AC14</t>
        </is>
      </c>
      <c r="P102" t="inlineStr">
        <is>
          <t>AC13, AC14</t>
        </is>
      </c>
      <c r="Q102" t="n">
        <v>0.5</v>
      </c>
      <c r="R102" t="n">
        <v>0.5</v>
      </c>
      <c r="S102" t="n">
        <v>0.5</v>
      </c>
      <c r="T102" t="inlineStr"/>
      <c r="U102" t="inlineStr"/>
      <c r="V102" t="inlineStr"/>
      <c r="W102"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103">
      <c r="A103" t="n">
        <v>300</v>
      </c>
      <c r="B103" t="n">
        <v>102</v>
      </c>
      <c r="C103" t="n">
        <v>1</v>
      </c>
      <c r="D103" t="n">
        <v>4</v>
      </c>
      <c r="E103" t="inlineStr">
        <is>
          <t>R2 porque está conectada directamente a la fuente</t>
        </is>
      </c>
      <c r="F103" t="inlineStr">
        <is>
          <t>Si R2 fuera la única resistencia que determinara la corriente, ¿cómo explicarías que exista un camino alternativo para que la corriente fluya desde la fuente V1, considerando el estado del interruptor entre N1 y N2?</t>
        </is>
      </c>
      <c r="G103" t="n">
        <v>3</v>
      </c>
      <c r="H103" t="n">
        <v>3</v>
      </c>
      <c r="I103" t="n">
        <v>4</v>
      </c>
      <c r="J103" t="n">
        <v>5</v>
      </c>
      <c r="K103" t="n">
        <v>15</v>
      </c>
      <c r="L103" t="n">
        <v>1.625</v>
      </c>
      <c r="M103" t="n">
        <v>49</v>
      </c>
      <c r="N103" t="n">
        <v>36.93</v>
      </c>
      <c r="O103" t="inlineStr">
        <is>
          <t>AC14</t>
        </is>
      </c>
      <c r="P103" t="inlineStr">
        <is>
          <t>AC1, AC13</t>
        </is>
      </c>
      <c r="Q103" t="n">
        <v>0</v>
      </c>
      <c r="R103" t="n">
        <v>0</v>
      </c>
      <c r="S103" t="n">
        <v>0</v>
      </c>
      <c r="T103" t="inlineStr"/>
      <c r="U103" t="inlineStr"/>
      <c r="V103" t="inlineStr"/>
      <c r="W10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4">
      <c r="A104" t="n">
        <v>301</v>
      </c>
      <c r="B104" t="n">
        <v>102</v>
      </c>
      <c r="C104" t="n">
        <v>2</v>
      </c>
      <c r="D104" t="n">
        <v>4</v>
      </c>
      <c r="E104" t="inlineStr">
        <is>
          <t>R2 porque está más cerca del nodo común</t>
        </is>
      </c>
      <c r="F104" t="inlineStr">
        <is>
          <t>Si la proximidad física a un nodo influyera directamente en la corriente, ¿cómo explicarías que la resistencia de R1 y R3 no jueguen un papel en la distribución de corriente en el circuito completo?</t>
        </is>
      </c>
      <c r="G104" t="n">
        <v>5</v>
      </c>
      <c r="H104" t="n">
        <v>3</v>
      </c>
      <c r="I104" t="n">
        <v>2</v>
      </c>
      <c r="J104" t="n">
        <v>5</v>
      </c>
      <c r="K104" t="n">
        <v>15</v>
      </c>
      <c r="L104" t="n">
        <v>1.401</v>
      </c>
      <c r="M104" t="n">
        <v>46</v>
      </c>
      <c r="N104" t="n">
        <v>42.84</v>
      </c>
      <c r="O104" t="inlineStr">
        <is>
          <t>AC14</t>
        </is>
      </c>
      <c r="P104" t="inlineStr">
        <is>
          <t>AC13</t>
        </is>
      </c>
      <c r="Q104" t="n">
        <v>0</v>
      </c>
      <c r="R104" t="n">
        <v>0</v>
      </c>
      <c r="S104" t="n">
        <v>0</v>
      </c>
      <c r="T104" t="inlineStr"/>
      <c r="U104" t="inlineStr"/>
      <c r="V104" t="inlineStr"/>
      <c r="W104" t="inlineStr">
        <is>
          <t>Socratic quality 5/5 (Induction to contradiction): Induction to contradiction: uses counterexample or reduction to absurdity. Conceptual precision 3/5 (Sufficient): Sufficient: identifies that there is an error and uses correct concepts, but the diagnosis is somewhat vague. Good overall performance; room for improvement in socratic depth.</t>
        </is>
      </c>
    </row>
    <row r="105">
      <c r="A105" t="n">
        <v>302</v>
      </c>
      <c r="B105" t="n">
        <v>102</v>
      </c>
      <c r="C105" t="n">
        <v>3</v>
      </c>
      <c r="D105" t="n">
        <v>4</v>
      </c>
      <c r="E105" t="inlineStr">
        <is>
          <t>R2 y R3 porque están en paralelo.</t>
        </is>
      </c>
      <c r="F105" t="inlineStr">
        <is>
          <t>Si R2 y R3 estuvieran realmente en paralelo, ¿cómo afectaría esto la resistencia total equivalente vista por la fuente de voltaje V1, y cómo se relacionaría con la corriente total que fluye desde la fuente?</t>
        </is>
      </c>
      <c r="G105" t="n">
        <v>3</v>
      </c>
      <c r="H105" t="n">
        <v>4</v>
      </c>
      <c r="I105" t="n">
        <v>3</v>
      </c>
      <c r="J105" t="n">
        <v>5</v>
      </c>
      <c r="K105" t="n">
        <v>15</v>
      </c>
      <c r="L105" t="n">
        <v>1.386</v>
      </c>
      <c r="M105" t="n">
        <v>47</v>
      </c>
      <c r="N105" t="n">
        <v>43.3</v>
      </c>
      <c r="O105" t="inlineStr">
        <is>
          <t>AC1, AC14</t>
        </is>
      </c>
      <c r="P105" t="inlineStr">
        <is>
          <t>AC13, AC14</t>
        </is>
      </c>
      <c r="Q105" t="n">
        <v>0.5</v>
      </c>
      <c r="R105" t="n">
        <v>0.5</v>
      </c>
      <c r="S105" t="n">
        <v>0.5</v>
      </c>
      <c r="T105" t="inlineStr"/>
      <c r="U105" t="inlineStr"/>
      <c r="V105" t="inlineStr"/>
      <c r="W10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06">
      <c r="A106" t="n">
        <v>303</v>
      </c>
      <c r="B106" t="n">
        <v>103</v>
      </c>
      <c r="C106" t="n">
        <v>1</v>
      </c>
      <c r="D106" t="n">
        <v>4</v>
      </c>
      <c r="E106" t="inlineStr">
        <is>
          <t>R3 porque está más cerca del nodo N1</t>
        </is>
      </c>
      <c r="F106" t="inlineStr">
        <is>
          <t>Si el interruptor entre N1 y N2 está abierto, ¿cómo afecta esto al flujo de corriente que podría pasar a través de R3?</t>
        </is>
      </c>
      <c r="G106" t="n">
        <v>4</v>
      </c>
      <c r="H106" t="n">
        <v>3</v>
      </c>
      <c r="I106" t="n">
        <v>5</v>
      </c>
      <c r="J106" t="n">
        <v>5</v>
      </c>
      <c r="K106" t="n">
        <v>17</v>
      </c>
      <c r="L106" t="n">
        <v>1.258</v>
      </c>
      <c r="M106" t="n">
        <v>31</v>
      </c>
      <c r="N106" t="n">
        <v>47.69</v>
      </c>
      <c r="O106" t="inlineStr">
        <is>
          <t>AC1, AC14</t>
        </is>
      </c>
      <c r="P106" t="inlineStr">
        <is>
          <t>AC1, AC13</t>
        </is>
      </c>
      <c r="Q106" t="n">
        <v>0.5</v>
      </c>
      <c r="R106" t="n">
        <v>0.5</v>
      </c>
      <c r="S106" t="n">
        <v>0.5</v>
      </c>
      <c r="T106" t="inlineStr"/>
      <c r="U106" t="inlineStr"/>
      <c r="V106" t="inlineStr"/>
      <c r="W106"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High-performing tutor: expert socratic guidance with precise diagnosis.</t>
        </is>
      </c>
    </row>
    <row r="107">
      <c r="A107" t="n">
        <v>304</v>
      </c>
      <c r="B107" t="n">
        <v>103</v>
      </c>
      <c r="C107" t="n">
        <v>2</v>
      </c>
      <c r="D107" t="n">
        <v>4</v>
      </c>
      <c r="E107" t="inlineStr">
        <is>
          <t>Depende de todas las resistencias porque todas están en el circuito</t>
        </is>
      </c>
      <c r="F107" t="inlineStr">
        <is>
          <t>Si consideras que el interruptor está abierto, ¿cómo describirías la relación entre R3 y el resto del circuito en términos de caminos para el flujo de corriente?</t>
        </is>
      </c>
      <c r="G107" t="n">
        <v>3</v>
      </c>
      <c r="H107" t="n">
        <v>3</v>
      </c>
      <c r="I107" t="n">
        <v>4</v>
      </c>
      <c r="J107" t="n">
        <v>5</v>
      </c>
      <c r="K107" t="n">
        <v>15</v>
      </c>
      <c r="L107" t="n">
        <v>1.139</v>
      </c>
      <c r="M107" t="n">
        <v>35</v>
      </c>
      <c r="N107" t="n">
        <v>52.66</v>
      </c>
      <c r="O107" t="inlineStr">
        <is>
          <t>AC14</t>
        </is>
      </c>
      <c r="P107" t="inlineStr">
        <is>
          <t>AC1, AC13</t>
        </is>
      </c>
      <c r="Q107" t="n">
        <v>0</v>
      </c>
      <c r="R107" t="n">
        <v>0</v>
      </c>
      <c r="S107" t="n">
        <v>0</v>
      </c>
      <c r="T107" t="inlineStr"/>
      <c r="U107" t="inlineStr"/>
      <c r="V107" t="inlineStr"/>
      <c r="W10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8">
      <c r="A108" t="n">
        <v>305</v>
      </c>
      <c r="B108" t="n">
        <v>103</v>
      </c>
      <c r="C108" t="n">
        <v>3</v>
      </c>
      <c r="D108" t="n">
        <v>4</v>
      </c>
      <c r="E108" t="inlineStr">
        <is>
          <t>R2 porque está en serie con la fuente</t>
        </is>
      </c>
      <c r="F108" t="inlineStr">
        <is>
          <t>Si R2 estuviera en serie con la fuente, ¿cómo afectaría esto a la corriente que fluye a través de R1 y R3, considerando que el interruptor está abierto?</t>
        </is>
      </c>
      <c r="G108" t="n">
        <v>3</v>
      </c>
      <c r="H108" t="n">
        <v>4</v>
      </c>
      <c r="I108" t="n">
        <v>5</v>
      </c>
      <c r="J108" t="n">
        <v>5</v>
      </c>
      <c r="K108" t="n">
        <v>17</v>
      </c>
      <c r="L108" t="n">
        <v>1.254</v>
      </c>
      <c r="M108" t="n">
        <v>40</v>
      </c>
      <c r="N108" t="n">
        <v>47.83</v>
      </c>
      <c r="O108" t="inlineStr">
        <is>
          <t>AC14</t>
        </is>
      </c>
      <c r="P108" t="inlineStr">
        <is>
          <t>AC1, AC13, AC14</t>
        </is>
      </c>
      <c r="Q108" t="n">
        <v>0.333</v>
      </c>
      <c r="R108" t="n">
        <v>1</v>
      </c>
      <c r="S108" t="n">
        <v>0.5</v>
      </c>
      <c r="T108" t="inlineStr"/>
      <c r="U108" t="inlineStr"/>
      <c r="V108" t="inlineStr"/>
      <c r="W108"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109">
      <c r="A109" t="n">
        <v>306</v>
      </c>
      <c r="B109" t="n">
        <v>104</v>
      </c>
      <c r="C109" t="n">
        <v>1</v>
      </c>
      <c r="D109" t="n">
        <v>4</v>
      </c>
      <c r="E109" t="inlineStr">
        <is>
          <t>R2 y R3 porque están conectadas directamente al nodo N1</t>
        </is>
      </c>
      <c r="F109" t="inlineStr">
        <is>
          <t>Si el interruptor entre N1 y N2 está abierto, ¿cómo podría la corriente fluir a través de R3 y regresar al nodo de referencia de la fuente V1?</t>
        </is>
      </c>
      <c r="G109" t="n">
        <v>3</v>
      </c>
      <c r="H109" t="n">
        <v>4</v>
      </c>
      <c r="I109" t="n">
        <v>4</v>
      </c>
      <c r="J109" t="n">
        <v>5</v>
      </c>
      <c r="K109" t="n">
        <v>16</v>
      </c>
      <c r="L109" t="n">
        <v>1.456</v>
      </c>
      <c r="M109" t="n">
        <v>38</v>
      </c>
      <c r="N109" t="n">
        <v>41.21</v>
      </c>
      <c r="O109" t="inlineStr">
        <is>
          <t>AC1, AC14</t>
        </is>
      </c>
      <c r="P109" t="inlineStr">
        <is>
          <t>AC1, AC13</t>
        </is>
      </c>
      <c r="Q109" t="n">
        <v>0.5</v>
      </c>
      <c r="R109" t="n">
        <v>0.5</v>
      </c>
      <c r="S109" t="n">
        <v>0.5</v>
      </c>
      <c r="T109" t="inlineStr"/>
      <c r="U109" t="inlineStr"/>
      <c r="V109" t="inlineStr"/>
      <c r="W10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10">
      <c r="A110" t="n">
        <v>307</v>
      </c>
      <c r="B110" t="n">
        <v>104</v>
      </c>
      <c r="C110" t="n">
        <v>2</v>
      </c>
      <c r="D110" t="n">
        <v>4</v>
      </c>
      <c r="E110" t="inlineStr">
        <is>
          <t>R1 porque está conectada directamente al nodo N1</t>
        </is>
      </c>
      <c r="F110" t="inlineStr">
        <is>
          <t>Si R1 estuviera conectada directamente a N1, ¿cómo afectaría esto la diferencia de potencial a través de R2 y R3 en relación con el nodo N1?</t>
        </is>
      </c>
      <c r="G110" t="n">
        <v>3</v>
      </c>
      <c r="H110" t="n">
        <v>3</v>
      </c>
      <c r="I110" t="n">
        <v>5</v>
      </c>
      <c r="J110" t="n">
        <v>5</v>
      </c>
      <c r="K110" t="n">
        <v>16</v>
      </c>
      <c r="L110" t="n">
        <v>1.229</v>
      </c>
      <c r="M110" t="n">
        <v>38</v>
      </c>
      <c r="N110" t="n">
        <v>48.81</v>
      </c>
      <c r="O110" t="inlineStr">
        <is>
          <t>AC14</t>
        </is>
      </c>
      <c r="P110" t="inlineStr">
        <is>
          <t>AC13</t>
        </is>
      </c>
      <c r="Q110" t="n">
        <v>0</v>
      </c>
      <c r="R110" t="n">
        <v>0</v>
      </c>
      <c r="S110" t="n">
        <v>0</v>
      </c>
      <c r="T110" t="inlineStr"/>
      <c r="U110" t="inlineStr"/>
      <c r="V110" t="inlineStr"/>
      <c r="W11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11">
      <c r="A111" t="n">
        <v>308</v>
      </c>
      <c r="B111" t="n">
        <v>104</v>
      </c>
      <c r="C111" t="n">
        <v>3</v>
      </c>
      <c r="D111" t="n">
        <v>4</v>
      </c>
      <c r="E111" t="inlineStr">
        <is>
          <t>R1 y R3 porque están en paralelo</t>
        </is>
      </c>
      <c r="F111" t="inlineStr">
        <is>
          <t>Si dos resistencias están en paralelo, ¿cómo se compara la resistencia equivalente del circuito con el valor de la resistencia más pequeña en ese paralelo?</t>
        </is>
      </c>
      <c r="G111" t="n">
        <v>3</v>
      </c>
      <c r="H111" t="n">
        <v>3</v>
      </c>
      <c r="I111" t="n">
        <v>3</v>
      </c>
      <c r="J111" t="n">
        <v>5</v>
      </c>
      <c r="K111" t="n">
        <v>14</v>
      </c>
      <c r="L111" t="n">
        <v>1.097</v>
      </c>
      <c r="M111" t="n">
        <v>29</v>
      </c>
      <c r="N111" t="n">
        <v>54.71</v>
      </c>
      <c r="O111" t="inlineStr">
        <is>
          <t>AC1, AC14</t>
        </is>
      </c>
      <c r="P111" t="inlineStr">
        <is>
          <t>AC14</t>
        </is>
      </c>
      <c r="Q111" t="n">
        <v>1</v>
      </c>
      <c r="R111" t="n">
        <v>0.5</v>
      </c>
      <c r="S111" t="n">
        <v>0.667</v>
      </c>
      <c r="T111" t="inlineStr"/>
      <c r="U111" t="inlineStr"/>
      <c r="V111" t="inlineStr"/>
      <c r="W11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12">
      <c r="A112" t="n">
        <v>309</v>
      </c>
      <c r="B112" t="n">
        <v>105</v>
      </c>
      <c r="C112" t="n">
        <v>1</v>
      </c>
      <c r="D112" t="n">
        <v>4</v>
      </c>
      <c r="E112" t="inlineStr">
        <is>
          <t>R3 porque está más lejos de la fuente.</t>
        </is>
      </c>
      <c r="F112" t="inlineStr">
        <is>
          <t>Si el interruptor entre N1 y N2 está abierto, ¿cómo afectaría esto al flujo de corriente que intentaría pasar a través de R3?</t>
        </is>
      </c>
      <c r="G112" t="n">
        <v>3</v>
      </c>
      <c r="H112" t="n">
        <v>3</v>
      </c>
      <c r="I112" t="n">
        <v>5</v>
      </c>
      <c r="J112" t="n">
        <v>5</v>
      </c>
      <c r="K112" t="n">
        <v>16</v>
      </c>
      <c r="L112" t="n">
        <v>1.304</v>
      </c>
      <c r="M112" t="n">
        <v>33</v>
      </c>
      <c r="N112" t="n">
        <v>46.01</v>
      </c>
      <c r="O112" t="inlineStr">
        <is>
          <t>AC1, AC14</t>
        </is>
      </c>
      <c r="P112" t="inlineStr">
        <is>
          <t>AC1, AC13</t>
        </is>
      </c>
      <c r="Q112" t="n">
        <v>0.5</v>
      </c>
      <c r="R112" t="n">
        <v>0.5</v>
      </c>
      <c r="S112" t="n">
        <v>0.5</v>
      </c>
      <c r="T112" t="inlineStr"/>
      <c r="U112" t="inlineStr"/>
      <c r="V112" t="inlineStr"/>
      <c r="W11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13">
      <c r="A113" t="n">
        <v>310</v>
      </c>
      <c r="B113" t="n">
        <v>105</v>
      </c>
      <c r="C113" t="n">
        <v>2</v>
      </c>
      <c r="D113" t="n">
        <v>4</v>
      </c>
      <c r="E113" t="inlineStr">
        <is>
          <t>Depende de todas porque todas tienen resistencia</t>
        </is>
      </c>
      <c r="F113" t="inlineStr">
        <is>
          <t>Si todas las resistencias estuvieran conectadas en serie, ¿cómo cambiaría la corriente que fluye a través de cada una al aumentar la resistencia total del circuito?</t>
        </is>
      </c>
      <c r="G113" t="n">
        <v>3</v>
      </c>
      <c r="H113" t="n">
        <v>4</v>
      </c>
      <c r="I113" t="n">
        <v>4</v>
      </c>
      <c r="J113" t="n">
        <v>5</v>
      </c>
      <c r="K113" t="n">
        <v>16</v>
      </c>
      <c r="L113" t="n">
        <v>1.157</v>
      </c>
      <c r="M113" t="n">
        <v>34</v>
      </c>
      <c r="N113" t="n">
        <v>51.87</v>
      </c>
      <c r="O113" t="inlineStr">
        <is>
          <t>AC14</t>
        </is>
      </c>
      <c r="P113" t="inlineStr">
        <is>
          <t>AC13, AC14</t>
        </is>
      </c>
      <c r="Q113" t="n">
        <v>0.5</v>
      </c>
      <c r="R113" t="n">
        <v>1</v>
      </c>
      <c r="S113" t="n">
        <v>0.667</v>
      </c>
      <c r="T113" t="inlineStr"/>
      <c r="U113" t="inlineStr"/>
      <c r="V113" t="inlineStr"/>
      <c r="W113"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14">
      <c r="A114" t="n">
        <v>311</v>
      </c>
      <c r="B114" t="n">
        <v>105</v>
      </c>
      <c r="C114" t="n">
        <v>3</v>
      </c>
      <c r="D114" t="n">
        <v>4</v>
      </c>
      <c r="E114" t="inlineStr">
        <is>
          <t>Depende de R1 y R2 porque son las más importantes</t>
        </is>
      </c>
      <c r="F114" t="inlineStr">
        <is>
          <t>Considerando que la corriente siempre busca el camino de menor resistencia, ¿cómo afectaría la presencia de R1 y R2 al flujo de corriente a través de R3 en un circuito en paralelo?</t>
        </is>
      </c>
      <c r="G114" t="n">
        <v>3</v>
      </c>
      <c r="H114" t="n">
        <v>4</v>
      </c>
      <c r="I114" t="n">
        <v>5</v>
      </c>
      <c r="J114" t="n">
        <v>5</v>
      </c>
      <c r="K114" t="n">
        <v>17</v>
      </c>
      <c r="L114" t="n">
        <v>1.291</v>
      </c>
      <c r="M114" t="n">
        <v>41</v>
      </c>
      <c r="N114" t="n">
        <v>46.46</v>
      </c>
      <c r="O114" t="inlineStr"/>
      <c r="P114" t="inlineStr">
        <is>
          <t>AC13, AC14</t>
        </is>
      </c>
      <c r="Q114" t="n">
        <v>0</v>
      </c>
      <c r="R114" t="n">
        <v>1</v>
      </c>
      <c r="S114" t="n">
        <v>0</v>
      </c>
      <c r="T114" t="inlineStr"/>
      <c r="U114" t="inlineStr"/>
      <c r="V114" t="inlineStr"/>
      <c r="W114"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115">
      <c r="A115" t="n">
        <v>312</v>
      </c>
      <c r="B115" t="n">
        <v>106</v>
      </c>
      <c r="C115" t="n">
        <v>1</v>
      </c>
      <c r="D115" t="n">
        <v>5</v>
      </c>
      <c r="E115" t="inlineStr">
        <is>
          <t>R1 y R2 porque están conectadas en serie con la fuente</t>
        </is>
      </c>
      <c r="F115" t="inlineStr">
        <is>
          <t>Considerando que el interruptor entre N3 y N4 está abierto, ¿cómo afecta esto al flujo de corriente a través de cualquier componente conectado a ese nodo?</t>
        </is>
      </c>
      <c r="G115" t="n">
        <v>4</v>
      </c>
      <c r="H115" t="n">
        <v>3</v>
      </c>
      <c r="I115" t="n">
        <v>3</v>
      </c>
      <c r="J115" t="n">
        <v>5</v>
      </c>
      <c r="K115" t="n">
        <v>15</v>
      </c>
      <c r="L115" t="n">
        <v>1.322</v>
      </c>
      <c r="M115" t="n">
        <v>34</v>
      </c>
      <c r="N115" t="n">
        <v>45.37</v>
      </c>
      <c r="O115" t="inlineStr">
        <is>
          <t>AC14</t>
        </is>
      </c>
      <c r="P115" t="inlineStr">
        <is>
          <t>AC1</t>
        </is>
      </c>
      <c r="Q115" t="n">
        <v>0</v>
      </c>
      <c r="R115" t="n">
        <v>0</v>
      </c>
      <c r="S115" t="n">
        <v>0</v>
      </c>
      <c r="T115" t="inlineStr"/>
      <c r="U115" t="inlineStr"/>
      <c r="V115" t="inlineStr"/>
      <c r="W115"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16">
      <c r="A116" t="n">
        <v>313</v>
      </c>
      <c r="B116" t="n">
        <v>106</v>
      </c>
      <c r="C116" t="n">
        <v>2</v>
      </c>
      <c r="D116" t="n">
        <v>5</v>
      </c>
      <c r="E116" t="inlineStr">
        <is>
          <t>R1 y R2 porque están conectadas en paralelo con la fuente</t>
        </is>
      </c>
      <c r="F116" t="inlineStr">
        <is>
          <t>Si R1 y R2 estuvieran realmente en paralelo con la fuente, ¿cómo describirías la diferencia en el camino que la corriente tomaría a través de cada resistencia en comparación con una conexión en serie?</t>
        </is>
      </c>
      <c r="G116" t="n">
        <v>3</v>
      </c>
      <c r="H116" t="n">
        <v>4</v>
      </c>
      <c r="I116" t="n">
        <v>5</v>
      </c>
      <c r="J116" t="n">
        <v>5</v>
      </c>
      <c r="K116" t="n">
        <v>17</v>
      </c>
      <c r="L116" t="n">
        <v>1.322</v>
      </c>
      <c r="M116" t="n">
        <v>43</v>
      </c>
      <c r="N116" t="n">
        <v>45.37</v>
      </c>
      <c r="O116" t="inlineStr">
        <is>
          <t>AC14</t>
        </is>
      </c>
      <c r="P116" t="inlineStr">
        <is>
          <t>AC13, AC14</t>
        </is>
      </c>
      <c r="Q116" t="n">
        <v>0.5</v>
      </c>
      <c r="R116" t="n">
        <v>1</v>
      </c>
      <c r="S116" t="n">
        <v>0.667</v>
      </c>
      <c r="T116" t="inlineStr"/>
      <c r="U116" t="inlineStr"/>
      <c r="V116" t="inlineStr"/>
      <c r="W116"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117">
      <c r="A117" t="n">
        <v>314</v>
      </c>
      <c r="B117" t="n">
        <v>106</v>
      </c>
      <c r="C117" t="n">
        <v>3</v>
      </c>
      <c r="D117" t="n">
        <v>5</v>
      </c>
      <c r="E117" t="inlineStr">
        <is>
          <t>R1, R2, y R4 porque están conectadas en serie con la fuente</t>
        </is>
      </c>
      <c r="F117" t="inlineStr">
        <is>
          <t>Si trazaras el camino de la corriente desde el terminal positivo de la fuente, pasando por R1, R2 y R4, ¿podrías identificar algún nodo donde la corriente tenga múltiples caminos posibles para continuar?</t>
        </is>
      </c>
      <c r="G117" t="n">
        <v>3</v>
      </c>
      <c r="H117" t="n">
        <v>4</v>
      </c>
      <c r="I117" t="n">
        <v>5</v>
      </c>
      <c r="J117" t="n">
        <v>5</v>
      </c>
      <c r="K117" t="n">
        <v>17</v>
      </c>
      <c r="L117" t="n">
        <v>1.393</v>
      </c>
      <c r="M117" t="n">
        <v>45</v>
      </c>
      <c r="N117" t="n">
        <v>43.07</v>
      </c>
      <c r="O117" t="inlineStr"/>
      <c r="P117" t="inlineStr">
        <is>
          <t>AC13</t>
        </is>
      </c>
      <c r="Q117" t="n">
        <v>0</v>
      </c>
      <c r="R117" t="n">
        <v>1</v>
      </c>
      <c r="S117" t="n">
        <v>0</v>
      </c>
      <c r="T117" t="inlineStr"/>
      <c r="U117" t="inlineStr"/>
      <c r="V117" t="inlineStr"/>
      <c r="W117"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118">
      <c r="A118" t="n">
        <v>315</v>
      </c>
      <c r="B118" t="n">
        <v>107</v>
      </c>
      <c r="C118" t="n">
        <v>1</v>
      </c>
      <c r="D118" t="n">
        <v>5</v>
      </c>
      <c r="E118" t="inlineStr">
        <is>
          <t>R1, R2 y R4 porque por R3 no pasa corriente</t>
        </is>
      </c>
      <c r="F118" t="inlineStr">
        <is>
          <t>Si el interruptor entre N3 y N4 está abierto, ¿cómo afecta esto al flujo de corriente a través de la rama que contiene a R3?</t>
        </is>
      </c>
      <c r="G118" t="n">
        <v>4</v>
      </c>
      <c r="H118" t="n">
        <v>5</v>
      </c>
      <c r="I118" t="n">
        <v>3</v>
      </c>
      <c r="J118" t="n">
        <v>5</v>
      </c>
      <c r="K118" t="n">
        <v>17</v>
      </c>
      <c r="L118" t="n">
        <v>1.276</v>
      </c>
      <c r="M118" t="n">
        <v>33</v>
      </c>
      <c r="N118" t="n">
        <v>47</v>
      </c>
      <c r="O118" t="inlineStr">
        <is>
          <t>AC1</t>
        </is>
      </c>
      <c r="P118" t="inlineStr">
        <is>
          <t>AC1</t>
        </is>
      </c>
      <c r="Q118" t="n">
        <v>1</v>
      </c>
      <c r="R118" t="n">
        <v>1</v>
      </c>
      <c r="S118" t="n">
        <v>1</v>
      </c>
      <c r="T118" t="inlineStr"/>
      <c r="U118" t="inlineStr"/>
      <c r="V118" t="inlineStr"/>
      <c r="W118" t="inlineStr">
        <is>
          <t>Socratic quality 4/5 (Scaffolding for detection): Scaffolding for detection: identifies the error area and asks a question that confronts the theory. Conceptual precision 5/5 (Excellent): Excellent: identifies the specific alternative conception and connects it with the circuit topology. High-performing tutor: expert socratic guidance with precise diagnosis.</t>
        </is>
      </c>
    </row>
    <row r="119">
      <c r="A119" t="n">
        <v>316</v>
      </c>
      <c r="B119" t="n">
        <v>107</v>
      </c>
      <c r="C119" t="n">
        <v>2</v>
      </c>
      <c r="D119" t="n">
        <v>5</v>
      </c>
      <c r="E119" t="inlineStr">
        <is>
          <t>R1, R2 y R4 porque R3 está en circuito abierto</t>
        </is>
      </c>
      <c r="F119" t="inlineStr">
        <is>
          <t>Si R3 está en circuito abierto, ¿cómo describirías la diferencia de potencial entre sus terminales y cómo impacta esto en la corriente que podría fluir a través de él?</t>
        </is>
      </c>
      <c r="G119" t="n">
        <v>3</v>
      </c>
      <c r="H119" t="n">
        <v>4</v>
      </c>
      <c r="I119" t="n">
        <v>3</v>
      </c>
      <c r="J119" t="n">
        <v>5</v>
      </c>
      <c r="K119" t="n">
        <v>15</v>
      </c>
      <c r="L119" t="n">
        <v>1.226</v>
      </c>
      <c r="M119" t="n">
        <v>38</v>
      </c>
      <c r="N119" t="n">
        <v>48.95</v>
      </c>
      <c r="O119" t="inlineStr">
        <is>
          <t>AC1</t>
        </is>
      </c>
      <c r="P119" t="inlineStr">
        <is>
          <t>AC1, AC13, AC14</t>
        </is>
      </c>
      <c r="Q119" t="n">
        <v>0.333</v>
      </c>
      <c r="R119" t="n">
        <v>1</v>
      </c>
      <c r="S119" t="n">
        <v>0.5</v>
      </c>
      <c r="T119" t="inlineStr"/>
      <c r="U119" t="inlineStr"/>
      <c r="V119" t="inlineStr"/>
      <c r="W11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0">
      <c r="A120" t="n">
        <v>317</v>
      </c>
      <c r="B120" t="n">
        <v>107</v>
      </c>
      <c r="C120" t="n">
        <v>3</v>
      </c>
      <c r="D120" t="n">
        <v>5</v>
      </c>
      <c r="E120" t="inlineStr">
        <is>
          <t>R1, R2, R3 y R4 porque son las resistencias que forman parte del circuito</t>
        </is>
      </c>
      <c r="F120" t="inlineStr">
        <is>
          <t>Considerando que la corriente eléctrica busca el camino de menor resistencia, ¿cómo describirías el rol de cada componente (resistencias, fuente de voltaje, interruptor) en la determinación de ese camino en este circuito?</t>
        </is>
      </c>
      <c r="G120" t="n">
        <v>3</v>
      </c>
      <c r="H120" t="n">
        <v>4</v>
      </c>
      <c r="I120" t="n">
        <v>3</v>
      </c>
      <c r="J120" t="n">
        <v>5</v>
      </c>
      <c r="K120" t="n">
        <v>15</v>
      </c>
      <c r="L120" t="n">
        <v>1.28</v>
      </c>
      <c r="M120" t="n">
        <v>44</v>
      </c>
      <c r="N120" t="n">
        <v>46.86</v>
      </c>
      <c r="O120" t="inlineStr">
        <is>
          <t>AC1</t>
        </is>
      </c>
      <c r="P120" t="inlineStr">
        <is>
          <t>AC1, AC13, AC14</t>
        </is>
      </c>
      <c r="Q120" t="n">
        <v>0.333</v>
      </c>
      <c r="R120" t="n">
        <v>1</v>
      </c>
      <c r="S120" t="n">
        <v>0.5</v>
      </c>
      <c r="T120" t="inlineStr"/>
      <c r="U120" t="inlineStr"/>
      <c r="V120" t="inlineStr"/>
      <c r="W12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1">
      <c r="A121" t="n">
        <v>318</v>
      </c>
      <c r="B121" t="n">
        <v>108</v>
      </c>
      <c r="C121" t="n">
        <v>1</v>
      </c>
      <c r="D121" t="n">
        <v>5</v>
      </c>
      <c r="E121" t="inlineStr">
        <is>
          <t>R1, R2, R3 y R4 porque todas están conectadas al circuito</t>
        </is>
      </c>
      <c r="F121" t="inlineStr">
        <is>
          <t>Si el interruptor entre N3 y N4 está abierto, ¿la corriente puede fluir a través de todos los componentes conectados a esos nodos?</t>
        </is>
      </c>
      <c r="G121" t="n">
        <v>3</v>
      </c>
      <c r="H121" t="n">
        <v>4</v>
      </c>
      <c r="I121" t="n">
        <v>3</v>
      </c>
      <c r="J121" t="n">
        <v>5</v>
      </c>
      <c r="K121" t="n">
        <v>15</v>
      </c>
      <c r="L121" t="n">
        <v>1.241</v>
      </c>
      <c r="M121" t="n">
        <v>31</v>
      </c>
      <c r="N121" t="n">
        <v>48.34</v>
      </c>
      <c r="O121" t="inlineStr">
        <is>
          <t>AC1</t>
        </is>
      </c>
      <c r="P121" t="inlineStr">
        <is>
          <t>AC1</t>
        </is>
      </c>
      <c r="Q121" t="n">
        <v>1</v>
      </c>
      <c r="R121" t="n">
        <v>1</v>
      </c>
      <c r="S121" t="n">
        <v>1</v>
      </c>
      <c r="T121" t="inlineStr"/>
      <c r="U121" t="inlineStr"/>
      <c r="V121" t="inlineStr"/>
      <c r="W12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2">
      <c r="A122" t="n">
        <v>319</v>
      </c>
      <c r="B122" t="n">
        <v>108</v>
      </c>
      <c r="C122" t="n">
        <v>2</v>
      </c>
      <c r="D122" t="n">
        <v>5</v>
      </c>
      <c r="E122" t="inlineStr">
        <is>
          <t>R3 porque R1 y R2 se pueden despreciar al estar en serie con la fuente</t>
        </is>
      </c>
      <c r="F122" t="inlineStr">
        <is>
          <t>Si R1 y R2 están en serie con la fuente, ¿cómo afectaría la ausencia de corriente en esos resistores al potencial en el nodo N3 en comparación con el nodo N4?</t>
        </is>
      </c>
      <c r="G122" t="n">
        <v>3</v>
      </c>
      <c r="H122" t="n">
        <v>4</v>
      </c>
      <c r="I122" t="n">
        <v>4</v>
      </c>
      <c r="J122" t="n">
        <v>5</v>
      </c>
      <c r="K122" t="n">
        <v>16</v>
      </c>
      <c r="L122" t="n">
        <v>1.241</v>
      </c>
      <c r="M122" t="n">
        <v>41</v>
      </c>
      <c r="N122" t="n">
        <v>48.33</v>
      </c>
      <c r="O122" t="inlineStr">
        <is>
          <t>AC1, AC14</t>
        </is>
      </c>
      <c r="P122" t="inlineStr">
        <is>
          <t>AC13, AC14</t>
        </is>
      </c>
      <c r="Q122" t="n">
        <v>0.5</v>
      </c>
      <c r="R122" t="n">
        <v>0.5</v>
      </c>
      <c r="S122" t="n">
        <v>0.5</v>
      </c>
      <c r="T122" t="inlineStr"/>
      <c r="U122" t="inlineStr"/>
      <c r="V122" t="inlineStr"/>
      <c r="W12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3">
      <c r="A123" t="n">
        <v>320</v>
      </c>
      <c r="B123" t="n">
        <v>108</v>
      </c>
      <c r="C123" t="n">
        <v>3</v>
      </c>
      <c r="D123" t="n">
        <v>5</v>
      </c>
      <c r="E123" t="inlineStr">
        <is>
          <t>R1 y R2 porque R3 está en circuito abierto y R4 está en paralelo con la fuente</t>
        </is>
      </c>
      <c r="F123" t="inlineStr">
        <is>
          <t>Si R3 está en circuito abierto, ¿cómo describirías la trayectoria de la corriente desde la fuente a través de R4, considerando que un circuito en paralelo ofrece múltiples caminos para el flujo de corriente?</t>
        </is>
      </c>
      <c r="G123" t="n">
        <v>3</v>
      </c>
      <c r="H123" t="n">
        <v>4</v>
      </c>
      <c r="I123" t="n">
        <v>4</v>
      </c>
      <c r="J123" t="n">
        <v>5</v>
      </c>
      <c r="K123" t="n">
        <v>16</v>
      </c>
      <c r="L123" t="n">
        <v>1.262</v>
      </c>
      <c r="M123" t="n">
        <v>42</v>
      </c>
      <c r="N123" t="n">
        <v>47.53</v>
      </c>
      <c r="O123" t="inlineStr">
        <is>
          <t>AC1</t>
        </is>
      </c>
      <c r="P123" t="inlineStr">
        <is>
          <t>AC1, AC13, AC14</t>
        </is>
      </c>
      <c r="Q123" t="n">
        <v>0.333</v>
      </c>
      <c r="R123" t="n">
        <v>1</v>
      </c>
      <c r="S123" t="n">
        <v>0.5</v>
      </c>
      <c r="T123" t="inlineStr"/>
      <c r="U123" t="inlineStr"/>
      <c r="V123" t="inlineStr"/>
      <c r="W123"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4">
      <c r="A124" t="n">
        <v>321</v>
      </c>
      <c r="B124" t="n">
        <v>109</v>
      </c>
      <c r="C124" t="n">
        <v>1</v>
      </c>
      <c r="D124" t="n">
        <v>5</v>
      </c>
      <c r="E124" t="inlineStr">
        <is>
          <t>R4 porque R1 y R2 se pueden despreciar al estar en serie con la fuente y R3 está en circuito abierto</t>
        </is>
      </c>
      <c r="F124" t="inlineStr">
        <is>
          <t>Si la fuente de tensión V1 impulsa la corriente a través de una trayectoria en serie, ¿cómo afectaría la presencia de múltiples resistencias en esa misma trayectoria al valor total de la corriente que fluye desde la fuente?</t>
        </is>
      </c>
      <c r="G124" t="n">
        <v>3</v>
      </c>
      <c r="H124" t="n">
        <v>3</v>
      </c>
      <c r="I124" t="n">
        <v>3</v>
      </c>
      <c r="J124" t="n">
        <v>5</v>
      </c>
      <c r="K124" t="n">
        <v>14</v>
      </c>
      <c r="L124" t="n">
        <v>1.673</v>
      </c>
      <c r="M124" t="n">
        <v>46</v>
      </c>
      <c r="N124" t="n">
        <v>35.86</v>
      </c>
      <c r="O124" t="inlineStr">
        <is>
          <t>AC1</t>
        </is>
      </c>
      <c r="P124" t="inlineStr">
        <is>
          <t>AC13, AC14</t>
        </is>
      </c>
      <c r="Q124" t="n">
        <v>0</v>
      </c>
      <c r="R124" t="n">
        <v>0</v>
      </c>
      <c r="S124" t="n">
        <v>0</v>
      </c>
      <c r="T124" t="inlineStr"/>
      <c r="U124" t="inlineStr"/>
      <c r="V124" t="inlineStr"/>
      <c r="W12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5">
      <c r="A125" t="n">
        <v>322</v>
      </c>
      <c r="B125" t="n">
        <v>109</v>
      </c>
      <c r="C125" t="n">
        <v>2</v>
      </c>
      <c r="D125" t="n">
        <v>5</v>
      </c>
      <c r="E125" t="inlineStr">
        <is>
          <t>R1 y R2 porque R3 se puede quitar y R4 está en paralelo con la fuente</t>
        </is>
      </c>
      <c r="F125" t="inlineStr">
        <is>
          <t>Si R3 estuviera efectivamente "fuera del circuito", ¿cómo describirías la relación entre la resistencia total del circuito y la resistencia de R4, considerando que R1 y R2 están en serie con la fuente de voltaje?</t>
        </is>
      </c>
      <c r="G125" t="n">
        <v>3</v>
      </c>
      <c r="H125" t="n">
        <v>3</v>
      </c>
      <c r="I125" t="n">
        <v>5</v>
      </c>
      <c r="J125" t="n">
        <v>5</v>
      </c>
      <c r="K125" t="n">
        <v>16</v>
      </c>
      <c r="L125" t="n">
        <v>1.33</v>
      </c>
      <c r="M125" t="n">
        <v>48</v>
      </c>
      <c r="N125" t="n">
        <v>45.1</v>
      </c>
      <c r="O125" t="inlineStr">
        <is>
          <t>AC1</t>
        </is>
      </c>
      <c r="P125" t="inlineStr">
        <is>
          <t>AC14</t>
        </is>
      </c>
      <c r="Q125" t="n">
        <v>0</v>
      </c>
      <c r="R125" t="n">
        <v>0</v>
      </c>
      <c r="S125" t="n">
        <v>0</v>
      </c>
      <c r="T125" t="inlineStr"/>
      <c r="U125" t="inlineStr"/>
      <c r="V125" t="inlineStr"/>
      <c r="W12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6">
      <c r="A126" t="n">
        <v>323</v>
      </c>
      <c r="B126" t="n">
        <v>109</v>
      </c>
      <c r="C126" t="n">
        <v>3</v>
      </c>
      <c r="D126" t="n">
        <v>5</v>
      </c>
      <c r="E126" t="inlineStr">
        <is>
          <t>Todas porque todas están conectadas al circuito</t>
        </is>
      </c>
      <c r="F126" t="inlineStr">
        <is>
          <t>Considerando que un circuito en serie implica una única trayectoria para el flujo de corriente, ¿cómo describirías la función de cada resistencia en términos de su contribución a esta trayectoria principal y su relación con la fuente de voltaje?</t>
        </is>
      </c>
      <c r="G126" t="n">
        <v>3</v>
      </c>
      <c r="H126" t="n">
        <v>4</v>
      </c>
      <c r="I126" t="n">
        <v>3</v>
      </c>
      <c r="J126" t="n">
        <v>5</v>
      </c>
      <c r="K126" t="n">
        <v>15</v>
      </c>
      <c r="L126" t="n">
        <v>1.35</v>
      </c>
      <c r="M126" t="n">
        <v>46</v>
      </c>
      <c r="N126" t="n">
        <v>44.44</v>
      </c>
      <c r="O126" t="inlineStr">
        <is>
          <t>AC14</t>
        </is>
      </c>
      <c r="P126" t="inlineStr">
        <is>
          <t>AC14</t>
        </is>
      </c>
      <c r="Q126" t="n">
        <v>1</v>
      </c>
      <c r="R126" t="n">
        <v>1</v>
      </c>
      <c r="S126" t="n">
        <v>1</v>
      </c>
      <c r="T126" t="inlineStr"/>
      <c r="U126" t="inlineStr"/>
      <c r="V126" t="inlineStr"/>
      <c r="W12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7">
      <c r="A127" t="n">
        <v>324</v>
      </c>
      <c r="B127" t="n">
        <v>110</v>
      </c>
      <c r="C127" t="n">
        <v>1</v>
      </c>
      <c r="D127" t="n">
        <v>5</v>
      </c>
      <c r="E127" t="inlineStr">
        <is>
          <t>R1 y R2 porque forman un divisor de tensión</t>
        </is>
      </c>
      <c r="F127" t="inlineStr">
        <is>
          <t>Si el interruptor entre N3 y N4 está abierto, ¿cómo podría la corriente fluir a través de una trayectoria que incluya la resistencia R3 y regresar a la fuente de tensión V1?</t>
        </is>
      </c>
      <c r="G127" t="n">
        <v>3</v>
      </c>
      <c r="H127" t="n">
        <v>3</v>
      </c>
      <c r="I127" t="n">
        <v>3</v>
      </c>
      <c r="J127" t="n">
        <v>5</v>
      </c>
      <c r="K127" t="n">
        <v>14</v>
      </c>
      <c r="L127" t="n">
        <v>1.411</v>
      </c>
      <c r="M127" t="n">
        <v>43</v>
      </c>
      <c r="N127" t="n">
        <v>42.52</v>
      </c>
      <c r="O127" t="inlineStr">
        <is>
          <t>AC14</t>
        </is>
      </c>
      <c r="P127" t="inlineStr">
        <is>
          <t>AC1</t>
        </is>
      </c>
      <c r="Q127" t="n">
        <v>0</v>
      </c>
      <c r="R127" t="n">
        <v>0</v>
      </c>
      <c r="S127" t="n">
        <v>0</v>
      </c>
      <c r="T127" t="inlineStr"/>
      <c r="U127" t="inlineStr"/>
      <c r="V127" t="inlineStr"/>
      <c r="W12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8">
      <c r="A128" t="n">
        <v>325</v>
      </c>
      <c r="B128" t="n">
        <v>110</v>
      </c>
      <c r="C128" t="n">
        <v>2</v>
      </c>
      <c r="D128" t="n">
        <v>5</v>
      </c>
      <c r="E128" t="inlineStr">
        <is>
          <t>R1, R2 y R4 porque forman un divisor de tension</t>
        </is>
      </c>
      <c r="F128" t="inlineStr">
        <is>
          <t>Considerando que R3 no está en el camino actual, ¿cómo podría influir la combinación de R1, R2 y R4 en la corriente total que fluye desde la fuente V1?</t>
        </is>
      </c>
      <c r="G128" t="n">
        <v>3</v>
      </c>
      <c r="H128" t="n">
        <v>3</v>
      </c>
      <c r="I128" t="n">
        <v>5</v>
      </c>
      <c r="J128" t="n">
        <v>5</v>
      </c>
      <c r="K128" t="n">
        <v>16</v>
      </c>
      <c r="L128" t="n">
        <v>1.259</v>
      </c>
      <c r="M128" t="n">
        <v>42</v>
      </c>
      <c r="N128" t="n">
        <v>47.64</v>
      </c>
      <c r="O128" t="inlineStr"/>
      <c r="P128" t="inlineStr">
        <is>
          <t>AC13</t>
        </is>
      </c>
      <c r="Q128" t="n">
        <v>0</v>
      </c>
      <c r="R128" t="n">
        <v>1</v>
      </c>
      <c r="S128" t="n">
        <v>0</v>
      </c>
      <c r="T128" t="inlineStr"/>
      <c r="U128" t="inlineStr"/>
      <c r="V128" t="inlineStr"/>
      <c r="W12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9">
      <c r="A129" t="n">
        <v>326</v>
      </c>
      <c r="B129" t="n">
        <v>110</v>
      </c>
      <c r="C129" t="n">
        <v>3</v>
      </c>
      <c r="D129" t="n">
        <v>5</v>
      </c>
      <c r="E129" t="inlineStr">
        <is>
          <t>R1 y R2 porque forman un divisor de corriente</t>
        </is>
      </c>
      <c r="F129" t="inlineStr">
        <is>
          <t>Si R1 y R2 forman un divisor de corriente, ¿cómo explicarías la diferencia de potencial entre los nodos que conectan R3 y R4 en relación con esta división de corriente?</t>
        </is>
      </c>
      <c r="G129" t="n">
        <v>3</v>
      </c>
      <c r="H129" t="n">
        <v>3</v>
      </c>
      <c r="I129" t="n">
        <v>5</v>
      </c>
      <c r="J129" t="n">
        <v>5</v>
      </c>
      <c r="K129" t="n">
        <v>16</v>
      </c>
      <c r="L129" t="n">
        <v>1.183</v>
      </c>
      <c r="M129" t="n">
        <v>40</v>
      </c>
      <c r="N129" t="n">
        <v>50.72</v>
      </c>
      <c r="O129" t="inlineStr">
        <is>
          <t>AC14</t>
        </is>
      </c>
      <c r="P129" t="inlineStr">
        <is>
          <t>AC1, AC13</t>
        </is>
      </c>
      <c r="Q129" t="n">
        <v>0</v>
      </c>
      <c r="R129" t="n">
        <v>0</v>
      </c>
      <c r="S129" t="n">
        <v>0</v>
      </c>
      <c r="T129" t="inlineStr"/>
      <c r="U129" t="inlineStr"/>
      <c r="V129" t="inlineStr"/>
      <c r="W12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0">
      <c r="A130" t="n">
        <v>327</v>
      </c>
      <c r="B130" t="n">
        <v>111</v>
      </c>
      <c r="C130" t="n">
        <v>1</v>
      </c>
      <c r="D130" t="n">
        <v>5</v>
      </c>
      <c r="E130" t="inlineStr">
        <is>
          <t>Sí</t>
        </is>
      </c>
      <c r="F130" t="inlineStr">
        <is>
          <t>Si el interruptor entre N3 y N4 está abierto, ¿puede la corriente fluir a través de ese interruptor, y cómo afectaría eso a las rutas disponibles para la corriente proveniente de V1?</t>
        </is>
      </c>
      <c r="G130" t="n">
        <v>3</v>
      </c>
      <c r="H130" t="n">
        <v>3</v>
      </c>
      <c r="I130" t="n">
        <v>2</v>
      </c>
      <c r="J130" t="n">
        <v>5</v>
      </c>
      <c r="K130" t="n">
        <v>13</v>
      </c>
      <c r="L130" t="n">
        <v>1.408</v>
      </c>
      <c r="M130" t="n">
        <v>45</v>
      </c>
      <c r="N130" t="n">
        <v>42.62</v>
      </c>
      <c r="O130" t="inlineStr">
        <is>
          <t>AC14</t>
        </is>
      </c>
      <c r="P130" t="inlineStr">
        <is>
          <t>AC1</t>
        </is>
      </c>
      <c r="Q130" t="n">
        <v>0</v>
      </c>
      <c r="R130" t="n">
        <v>0</v>
      </c>
      <c r="S130" t="n">
        <v>0</v>
      </c>
      <c r="T130" t="inlineStr"/>
      <c r="U130" t="inlineStr"/>
      <c r="V130" t="inlineStr"/>
      <c r="W13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1">
      <c r="A131" t="n">
        <v>328</v>
      </c>
      <c r="B131" t="n">
        <v>111</v>
      </c>
      <c r="C131" t="n">
        <v>2</v>
      </c>
      <c r="D131" t="n">
        <v>5</v>
      </c>
      <c r="E131" t="inlineStr">
        <is>
          <t>No</t>
        </is>
      </c>
      <c r="F131" t="inlineStr">
        <is>
          <t>Si la corriente no puede fluir a través de un interruptor abierto, ¿cómo describirías el rol de ese interruptor en el circuito y su impacto en la resistencia total del mismo?</t>
        </is>
      </c>
      <c r="G131" t="n">
        <v>3</v>
      </c>
      <c r="H131" t="n">
        <v>3</v>
      </c>
      <c r="I131" t="n">
        <v>2</v>
      </c>
      <c r="J131" t="n">
        <v>5</v>
      </c>
      <c r="K131" t="n">
        <v>13</v>
      </c>
      <c r="L131" t="n">
        <v>1.189</v>
      </c>
      <c r="M131" t="n">
        <v>39</v>
      </c>
      <c r="N131" t="n">
        <v>50.46</v>
      </c>
      <c r="O131" t="inlineStr">
        <is>
          <t>AC14</t>
        </is>
      </c>
      <c r="P131" t="inlineStr">
        <is>
          <t>AC1</t>
        </is>
      </c>
      <c r="Q131" t="n">
        <v>0</v>
      </c>
      <c r="R131" t="n">
        <v>0</v>
      </c>
      <c r="S131" t="n">
        <v>0</v>
      </c>
      <c r="T131" t="inlineStr"/>
      <c r="U131" t="inlineStr"/>
      <c r="V131" t="inlineStr"/>
      <c r="W13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2">
      <c r="A132" t="n">
        <v>329</v>
      </c>
      <c r="B132" t="n">
        <v>111</v>
      </c>
      <c r="C132" t="n">
        <v>3</v>
      </c>
      <c r="D132" t="n">
        <v>5</v>
      </c>
      <c r="E132" t="inlineStr">
        <is>
          <t>Puede ser</t>
        </is>
      </c>
      <c r="F132" t="inlineStr">
        <is>
          <t>Si consideras que el interruptor abierto actúa como una discontinuidad en el circuito, ¿cómo se compara la corriente que fluye a través de la resistencia R2 con la corriente que fluye a través de la resistencia R1, y por qué?</t>
        </is>
      </c>
      <c r="G132" t="n">
        <v>3</v>
      </c>
      <c r="H132" t="n">
        <v>3</v>
      </c>
      <c r="I132" t="n">
        <v>2</v>
      </c>
      <c r="J132" t="n">
        <v>5</v>
      </c>
      <c r="K132" t="n">
        <v>13</v>
      </c>
      <c r="L132" t="n">
        <v>1.365</v>
      </c>
      <c r="M132" t="n">
        <v>52</v>
      </c>
      <c r="N132" t="n">
        <v>43.94</v>
      </c>
      <c r="O132" t="inlineStr">
        <is>
          <t>AC14</t>
        </is>
      </c>
      <c r="P132" t="inlineStr">
        <is>
          <t>AC1</t>
        </is>
      </c>
      <c r="Q132" t="n">
        <v>0</v>
      </c>
      <c r="R132" t="n">
        <v>0</v>
      </c>
      <c r="S132" t="n">
        <v>0</v>
      </c>
      <c r="T132" t="inlineStr"/>
      <c r="U132" t="inlineStr"/>
      <c r="V132" t="inlineStr"/>
      <c r="W13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3">
      <c r="A133" t="n">
        <v>330</v>
      </c>
      <c r="B133" t="n">
        <v>112</v>
      </c>
      <c r="C133" t="n">
        <v>1</v>
      </c>
      <c r="D133" t="n">
        <v>5</v>
      </c>
      <c r="E133" t="inlineStr">
        <is>
          <t>R1 porque está conectada a la fuente</t>
        </is>
      </c>
      <c r="F133" t="inlineStr">
        <is>
          <t>Si el interruptor entre N3 y N4 estuviera cerrado, ¿cómo cambiaría el camino que la corriente podría tomar desde la fuente V1 a través del circuito?</t>
        </is>
      </c>
      <c r="G133" t="n">
        <v>3</v>
      </c>
      <c r="H133" t="n">
        <v>3</v>
      </c>
      <c r="I133" t="n">
        <v>3</v>
      </c>
      <c r="J133" t="n">
        <v>5</v>
      </c>
      <c r="K133" t="n">
        <v>14</v>
      </c>
      <c r="L133" t="n">
        <v>1.27</v>
      </c>
      <c r="M133" t="n">
        <v>36</v>
      </c>
      <c r="N133" t="n">
        <v>47.26</v>
      </c>
      <c r="O133" t="inlineStr">
        <is>
          <t>AC14</t>
        </is>
      </c>
      <c r="P133" t="inlineStr">
        <is>
          <t>AC1, AC13</t>
        </is>
      </c>
      <c r="Q133" t="n">
        <v>0</v>
      </c>
      <c r="R133" t="n">
        <v>0</v>
      </c>
      <c r="S133" t="n">
        <v>0</v>
      </c>
      <c r="T133" t="inlineStr"/>
      <c r="U133" t="inlineStr"/>
      <c r="V133" t="inlineStr"/>
      <c r="W13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4">
      <c r="A134" t="n">
        <v>331</v>
      </c>
      <c r="B134" t="n">
        <v>112</v>
      </c>
      <c r="C134" t="n">
        <v>2</v>
      </c>
      <c r="D134" t="n">
        <v>5</v>
      </c>
      <c r="E134" t="inlineStr">
        <is>
          <t>R2 porque es la última resistencia conectada</t>
        </is>
      </c>
      <c r="F134" t="inlineStr">
        <is>
          <t>Si consideras el concepto de diferencia de potencial y cómo las resistencias se oponen al flujo de corriente, ¿cómo podría la ubicación de R2 en el circuito afectar la caída de voltaje a través de ella en comparación con R1?</t>
        </is>
      </c>
      <c r="G134" t="n">
        <v>3</v>
      </c>
      <c r="H134" t="n">
        <v>3</v>
      </c>
      <c r="I134" t="n">
        <v>3</v>
      </c>
      <c r="J134" t="n">
        <v>5</v>
      </c>
      <c r="K134" t="n">
        <v>14</v>
      </c>
      <c r="L134" t="n">
        <v>1.324</v>
      </c>
      <c r="M134" t="n">
        <v>48</v>
      </c>
      <c r="N134" t="n">
        <v>45.3</v>
      </c>
      <c r="O134" t="inlineStr">
        <is>
          <t>AC14</t>
        </is>
      </c>
      <c r="P134" t="inlineStr">
        <is>
          <t>AC13, AC14</t>
        </is>
      </c>
      <c r="Q134" t="n">
        <v>0.5</v>
      </c>
      <c r="R134" t="n">
        <v>1</v>
      </c>
      <c r="S134" t="n">
        <v>0.667</v>
      </c>
      <c r="T134" t="inlineStr"/>
      <c r="U134" t="inlineStr"/>
      <c r="V134" t="inlineStr"/>
      <c r="W13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5">
      <c r="A135" t="n">
        <v>332</v>
      </c>
      <c r="B135" t="n">
        <v>112</v>
      </c>
      <c r="C135" t="n">
        <v>3</v>
      </c>
      <c r="D135" t="n">
        <v>5</v>
      </c>
      <c r="E135" t="inlineStr">
        <is>
          <t>R3 porque está en paralelo con la fuente</t>
        </is>
      </c>
      <c r="F135" t="inlineStr">
        <is>
          <t>Si consideras que la corriente siempre busca el camino de menor resistencia, ¿cómo afectaría la presencia de R3 en paralelo con la fuente al flujo total de corriente en el circuito?</t>
        </is>
      </c>
      <c r="G135" t="n">
        <v>3</v>
      </c>
      <c r="H135" t="n">
        <v>4</v>
      </c>
      <c r="I135" t="n">
        <v>4</v>
      </c>
      <c r="J135" t="n">
        <v>5</v>
      </c>
      <c r="K135" t="n">
        <v>16</v>
      </c>
      <c r="L135" t="n">
        <v>1.169</v>
      </c>
      <c r="M135" t="n">
        <v>38</v>
      </c>
      <c r="N135" t="n">
        <v>51.34</v>
      </c>
      <c r="O135" t="inlineStr">
        <is>
          <t>AC1, AC14</t>
        </is>
      </c>
      <c r="P135" t="inlineStr">
        <is>
          <t>AC13, AC14</t>
        </is>
      </c>
      <c r="Q135" t="n">
        <v>0.5</v>
      </c>
      <c r="R135" t="n">
        <v>0.5</v>
      </c>
      <c r="S135" t="n">
        <v>0.5</v>
      </c>
      <c r="T135" t="inlineStr"/>
      <c r="U135" t="inlineStr"/>
      <c r="V135" t="inlineStr"/>
      <c r="W13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36">
      <c r="A136" t="n">
        <v>333</v>
      </c>
      <c r="B136" t="n">
        <v>113</v>
      </c>
      <c r="C136" t="n">
        <v>1</v>
      </c>
      <c r="D136" t="n">
        <v>5</v>
      </c>
      <c r="E136" t="inlineStr">
        <is>
          <t>R4 porque está en paralelo con la fuente</t>
        </is>
      </c>
      <c r="F136" t="inlineStr">
        <is>
          <t>Si una resistencia está en paralelo con una fuente de tensión, ¿significa que la corriente de la fuente tiene múltiples caminos para fluir, y cómo afectaría la presencia de un interruptor abierto en uno de esos caminos?</t>
        </is>
      </c>
      <c r="G136" t="n">
        <v>3</v>
      </c>
      <c r="H136" t="n">
        <v>4</v>
      </c>
      <c r="I136" t="n">
        <v>2</v>
      </c>
      <c r="J136" t="n">
        <v>5</v>
      </c>
      <c r="K136" t="n">
        <v>14</v>
      </c>
      <c r="L136" t="n">
        <v>1.444</v>
      </c>
      <c r="M136" t="n">
        <v>46</v>
      </c>
      <c r="N136" t="n">
        <v>41.55</v>
      </c>
      <c r="O136" t="inlineStr">
        <is>
          <t>AC14</t>
        </is>
      </c>
      <c r="P136" t="inlineStr">
        <is>
          <t>AC1, AC13, AC14</t>
        </is>
      </c>
      <c r="Q136" t="n">
        <v>0.333</v>
      </c>
      <c r="R136" t="n">
        <v>1</v>
      </c>
      <c r="S136" t="n">
        <v>0.5</v>
      </c>
      <c r="T136" t="inlineStr"/>
      <c r="U136" t="inlineStr"/>
      <c r="V136" t="inlineStr"/>
      <c r="W13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37">
      <c r="A137" t="n">
        <v>334</v>
      </c>
      <c r="B137" t="n">
        <v>113</v>
      </c>
      <c r="C137" t="n">
        <v>2</v>
      </c>
      <c r="D137" t="n">
        <v>5</v>
      </c>
      <c r="E137" t="inlineStr">
        <is>
          <t>R4 porque está en serie con la fuente</t>
        </is>
      </c>
      <c r="F137" t="inlineStr">
        <is>
          <t>Si R4 estuviera en serie con la fuente, ¿cómo afectaría eso el flujo de corriente a través de las otras resistencias, R1, R2 y R3, considerando que la corriente solo tiene un camino posible?</t>
        </is>
      </c>
      <c r="G137" t="n">
        <v>3</v>
      </c>
      <c r="H137" t="n">
        <v>4</v>
      </c>
      <c r="I137" t="n">
        <v>4</v>
      </c>
      <c r="J137" t="n">
        <v>5</v>
      </c>
      <c r="K137" t="n">
        <v>16</v>
      </c>
      <c r="L137" t="n">
        <v>1.348</v>
      </c>
      <c r="M137" t="n">
        <v>47</v>
      </c>
      <c r="N137" t="n">
        <v>44.5</v>
      </c>
      <c r="O137" t="inlineStr">
        <is>
          <t>AC14</t>
        </is>
      </c>
      <c r="P137" t="inlineStr">
        <is>
          <t>AC13, AC14</t>
        </is>
      </c>
      <c r="Q137" t="n">
        <v>0.5</v>
      </c>
      <c r="R137" t="n">
        <v>1</v>
      </c>
      <c r="S137" t="n">
        <v>0.667</v>
      </c>
      <c r="T137" t="inlineStr"/>
      <c r="U137" t="inlineStr"/>
      <c r="V137" t="inlineStr"/>
      <c r="W13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38">
      <c r="A138" t="n">
        <v>335</v>
      </c>
      <c r="B138" t="n">
        <v>113</v>
      </c>
      <c r="C138" t="n">
        <v>3</v>
      </c>
      <c r="D138" t="n">
        <v>5</v>
      </c>
      <c r="E138" t="inlineStr">
        <is>
          <t>R1</t>
        </is>
      </c>
      <c r="F138" t="inlineStr">
        <is>
          <t>Considerando la configuración del circuito y la definición de un nodo, ¿cómo se relaciona la corriente que fluye a través de R1 con la corriente que fluye a través de R2 y R3?</t>
        </is>
      </c>
      <c r="G138" t="n">
        <v>3</v>
      </c>
      <c r="H138" t="n">
        <v>3</v>
      </c>
      <c r="I138" t="n">
        <v>2</v>
      </c>
      <c r="J138" t="n">
        <v>5</v>
      </c>
      <c r="K138" t="n">
        <v>13</v>
      </c>
      <c r="L138" t="n">
        <v>1.239</v>
      </c>
      <c r="M138" t="n">
        <v>43</v>
      </c>
      <c r="N138" t="n">
        <v>48.42</v>
      </c>
      <c r="O138" t="inlineStr">
        <is>
          <t>AC14</t>
        </is>
      </c>
      <c r="P138" t="inlineStr"/>
      <c r="Q138" t="n">
        <v>1</v>
      </c>
      <c r="R138" t="n">
        <v>0</v>
      </c>
      <c r="S138" t="n">
        <v>0</v>
      </c>
      <c r="T138" t="inlineStr"/>
      <c r="U138" t="inlineStr"/>
      <c r="V138" t="inlineStr"/>
      <c r="W13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9">
      <c r="A139" t="n">
        <v>336</v>
      </c>
      <c r="B139" t="n">
        <v>114</v>
      </c>
      <c r="C139" t="n">
        <v>1</v>
      </c>
      <c r="D139" t="n">
        <v>5</v>
      </c>
      <c r="E139" t="inlineStr">
        <is>
          <t>R2</t>
        </is>
      </c>
      <c r="F139" t="inlineStr">
        <is>
          <t>Si el interruptor entre N3 y N4 está abierto, ¿cómo afecta esto al flujo de corriente a través de la resistencia R3 y, por lo tanto, a la contribución de esta resistencia al circuito completo?</t>
        </is>
      </c>
      <c r="G139" t="n">
        <v>4</v>
      </c>
      <c r="H139" t="n">
        <v>3</v>
      </c>
      <c r="I139" t="n">
        <v>2</v>
      </c>
      <c r="J139" t="n">
        <v>5</v>
      </c>
      <c r="K139" t="n">
        <v>14</v>
      </c>
      <c r="L139" t="n">
        <v>1.453</v>
      </c>
      <c r="M139" t="n">
        <v>46</v>
      </c>
      <c r="N139" t="n">
        <v>41.28</v>
      </c>
      <c r="O139" t="inlineStr">
        <is>
          <t>AC14</t>
        </is>
      </c>
      <c r="P139" t="inlineStr">
        <is>
          <t>AC1, AC13</t>
        </is>
      </c>
      <c r="Q139" t="n">
        <v>0</v>
      </c>
      <c r="R139" t="n">
        <v>0</v>
      </c>
      <c r="S139" t="n">
        <v>0</v>
      </c>
      <c r="T139" t="inlineStr"/>
      <c r="U139" t="inlineStr"/>
      <c r="V139" t="inlineStr"/>
      <c r="W139"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40">
      <c r="A140" t="n">
        <v>337</v>
      </c>
      <c r="B140" t="n">
        <v>114</v>
      </c>
      <c r="C140" t="n">
        <v>2</v>
      </c>
      <c r="D140" t="n">
        <v>5</v>
      </c>
      <c r="E140" t="inlineStr">
        <is>
          <t>R3</t>
        </is>
      </c>
      <c r="F140" t="inlineStr">
        <is>
          <t>Considerando que R2 y R3 están en paralelo, ¿cómo se relaciona la corriente total que fluye a través de este paralelo con las corrientes individuales que fluyen por cada resistencia?</t>
        </is>
      </c>
      <c r="G140" t="n">
        <v>3</v>
      </c>
      <c r="H140" t="n">
        <v>4</v>
      </c>
      <c r="I140" t="n">
        <v>2</v>
      </c>
      <c r="J140" t="n">
        <v>5</v>
      </c>
      <c r="K140" t="n">
        <v>14</v>
      </c>
      <c r="L140" t="n">
        <v>1.229</v>
      </c>
      <c r="M140" t="n">
        <v>39</v>
      </c>
      <c r="N140" t="n">
        <v>48.81</v>
      </c>
      <c r="O140" t="inlineStr">
        <is>
          <t>AC1, AC14</t>
        </is>
      </c>
      <c r="P140" t="inlineStr">
        <is>
          <t>AC14</t>
        </is>
      </c>
      <c r="Q140" t="n">
        <v>1</v>
      </c>
      <c r="R140" t="n">
        <v>0.5</v>
      </c>
      <c r="S140" t="n">
        <v>0.667</v>
      </c>
      <c r="T140" t="inlineStr"/>
      <c r="U140" t="inlineStr"/>
      <c r="V140" t="inlineStr"/>
      <c r="W14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1">
      <c r="A141" t="n">
        <v>338</v>
      </c>
      <c r="B141" t="n">
        <v>114</v>
      </c>
      <c r="C141" t="n">
        <v>3</v>
      </c>
      <c r="D141" t="n">
        <v>5</v>
      </c>
      <c r="E141" t="inlineStr">
        <is>
          <t>R4</t>
        </is>
      </c>
      <c r="F141" t="inlineStr">
        <is>
          <t>Si R4 fuera un cortocircuito, ¿cómo afectaría esto a la caída de tensión a través de ella y, consecuentemente, a la corriente que circula por el circuito?</t>
        </is>
      </c>
      <c r="G141" t="n">
        <v>3</v>
      </c>
      <c r="H141" t="n">
        <v>3</v>
      </c>
      <c r="I141" t="n">
        <v>2</v>
      </c>
      <c r="J141" t="n">
        <v>5</v>
      </c>
      <c r="K141" t="n">
        <v>13</v>
      </c>
      <c r="L141" t="n">
        <v>1.179</v>
      </c>
      <c r="M141" t="n">
        <v>39</v>
      </c>
      <c r="N141" t="n">
        <v>50.88</v>
      </c>
      <c r="O141" t="inlineStr">
        <is>
          <t>AC14</t>
        </is>
      </c>
      <c r="P141" t="inlineStr"/>
      <c r="Q141" t="n">
        <v>1</v>
      </c>
      <c r="R141" t="n">
        <v>0</v>
      </c>
      <c r="S141" t="n">
        <v>0</v>
      </c>
      <c r="T141" t="inlineStr"/>
      <c r="U141" t="inlineStr"/>
      <c r="V141" t="inlineStr"/>
      <c r="W14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2">
      <c r="A142" t="n">
        <v>339</v>
      </c>
      <c r="B142" t="n">
        <v>115</v>
      </c>
      <c r="C142" t="n">
        <v>1</v>
      </c>
      <c r="D142" t="n">
        <v>5</v>
      </c>
      <c r="E142" t="inlineStr">
        <is>
          <t>No lo sé</t>
        </is>
      </c>
      <c r="F142" t="inlineStr">
        <is>
          <t>Considerando que el interruptor está abierto entre los nodos N3 y N4, ¿la corriente puede fluir a través de un camino interrumpido como ese?</t>
        </is>
      </c>
      <c r="G142" t="n">
        <v>3</v>
      </c>
      <c r="H142" t="n">
        <v>3</v>
      </c>
      <c r="I142" t="n">
        <v>2</v>
      </c>
      <c r="J142" t="n">
        <v>5</v>
      </c>
      <c r="K142" t="n">
        <v>13</v>
      </c>
      <c r="L142" t="n">
        <v>1.252</v>
      </c>
      <c r="M142" t="n">
        <v>34</v>
      </c>
      <c r="N142" t="n">
        <v>47.91</v>
      </c>
      <c r="O142" t="inlineStr">
        <is>
          <t>AC14</t>
        </is>
      </c>
      <c r="P142" t="inlineStr">
        <is>
          <t>AC1, AC13</t>
        </is>
      </c>
      <c r="Q142" t="n">
        <v>0</v>
      </c>
      <c r="R142" t="n">
        <v>0</v>
      </c>
      <c r="S142" t="n">
        <v>0</v>
      </c>
      <c r="T142" t="inlineStr"/>
      <c r="U142" t="inlineStr"/>
      <c r="V142" t="inlineStr"/>
      <c r="W14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3">
      <c r="A143" t="n">
        <v>340</v>
      </c>
      <c r="B143" t="n">
        <v>115</v>
      </c>
      <c r="C143" t="n">
        <v>2</v>
      </c>
      <c r="D143" t="n">
        <v>5</v>
      </c>
      <c r="E143" t="inlineStr">
        <is>
          <t>R1 y R2 están conectadas en serie</t>
        </is>
      </c>
      <c r="F143" t="inlineStr">
        <is>
          <t>Si R1 y R2 están en serie, ¿cómo afecta esto a la corriente que fluye a través de cada componente y a la resistencia total del circuito?</t>
        </is>
      </c>
      <c r="G143" t="n">
        <v>4</v>
      </c>
      <c r="H143" t="n">
        <v>4</v>
      </c>
      <c r="I143" t="n">
        <v>4</v>
      </c>
      <c r="J143" t="n">
        <v>5</v>
      </c>
      <c r="K143" t="n">
        <v>17</v>
      </c>
      <c r="L143" t="n">
        <v>1.185</v>
      </c>
      <c r="M143" t="n">
        <v>34</v>
      </c>
      <c r="N143" t="n">
        <v>50.62</v>
      </c>
      <c r="O143" t="inlineStr">
        <is>
          <t>AC14</t>
        </is>
      </c>
      <c r="P143" t="inlineStr">
        <is>
          <t>AC14</t>
        </is>
      </c>
      <c r="Q143" t="n">
        <v>1</v>
      </c>
      <c r="R143" t="n">
        <v>1</v>
      </c>
      <c r="S143" t="n">
        <v>1</v>
      </c>
      <c r="T143" t="inlineStr"/>
      <c r="U143" t="inlineStr"/>
      <c r="V143" t="inlineStr"/>
      <c r="W143" t="inlineStr">
        <is>
          <t>Socratic quality 4/5 (Scaffolding for detection): Scaffolding for detection: identifies the error area and asks a question that confronts the theory. Conceptual precision 4/5 (Good): Good: clearly identifies the alternative conception with precise technical language. High-performing tutor: expert socratic guidance with precise diagnosis.</t>
        </is>
      </c>
    </row>
    <row r="144">
      <c r="A144" t="n">
        <v>341</v>
      </c>
      <c r="B144" t="n">
        <v>116</v>
      </c>
      <c r="C144" t="n">
        <v>1</v>
      </c>
      <c r="D144" t="n">
        <v>6</v>
      </c>
      <c r="E144" t="inlineStr">
        <is>
          <t>Por ninguna, todas las resistencias poseen la misma corriente ya que están conectadas en serie</t>
        </is>
      </c>
      <c r="F144" t="inlineStr">
        <is>
          <t>Si dos resistencias están conectadas en serie, ¿comparten la misma corriente o podrían tener valores diferentes a través de ellas?</t>
        </is>
      </c>
      <c r="G144" t="n">
        <v>3</v>
      </c>
      <c r="H144" t="n">
        <v>4</v>
      </c>
      <c r="I144" t="n">
        <v>4</v>
      </c>
      <c r="J144" t="n">
        <v>5</v>
      </c>
      <c r="K144" t="n">
        <v>16</v>
      </c>
      <c r="L144" t="n">
        <v>1.071</v>
      </c>
      <c r="M144" t="n">
        <v>26</v>
      </c>
      <c r="N144" t="n">
        <v>56.04</v>
      </c>
      <c r="O144" t="inlineStr"/>
      <c r="P144" t="inlineStr">
        <is>
          <t>AC2, AC14</t>
        </is>
      </c>
      <c r="Q144" t="n">
        <v>0</v>
      </c>
      <c r="R144" t="n">
        <v>1</v>
      </c>
      <c r="S144" t="n">
        <v>0</v>
      </c>
      <c r="T144" t="inlineStr"/>
      <c r="U144" t="inlineStr"/>
      <c r="V144" t="inlineStr"/>
      <c r="W14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5">
      <c r="A145" t="n">
        <v>342</v>
      </c>
      <c r="B145" t="n">
        <v>116</v>
      </c>
      <c r="C145" t="n">
        <v>2</v>
      </c>
      <c r="D145" t="n">
        <v>6</v>
      </c>
      <c r="E145" t="inlineStr">
        <is>
          <t>En ninguna</t>
        </is>
      </c>
      <c r="F145" t="inlineStr">
        <is>
          <t>Si la resistencia de un material se opone al flujo de corriente, ¿cómo afectaría una resistencia mayor al flujo de electrones en comparación con una resistencia menor en el mismo circuito?</t>
        </is>
      </c>
      <c r="G145" t="n">
        <v>3</v>
      </c>
      <c r="H145" t="n">
        <v>3</v>
      </c>
      <c r="I145" t="n">
        <v>2</v>
      </c>
      <c r="J145" t="n">
        <v>5</v>
      </c>
      <c r="K145" t="n">
        <v>13</v>
      </c>
      <c r="L145" t="n">
        <v>1.18</v>
      </c>
      <c r="M145" t="n">
        <v>38</v>
      </c>
      <c r="N145" t="n">
        <v>50.85</v>
      </c>
      <c r="O145" t="inlineStr"/>
      <c r="P145" t="inlineStr">
        <is>
          <t>AC2</t>
        </is>
      </c>
      <c r="Q145" t="n">
        <v>0</v>
      </c>
      <c r="R145" t="n">
        <v>1</v>
      </c>
      <c r="S145" t="n">
        <v>0</v>
      </c>
      <c r="T145" t="inlineStr"/>
      <c r="U145" t="inlineStr"/>
      <c r="V145" t="inlineStr"/>
      <c r="W14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6">
      <c r="A146" t="n">
        <v>343</v>
      </c>
      <c r="B146" t="n">
        <v>116</v>
      </c>
      <c r="C146" t="n">
        <v>3</v>
      </c>
      <c r="D146" t="n">
        <v>6</v>
      </c>
      <c r="E146" t="inlineStr">
        <is>
          <t>La corriente es la misma en todas las resistencias porque es un circuito serie</t>
        </is>
      </c>
      <c r="F146" t="inlineStr">
        <is>
          <t>Si la corriente es constante en un circuito serie, ¿qué determina la caída de voltaje a través de cada resistencia individual en función de su valor resistivo?</t>
        </is>
      </c>
      <c r="G146" t="n">
        <v>3</v>
      </c>
      <c r="H146" t="n">
        <v>4</v>
      </c>
      <c r="I146" t="n">
        <v>4</v>
      </c>
      <c r="J146" t="n">
        <v>5</v>
      </c>
      <c r="K146" t="n">
        <v>16</v>
      </c>
      <c r="L146" t="n">
        <v>1.052</v>
      </c>
      <c r="M146" t="n">
        <v>32</v>
      </c>
      <c r="N146" t="n">
        <v>57.01</v>
      </c>
      <c r="O146" t="inlineStr"/>
      <c r="P146" t="inlineStr">
        <is>
          <t>AC2, AC14</t>
        </is>
      </c>
      <c r="Q146" t="n">
        <v>0</v>
      </c>
      <c r="R146" t="n">
        <v>1</v>
      </c>
      <c r="S146" t="n">
        <v>0</v>
      </c>
      <c r="T146" t="inlineStr"/>
      <c r="U146" t="inlineStr"/>
      <c r="V146" t="inlineStr"/>
      <c r="W14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7">
      <c r="A147" t="n">
        <v>344</v>
      </c>
      <c r="B147" t="n">
        <v>117</v>
      </c>
      <c r="C147" t="n">
        <v>1</v>
      </c>
      <c r="D147" t="n">
        <v>6</v>
      </c>
      <c r="E147" t="inlineStr">
        <is>
          <t>En R1 ya que es la primera resistencia</t>
        </is>
      </c>
      <c r="F147" t="inlineStr">
        <is>
          <t>Si tuvieras dos resistencias conectadas en serie, ¿considerarías que la corriente que fluye a través de la primera resistencia es necesariamente diferente a la corriente que fluye a través de la segunda resistencia?</t>
        </is>
      </c>
      <c r="G147" t="n">
        <v>3</v>
      </c>
      <c r="H147" t="n">
        <v>4</v>
      </c>
      <c r="I147" t="n">
        <v>2</v>
      </c>
      <c r="J147" t="n">
        <v>5</v>
      </c>
      <c r="K147" t="n">
        <v>14</v>
      </c>
      <c r="L147" t="n">
        <v>1.339</v>
      </c>
      <c r="M147" t="n">
        <v>44</v>
      </c>
      <c r="N147" t="n">
        <v>44.81</v>
      </c>
      <c r="O147" t="inlineStr">
        <is>
          <t>AC2, AC14</t>
        </is>
      </c>
      <c r="P147" t="inlineStr">
        <is>
          <t>AC2, AC14</t>
        </is>
      </c>
      <c r="Q147" t="n">
        <v>1</v>
      </c>
      <c r="R147" t="n">
        <v>1</v>
      </c>
      <c r="S147" t="n">
        <v>1</v>
      </c>
      <c r="T147" t="inlineStr"/>
      <c r="U147" t="inlineStr"/>
      <c r="V147" t="inlineStr"/>
      <c r="W14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8">
      <c r="A148" t="n">
        <v>345</v>
      </c>
      <c r="B148" t="n">
        <v>117</v>
      </c>
      <c r="C148" t="n">
        <v>2</v>
      </c>
      <c r="D148" t="n">
        <v>6</v>
      </c>
      <c r="E148" t="inlineStr">
        <is>
          <t>En R1 ya que la corriente se va consumiendo en las resistencias</t>
        </is>
      </c>
      <c r="F148" t="inlineStr">
        <is>
          <t>Si la corriente se "consume" en una resistencia, ¿cómo explicarías que un dispositivo eléctrico conectado a una fuente de voltaje continúe funcionando incluso después de que la corriente haya pasado por varias resistencias en un circuito?</t>
        </is>
      </c>
      <c r="G148" t="n">
        <v>3</v>
      </c>
      <c r="H148" t="n">
        <v>3</v>
      </c>
      <c r="I148" t="n">
        <v>3</v>
      </c>
      <c r="J148" t="n">
        <v>5</v>
      </c>
      <c r="K148" t="n">
        <v>14</v>
      </c>
      <c r="L148" t="n">
        <v>3.554</v>
      </c>
      <c r="M148" t="n">
        <v>44</v>
      </c>
      <c r="N148" t="n">
        <v>16.88</v>
      </c>
      <c r="O148" t="inlineStr">
        <is>
          <t>AC2, AC14</t>
        </is>
      </c>
      <c r="P148" t="inlineStr">
        <is>
          <t>AC2, AC14</t>
        </is>
      </c>
      <c r="Q148" t="n">
        <v>1</v>
      </c>
      <c r="R148" t="n">
        <v>1</v>
      </c>
      <c r="S148" t="n">
        <v>1</v>
      </c>
      <c r="T148" t="inlineStr"/>
      <c r="U148" t="inlineStr"/>
      <c r="V148" t="inlineStr"/>
      <c r="W14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9">
      <c r="A149" t="n">
        <v>346</v>
      </c>
      <c r="B149" t="n">
        <v>117</v>
      </c>
      <c r="C149" t="n">
        <v>3</v>
      </c>
      <c r="D149" t="n">
        <v>6</v>
      </c>
      <c r="E149" t="inlineStr">
        <is>
          <t>En R1 ya que es la resistencia que está conectada a la fuente</t>
        </is>
      </c>
      <c r="F149" t="inlineStr">
        <is>
          <t>Si varias resistencias estuvieran conectadas en serie a la misma fuente de voltaje, ¿cómo afectaría la ubicación de una resistencia específica a la corriente total que fluye en el circuito?</t>
        </is>
      </c>
      <c r="G149" t="n">
        <v>3</v>
      </c>
      <c r="H149" t="n">
        <v>4</v>
      </c>
      <c r="I149" t="n">
        <v>3</v>
      </c>
      <c r="J149" t="n">
        <v>5</v>
      </c>
      <c r="K149" t="n">
        <v>15</v>
      </c>
      <c r="L149" t="n">
        <v>1.188</v>
      </c>
      <c r="M149" t="n">
        <v>38</v>
      </c>
      <c r="N149" t="n">
        <v>50.52</v>
      </c>
      <c r="O149" t="inlineStr">
        <is>
          <t>AC2, AC14</t>
        </is>
      </c>
      <c r="P149" t="inlineStr">
        <is>
          <t>AC2, AC14</t>
        </is>
      </c>
      <c r="Q149" t="n">
        <v>1</v>
      </c>
      <c r="R149" t="n">
        <v>1</v>
      </c>
      <c r="S149" t="n">
        <v>1</v>
      </c>
      <c r="T149" t="inlineStr"/>
      <c r="U149" t="inlineStr"/>
      <c r="V149" t="inlineStr"/>
      <c r="W14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0">
      <c r="A150" t="n">
        <v>347</v>
      </c>
      <c r="B150" t="n">
        <v>118</v>
      </c>
      <c r="C150" t="n">
        <v>1</v>
      </c>
      <c r="D150" t="n">
        <v>6</v>
      </c>
      <c r="E150" t="inlineStr">
        <is>
          <t>En R6 ya que es la resistencia que está conectada a la fuente</t>
        </is>
      </c>
      <c r="F150" t="inlineStr">
        <is>
          <t>Si consideras dos resistencias conectadas en serie, ¿comparten ambas la misma corriente, o la corriente se modifica al pasar de una a la otra?</t>
        </is>
      </c>
      <c r="G150" t="n">
        <v>3</v>
      </c>
      <c r="H150" t="n">
        <v>4</v>
      </c>
      <c r="I150" t="n">
        <v>3</v>
      </c>
      <c r="J150" t="n">
        <v>5</v>
      </c>
      <c r="K150" t="n">
        <v>15</v>
      </c>
      <c r="L150" t="n">
        <v>1.188</v>
      </c>
      <c r="M150" t="n">
        <v>32</v>
      </c>
      <c r="N150" t="n">
        <v>50.52</v>
      </c>
      <c r="O150" t="inlineStr">
        <is>
          <t>AC2, AC14</t>
        </is>
      </c>
      <c r="P150" t="inlineStr">
        <is>
          <t>AC2, AC14</t>
        </is>
      </c>
      <c r="Q150" t="n">
        <v>1</v>
      </c>
      <c r="R150" t="n">
        <v>1</v>
      </c>
      <c r="S150" t="n">
        <v>1</v>
      </c>
      <c r="T150" t="inlineStr"/>
      <c r="U150" t="inlineStr"/>
      <c r="V150" t="inlineStr"/>
      <c r="W15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1">
      <c r="A151" t="n">
        <v>348</v>
      </c>
      <c r="B151" t="n">
        <v>118</v>
      </c>
      <c r="C151" t="n">
        <v>2</v>
      </c>
      <c r="D151" t="n">
        <v>6</v>
      </c>
      <c r="E151" t="inlineStr">
        <is>
          <t>En R2 porque es una de las primeras resistencias</t>
        </is>
      </c>
      <c r="F151" t="inlineStr">
        <is>
          <t>Si recuerdas la definición de potencia disipada en una resistencia, ¿cómo se relaciona esta con el voltaje a través de la resistencia y su valor?</t>
        </is>
      </c>
      <c r="G151" t="n">
        <v>3</v>
      </c>
      <c r="H151" t="n">
        <v>3</v>
      </c>
      <c r="I151" t="n">
        <v>3</v>
      </c>
      <c r="J151" t="n">
        <v>5</v>
      </c>
      <c r="K151" t="n">
        <v>14</v>
      </c>
      <c r="L151" t="n">
        <v>1.062</v>
      </c>
      <c r="M151" t="n">
        <v>31</v>
      </c>
      <c r="N151" t="n">
        <v>56.52</v>
      </c>
      <c r="O151" t="inlineStr">
        <is>
          <t>AC2, AC14</t>
        </is>
      </c>
      <c r="P151" t="inlineStr"/>
      <c r="Q151" t="n">
        <v>1</v>
      </c>
      <c r="R151" t="n">
        <v>0</v>
      </c>
      <c r="S151" t="n">
        <v>0</v>
      </c>
      <c r="T151" t="inlineStr"/>
      <c r="U151" t="inlineStr"/>
      <c r="V151" t="inlineStr"/>
      <c r="W15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52">
      <c r="A152" t="n">
        <v>349</v>
      </c>
      <c r="B152" t="n">
        <v>118</v>
      </c>
      <c r="C152" t="n">
        <v>3</v>
      </c>
      <c r="D152" t="n">
        <v>6</v>
      </c>
      <c r="E152" t="inlineStr">
        <is>
          <t>En R1 porque todas las resistencias están conectadas en serie</t>
        </is>
      </c>
      <c r="F152" t="inlineStr">
        <is>
          <t>Si las resistencias están en serie, ¿cómo se relaciona el voltaje total de la fuente con las caídas de voltaje individuales en cada resistencia del circuito?</t>
        </is>
      </c>
      <c r="G152" t="n">
        <v>3</v>
      </c>
      <c r="H152" t="n">
        <v>4</v>
      </c>
      <c r="I152" t="n">
        <v>3</v>
      </c>
      <c r="J152" t="n">
        <v>5</v>
      </c>
      <c r="K152" t="n">
        <v>15</v>
      </c>
      <c r="L152" t="n">
        <v>1.061</v>
      </c>
      <c r="M152" t="n">
        <v>31</v>
      </c>
      <c r="N152" t="n">
        <v>56.57</v>
      </c>
      <c r="O152" t="inlineStr">
        <is>
          <t>AC2, AC14</t>
        </is>
      </c>
      <c r="P152" t="inlineStr">
        <is>
          <t>AC2, AC14</t>
        </is>
      </c>
      <c r="Q152" t="n">
        <v>1</v>
      </c>
      <c r="R152" t="n">
        <v>1</v>
      </c>
      <c r="S152" t="n">
        <v>1</v>
      </c>
      <c r="T152" t="inlineStr"/>
      <c r="U152" t="inlineStr"/>
      <c r="V152" t="inlineStr"/>
      <c r="W15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3">
      <c r="A153" t="n">
        <v>350</v>
      </c>
      <c r="B153" t="n">
        <v>119</v>
      </c>
      <c r="C153" t="n">
        <v>1</v>
      </c>
      <c r="D153" t="n">
        <v>6</v>
      </c>
      <c r="E153" t="inlineStr">
        <is>
          <t>En R1 porque todas las resistencias están conectadas en paralelo</t>
        </is>
      </c>
      <c r="F153" t="inlineStr">
        <is>
          <t>Si observas dos resistencias conectadas consecutivamente, ¿cuántos terminales comparten entre sí?</t>
        </is>
      </c>
      <c r="G153" t="n">
        <v>3</v>
      </c>
      <c r="H153" t="n">
        <v>2</v>
      </c>
      <c r="I153" t="n">
        <v>3</v>
      </c>
      <c r="J153" t="n">
        <v>5</v>
      </c>
      <c r="K153" t="n">
        <v>13</v>
      </c>
      <c r="L153" t="n">
        <v>1.011</v>
      </c>
      <c r="M153" t="n">
        <v>21</v>
      </c>
      <c r="N153" t="n">
        <v>59.36</v>
      </c>
      <c r="O153" t="inlineStr">
        <is>
          <t>AC2, AC14</t>
        </is>
      </c>
      <c r="P153" t="inlineStr">
        <is>
          <t>AC2, AC14</t>
        </is>
      </c>
      <c r="Q153" t="n">
        <v>1</v>
      </c>
      <c r="R153" t="n">
        <v>1</v>
      </c>
      <c r="S153" t="n">
        <v>1</v>
      </c>
      <c r="T153" t="inlineStr"/>
      <c r="U153" t="inlineStr"/>
      <c r="V153" t="inlineStr"/>
      <c r="W153"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54">
      <c r="A154" t="n">
        <v>351</v>
      </c>
      <c r="B154" t="n">
        <v>119</v>
      </c>
      <c r="C154" t="n">
        <v>2</v>
      </c>
      <c r="D154" t="n">
        <v>6</v>
      </c>
      <c r="E154" t="inlineStr">
        <is>
          <t>En R6 porque es la última resistencia</t>
        </is>
      </c>
      <c r="F154" t="inlineStr">
        <is>
          <t>Si consideras el flujo de corriente desde la fuente de voltaje, ¿cómo crees que las resistencias en paralelo afectarían la corriente total que circula por el circuito?</t>
        </is>
      </c>
      <c r="G154" t="n">
        <v>3</v>
      </c>
      <c r="H154" t="n">
        <v>4</v>
      </c>
      <c r="I154" t="n">
        <v>3</v>
      </c>
      <c r="J154" t="n">
        <v>5</v>
      </c>
      <c r="K154" t="n">
        <v>15</v>
      </c>
      <c r="L154" t="n">
        <v>1.128</v>
      </c>
      <c r="M154" t="n">
        <v>34</v>
      </c>
      <c r="N154" t="n">
        <v>53.21</v>
      </c>
      <c r="O154" t="inlineStr">
        <is>
          <t>AC2, AC14</t>
        </is>
      </c>
      <c r="P154" t="inlineStr">
        <is>
          <t>AC2, AC14</t>
        </is>
      </c>
      <c r="Q154" t="n">
        <v>1</v>
      </c>
      <c r="R154" t="n">
        <v>1</v>
      </c>
      <c r="S154" t="n">
        <v>1</v>
      </c>
      <c r="T154" t="inlineStr"/>
      <c r="U154" t="inlineStr"/>
      <c r="V154" t="inlineStr"/>
      <c r="W15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5">
      <c r="A155" t="n">
        <v>352</v>
      </c>
      <c r="B155" t="n">
        <v>119</v>
      </c>
      <c r="C155" t="n">
        <v>3</v>
      </c>
      <c r="D155" t="n">
        <v>6</v>
      </c>
      <c r="E155" t="inlineStr">
        <is>
          <t>En R3</t>
        </is>
      </c>
      <c r="F155" t="inlineStr">
        <is>
          <t>Si analizas la configuración del circuito, ¿cómo describirías la relación entre R3 y las demás resistencias en términos de su conexión a la fuente de voltaje y a tierra?</t>
        </is>
      </c>
      <c r="G155" t="n">
        <v>3</v>
      </c>
      <c r="H155" t="n">
        <v>3</v>
      </c>
      <c r="I155" t="n">
        <v>2</v>
      </c>
      <c r="J155" t="n">
        <v>2</v>
      </c>
      <c r="K155" t="n">
        <v>10</v>
      </c>
      <c r="L155" t="n">
        <v>1.155</v>
      </c>
      <c r="M155" t="n">
        <v>36</v>
      </c>
      <c r="N155" t="n">
        <v>51.93</v>
      </c>
      <c r="O155" t="inlineStr">
        <is>
          <t>AC2, AC14</t>
        </is>
      </c>
      <c r="P155" t="inlineStr">
        <is>
          <t>AC2, AC14</t>
        </is>
      </c>
      <c r="Q155" t="n">
        <v>1</v>
      </c>
      <c r="R155" t="n">
        <v>1</v>
      </c>
      <c r="S155" t="n">
        <v>1</v>
      </c>
      <c r="T155" t="inlineStr"/>
      <c r="U155" t="inlineStr"/>
      <c r="V155" t="inlineStr"/>
      <c r="W155" t="inlineStr">
        <is>
          <t>Socratic quality 3/5 (Clarification): Generic question: asks for clarification without attacking the root error. Conceptual precision 3/5 (Sufficient): Sufficient: identifies that there is an error and uses correct concepts, but the diagnosis is somewhat vague. Acceptable performance; needs to improve precision or socratic methodology.</t>
        </is>
      </c>
    </row>
    <row r="156">
      <c r="A156" t="n">
        <v>353</v>
      </c>
      <c r="B156" t="n">
        <v>120</v>
      </c>
      <c r="C156" t="n">
        <v>1</v>
      </c>
      <c r="D156" t="n">
        <v>6</v>
      </c>
      <c r="E156" t="inlineStr">
        <is>
          <t>En R4</t>
        </is>
      </c>
      <c r="F156" t="inlineStr">
        <is>
          <t>Considerando que las resistencias están conectadas en una cadena continua, ¿cómo describirías la relación entre el flujo de carga a través de cada una de ellas en términos de su conexión topológica?</t>
        </is>
      </c>
      <c r="G156" t="n">
        <v>3</v>
      </c>
      <c r="H156" t="n">
        <v>2</v>
      </c>
      <c r="I156" t="n">
        <v>2</v>
      </c>
      <c r="J156" t="n">
        <v>5</v>
      </c>
      <c r="K156" t="n">
        <v>12</v>
      </c>
      <c r="L156" t="n">
        <v>1.272</v>
      </c>
      <c r="M156" t="n">
        <v>40</v>
      </c>
      <c r="N156" t="n">
        <v>47.15</v>
      </c>
      <c r="O156" t="inlineStr">
        <is>
          <t>AC2, AC14</t>
        </is>
      </c>
      <c r="P156" t="inlineStr">
        <is>
          <t>AC2, AC14</t>
        </is>
      </c>
      <c r="Q156" t="n">
        <v>1</v>
      </c>
      <c r="R156" t="n">
        <v>1</v>
      </c>
      <c r="S156" t="n">
        <v>1</v>
      </c>
      <c r="T156" t="inlineStr"/>
      <c r="U156" t="inlineStr"/>
      <c r="V156" t="inlineStr"/>
      <c r="W156" t="inlineStr">
        <is>
          <t>Socratic quality 3/5 (Clarification): Generic question: asks for clarification without attacking the root error. Conceptual precision 2/5 (Poor): Poor: responds generically without diagnosing the conceptual error. Acceptable performance; needs to improve precision or socratic methodology.</t>
        </is>
      </c>
    </row>
    <row r="157">
      <c r="A157" t="n">
        <v>354</v>
      </c>
      <c r="B157" t="n">
        <v>120</v>
      </c>
      <c r="C157" t="n">
        <v>2</v>
      </c>
      <c r="D157" t="n">
        <v>6</v>
      </c>
      <c r="E157" t="inlineStr">
        <is>
          <t>En R5</t>
        </is>
      </c>
      <c r="F157" t="inlineStr">
        <is>
          <t>Si R4 y R5 están en serie, ¿cómo afectaría la adición de una resistencia adicional a este segmento del circuito a la corriente total que fluye desde la fuente de voltaje?</t>
        </is>
      </c>
      <c r="G157" t="n">
        <v>3</v>
      </c>
      <c r="H157" t="n">
        <v>4</v>
      </c>
      <c r="I157" t="n">
        <v>2</v>
      </c>
      <c r="J157" t="n">
        <v>1</v>
      </c>
      <c r="K157" t="n">
        <v>10</v>
      </c>
      <c r="L157" t="n">
        <v>1.2</v>
      </c>
      <c r="M157" t="n">
        <v>40</v>
      </c>
      <c r="N157" t="n">
        <v>50.02</v>
      </c>
      <c r="O157" t="inlineStr">
        <is>
          <t>AC2, AC14</t>
        </is>
      </c>
      <c r="P157" t="inlineStr">
        <is>
          <t>AC2, AC14</t>
        </is>
      </c>
      <c r="Q157" t="n">
        <v>1</v>
      </c>
      <c r="R157" t="n">
        <v>1</v>
      </c>
      <c r="S157" t="n">
        <v>1</v>
      </c>
      <c r="T157" t="inlineStr"/>
      <c r="U157" t="inlineStr"/>
      <c r="V157" t="inlineStr"/>
      <c r="W157" t="inlineStr">
        <is>
          <t>Socratic quality 3/5 (Clarification): Generic question: asks for clarification without attacking the root error. Conceptual precision 4/5 (Good): Good: clearly identifies the alternative conception with precise technical language. Acceptable performance; needs to improve precision or socratic methodology.</t>
        </is>
      </c>
    </row>
    <row r="158">
      <c r="A158" t="n">
        <v>355</v>
      </c>
      <c r="B158" t="n">
        <v>120</v>
      </c>
      <c r="C158" t="n">
        <v>3</v>
      </c>
      <c r="D158" t="n">
        <v>6</v>
      </c>
      <c r="E158" t="inlineStr">
        <is>
          <t>En R1</t>
        </is>
      </c>
      <c r="F158" t="inlineStr">
        <is>
          <t>Considerando que R1 está directamente conectada a la fuente de voltaje, ¿cómo influye esta ubicación en la diferencia de potencial (voltaje) a través de ella en comparación con las resistencias más alejadas?</t>
        </is>
      </c>
      <c r="G158" t="n">
        <v>4</v>
      </c>
      <c r="H158" t="n">
        <v>3</v>
      </c>
      <c r="I158" t="n">
        <v>2</v>
      </c>
      <c r="J158" t="n">
        <v>5</v>
      </c>
      <c r="K158" t="n">
        <v>14</v>
      </c>
      <c r="L158" t="n">
        <v>1.255</v>
      </c>
      <c r="M158" t="n">
        <v>44</v>
      </c>
      <c r="N158" t="n">
        <v>47.79</v>
      </c>
      <c r="O158" t="inlineStr">
        <is>
          <t>AC2, AC14</t>
        </is>
      </c>
      <c r="P158" t="inlineStr">
        <is>
          <t>AC2, AC14</t>
        </is>
      </c>
      <c r="Q158" t="n">
        <v>1</v>
      </c>
      <c r="R158" t="n">
        <v>1</v>
      </c>
      <c r="S158" t="n">
        <v>1</v>
      </c>
      <c r="T158" t="inlineStr"/>
      <c r="U158" t="inlineStr"/>
      <c r="V158" t="inlineStr"/>
      <c r="W158"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59">
      <c r="A159" t="n">
        <v>356</v>
      </c>
      <c r="B159" t="n">
        <v>121</v>
      </c>
      <c r="C159" t="n">
        <v>1</v>
      </c>
      <c r="D159" t="n">
        <v>6</v>
      </c>
      <c r="E159" t="inlineStr">
        <is>
          <t>En R2</t>
        </is>
      </c>
      <c r="F159" t="inlineStr">
        <is>
          <t>Considerando que todas las resistencias están conectadas en serie, ¿comparten cada una de ellas los mismos dos nodos, o sus conexiones son distintas?</t>
        </is>
      </c>
      <c r="G159" t="n">
        <v>3</v>
      </c>
      <c r="H159" t="n">
        <v>4</v>
      </c>
      <c r="I159" t="n">
        <v>2</v>
      </c>
      <c r="J159" t="n">
        <v>5</v>
      </c>
      <c r="K159" t="n">
        <v>14</v>
      </c>
      <c r="L159" t="n">
        <v>1.147</v>
      </c>
      <c r="M159" t="n">
        <v>31</v>
      </c>
      <c r="N159" t="n">
        <v>52.3</v>
      </c>
      <c r="O159" t="inlineStr">
        <is>
          <t>AC2, AC14</t>
        </is>
      </c>
      <c r="P159" t="inlineStr">
        <is>
          <t>AC2, AC14</t>
        </is>
      </c>
      <c r="Q159" t="n">
        <v>1</v>
      </c>
      <c r="R159" t="n">
        <v>1</v>
      </c>
      <c r="S159" t="n">
        <v>1</v>
      </c>
      <c r="T159" t="inlineStr"/>
      <c r="U159" t="inlineStr"/>
      <c r="V159" t="inlineStr"/>
      <c r="W15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0">
      <c r="A160" t="n">
        <v>357</v>
      </c>
      <c r="B160" t="n">
        <v>121</v>
      </c>
      <c r="C160" t="n">
        <v>2</v>
      </c>
      <c r="D160" t="n">
        <v>6</v>
      </c>
      <c r="E160" t="inlineStr">
        <is>
          <t>En R1 y R2 pasa más corriente que en el resto</t>
        </is>
      </c>
      <c r="F160" t="inlineStr">
        <is>
          <t>Si la corriente es análoga al flujo de agua en una tubería, ¿qué sucedería con el flujo si la tubería se estrechara en un punto específico, y cómo esto se relaciona con la resistencia en un circuito en serie?</t>
        </is>
      </c>
      <c r="G160" t="n">
        <v>3</v>
      </c>
      <c r="H160" t="n">
        <v>4</v>
      </c>
      <c r="I160" t="n">
        <v>3</v>
      </c>
      <c r="J160" t="n">
        <v>5</v>
      </c>
      <c r="K160" t="n">
        <v>15</v>
      </c>
      <c r="L160" t="n">
        <v>1.341</v>
      </c>
      <c r="M160" t="n">
        <v>51</v>
      </c>
      <c r="N160" t="n">
        <v>44.74</v>
      </c>
      <c r="O160" t="inlineStr">
        <is>
          <t>AC2, AC14</t>
        </is>
      </c>
      <c r="P160" t="inlineStr">
        <is>
          <t>AC2, AC14</t>
        </is>
      </c>
      <c r="Q160" t="n">
        <v>1</v>
      </c>
      <c r="R160" t="n">
        <v>1</v>
      </c>
      <c r="S160" t="n">
        <v>1</v>
      </c>
      <c r="T160" t="inlineStr"/>
      <c r="U160" t="inlineStr"/>
      <c r="V160" t="inlineStr"/>
      <c r="W16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1">
      <c r="A161" t="n">
        <v>358</v>
      </c>
      <c r="B161" t="n">
        <v>121</v>
      </c>
      <c r="C161" t="n">
        <v>3</v>
      </c>
      <c r="D161" t="n">
        <v>6</v>
      </c>
      <c r="E161" t="inlineStr">
        <is>
          <t>En R2 y R3 pasa más corriente que en el resto</t>
        </is>
      </c>
      <c r="F161" t="inlineStr">
        <is>
          <t>Si el circuito es en serie, ¿cómo describirías la trayectoria que debe seguir la corriente a través de cada componente, y qué implicaciones tiene esto para la magnitud de la corriente en diferentes puntos del circuito?</t>
        </is>
      </c>
      <c r="G161" t="n">
        <v>3</v>
      </c>
      <c r="H161" t="n">
        <v>3</v>
      </c>
      <c r="I161" t="n">
        <v>3</v>
      </c>
      <c r="J161" t="n">
        <v>5</v>
      </c>
      <c r="K161" t="n">
        <v>14</v>
      </c>
      <c r="L161" t="n">
        <v>1.27</v>
      </c>
      <c r="M161" t="n">
        <v>43</v>
      </c>
      <c r="N161" t="n">
        <v>47.23</v>
      </c>
      <c r="O161" t="inlineStr">
        <is>
          <t>AC2, AC14</t>
        </is>
      </c>
      <c r="P161" t="inlineStr">
        <is>
          <t>AC2, AC14</t>
        </is>
      </c>
      <c r="Q161" t="n">
        <v>1</v>
      </c>
      <c r="R161" t="n">
        <v>1</v>
      </c>
      <c r="S161" t="n">
        <v>1</v>
      </c>
      <c r="T161" t="inlineStr"/>
      <c r="U161" t="inlineStr"/>
      <c r="V161" t="inlineStr"/>
      <c r="W16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62">
      <c r="A162" t="n">
        <v>359</v>
      </c>
      <c r="B162" t="n">
        <v>122</v>
      </c>
      <c r="C162" t="n">
        <v>1</v>
      </c>
      <c r="D162" t="n">
        <v>6</v>
      </c>
      <c r="E162" t="inlineStr">
        <is>
          <t>En R3 y R4 pasa más corriente que en el resto</t>
        </is>
      </c>
      <c r="F162" t="inlineStr">
        <is>
          <t>Si consideras dos resistencias conectadas en serie, ¿comparten ambas la misma corriente que fluye a través de ellas, o la corriente se divide de alguna manera?</t>
        </is>
      </c>
      <c r="G162" t="n">
        <v>3</v>
      </c>
      <c r="H162" t="n">
        <v>4</v>
      </c>
      <c r="I162" t="n">
        <v>3</v>
      </c>
      <c r="J162" t="n">
        <v>5</v>
      </c>
      <c r="K162" t="n">
        <v>15</v>
      </c>
      <c r="L162" t="n">
        <v>1.23</v>
      </c>
      <c r="M162" t="n">
        <v>35</v>
      </c>
      <c r="N162" t="n">
        <v>48.8</v>
      </c>
      <c r="O162" t="inlineStr">
        <is>
          <t>AC2, AC14</t>
        </is>
      </c>
      <c r="P162" t="inlineStr">
        <is>
          <t>AC2, AC14</t>
        </is>
      </c>
      <c r="Q162" t="n">
        <v>1</v>
      </c>
      <c r="R162" t="n">
        <v>1</v>
      </c>
      <c r="S162" t="n">
        <v>1</v>
      </c>
      <c r="T162" t="inlineStr"/>
      <c r="U162" t="inlineStr"/>
      <c r="V162" t="inlineStr"/>
      <c r="W16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3">
      <c r="A163" t="n">
        <v>360</v>
      </c>
      <c r="B163" t="n">
        <v>122</v>
      </c>
      <c r="C163" t="n">
        <v>2</v>
      </c>
      <c r="D163" t="n">
        <v>6</v>
      </c>
      <c r="E163" t="inlineStr">
        <is>
          <t>En R4 y R5 pasa más corriente que en el resto</t>
        </is>
      </c>
      <c r="F163" t="inlineStr">
        <is>
          <t>Si R4 y R5 están en serie, ¿cómo describirías la relación entre la corriente que fluye a través de cada una en comparación con la corriente total que entra en la combinación en serie?</t>
        </is>
      </c>
      <c r="G163" t="n">
        <v>3</v>
      </c>
      <c r="H163" t="n">
        <v>3</v>
      </c>
      <c r="I163" t="n">
        <v>5</v>
      </c>
      <c r="J163" t="n">
        <v>1</v>
      </c>
      <c r="K163" t="n">
        <v>12</v>
      </c>
      <c r="L163" t="n">
        <v>1.273</v>
      </c>
      <c r="M163" t="n">
        <v>42</v>
      </c>
      <c r="N163" t="n">
        <v>47.14</v>
      </c>
      <c r="O163" t="inlineStr">
        <is>
          <t>AC2, AC14</t>
        </is>
      </c>
      <c r="P163" t="inlineStr">
        <is>
          <t>AC2, AC14</t>
        </is>
      </c>
      <c r="Q163" t="n">
        <v>1</v>
      </c>
      <c r="R163" t="n">
        <v>1</v>
      </c>
      <c r="S163" t="n">
        <v>1</v>
      </c>
      <c r="T163" t="inlineStr"/>
      <c r="U163" t="inlineStr"/>
      <c r="V163" t="inlineStr"/>
      <c r="W163" t="inlineStr">
        <is>
          <t>Socratic quality 3/5 (Clarification): Generic question: asks for clarification without attacking the root error. Conceptual precision 3/5 (Sufficient): Sufficient: identifies that there is an error and uses correct concepts, but the diagnosis is somewhat vague. Acceptable performance; needs to improve precision or socratic methodology.</t>
        </is>
      </c>
    </row>
    <row r="164">
      <c r="A164" t="n">
        <v>361</v>
      </c>
      <c r="B164" t="n">
        <v>122</v>
      </c>
      <c r="C164" t="n">
        <v>3</v>
      </c>
      <c r="D164" t="n">
        <v>6</v>
      </c>
      <c r="E164" t="inlineStr">
        <is>
          <t>En R5 y R6 pasa más corriente que en el resto</t>
        </is>
      </c>
      <c r="F164" t="inlineStr">
        <is>
          <t>Considerando que R5 y R6 parecen estar en paralelo, ¿cómo afecta una conexión en paralelo a la corriente total que fluye a través de cada rama en comparación con la corriente que fluiría si estuvieran en serie?</t>
        </is>
      </c>
      <c r="G164" t="n">
        <v>4</v>
      </c>
      <c r="H164" t="n">
        <v>4</v>
      </c>
      <c r="I164" t="n">
        <v>5</v>
      </c>
      <c r="J164" t="n">
        <v>2</v>
      </c>
      <c r="K164" t="n">
        <v>15</v>
      </c>
      <c r="L164" t="n">
        <v>1.327</v>
      </c>
      <c r="M164" t="n">
        <v>48</v>
      </c>
      <c r="N164" t="n">
        <v>45.2</v>
      </c>
      <c r="O164" t="inlineStr">
        <is>
          <t>AC2, AC14</t>
        </is>
      </c>
      <c r="P164" t="inlineStr">
        <is>
          <t>AC2, AC14</t>
        </is>
      </c>
      <c r="Q164" t="n">
        <v>1</v>
      </c>
      <c r="R164" t="n">
        <v>1</v>
      </c>
      <c r="S164" t="n">
        <v>1</v>
      </c>
      <c r="T164" t="inlineStr"/>
      <c r="U164" t="inlineStr"/>
      <c r="V164" t="inlineStr"/>
      <c r="W164"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165">
      <c r="A165" t="n">
        <v>362</v>
      </c>
      <c r="B165" t="n">
        <v>123</v>
      </c>
      <c r="C165" t="n">
        <v>1</v>
      </c>
      <c r="D165" t="n">
        <v>6</v>
      </c>
      <c r="E165" t="inlineStr">
        <is>
          <t>Todas las resistencias forman un divisor de corriente</t>
        </is>
      </c>
      <c r="F165" t="inlineStr">
        <is>
          <t>Si dos resistencias están conectadas en serie, ¿comparten la misma corriente o fluyen corrientes diferentes a través de cada una?</t>
        </is>
      </c>
      <c r="G165" t="n">
        <v>3</v>
      </c>
      <c r="H165" t="n">
        <v>4</v>
      </c>
      <c r="I165" t="n">
        <v>4</v>
      </c>
      <c r="J165" t="n">
        <v>5</v>
      </c>
      <c r="K165" t="n">
        <v>16</v>
      </c>
      <c r="L165" t="n">
        <v>1.066</v>
      </c>
      <c r="M165" t="n">
        <v>27</v>
      </c>
      <c r="N165" t="n">
        <v>56.27</v>
      </c>
      <c r="O165" t="inlineStr"/>
      <c r="P165" t="inlineStr">
        <is>
          <t>AC2, AC14</t>
        </is>
      </c>
      <c r="Q165" t="n">
        <v>0</v>
      </c>
      <c r="R165" t="n">
        <v>1</v>
      </c>
      <c r="S165" t="n">
        <v>0</v>
      </c>
      <c r="T165" t="inlineStr"/>
      <c r="U165" t="inlineStr"/>
      <c r="V165" t="inlineStr"/>
      <c r="W16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6">
      <c r="A166" t="n">
        <v>363</v>
      </c>
      <c r="B166" t="n">
        <v>123</v>
      </c>
      <c r="C166" t="n">
        <v>2</v>
      </c>
      <c r="D166" t="n">
        <v>6</v>
      </c>
      <c r="E166" t="inlineStr">
        <is>
          <t>Todas las resistencias formar un divisor de tensión</t>
        </is>
      </c>
      <c r="F166" t="inlineStr">
        <is>
          <t>Si una fuente de voltaje está conectada a través de múltiples resistencias en serie, ¿el voltaje de la fuente se distribuye de manera uniforme entre cada resistencia, o existe una diferencia de potencial a través de cada una?</t>
        </is>
      </c>
      <c r="G166" t="n">
        <v>3</v>
      </c>
      <c r="H166" t="n">
        <v>4</v>
      </c>
      <c r="I166" t="n">
        <v>3</v>
      </c>
      <c r="J166" t="n">
        <v>5</v>
      </c>
      <c r="K166" t="n">
        <v>15</v>
      </c>
      <c r="L166" t="n">
        <v>1.299</v>
      </c>
      <c r="M166" t="n">
        <v>45</v>
      </c>
      <c r="N166" t="n">
        <v>46.2</v>
      </c>
      <c r="O166" t="inlineStr"/>
      <c r="P166" t="inlineStr">
        <is>
          <t>AC2, AC14</t>
        </is>
      </c>
      <c r="Q166" t="n">
        <v>0</v>
      </c>
      <c r="R166" t="n">
        <v>1</v>
      </c>
      <c r="S166" t="n">
        <v>0</v>
      </c>
      <c r="T166" t="inlineStr"/>
      <c r="U166" t="inlineStr"/>
      <c r="V166" t="inlineStr"/>
      <c r="W16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7">
      <c r="A167" t="n">
        <v>364</v>
      </c>
      <c r="B167" t="n">
        <v>123</v>
      </c>
      <c r="C167" t="n">
        <v>3</v>
      </c>
      <c r="D167" t="n">
        <v>6</v>
      </c>
      <c r="E167" t="inlineStr">
        <is>
          <t>Todas las resistencias están conectadas en paralelo</t>
        </is>
      </c>
      <c r="F167" t="inlineStr">
        <is>
          <t>Si las resistencias están conectadas en paralelo, ¿el voltaje a través de cada una será el mismo que el voltaje de la fuente, o diferirá?</t>
        </is>
      </c>
      <c r="G167" t="n">
        <v>3</v>
      </c>
      <c r="H167" t="n">
        <v>4</v>
      </c>
      <c r="I167" t="n">
        <v>4</v>
      </c>
      <c r="J167" t="n">
        <v>5</v>
      </c>
      <c r="K167" t="n">
        <v>16</v>
      </c>
      <c r="L167" t="n">
        <v>1.264</v>
      </c>
      <c r="M167" t="n">
        <v>32</v>
      </c>
      <c r="N167" t="n">
        <v>47.46</v>
      </c>
      <c r="O167" t="inlineStr"/>
      <c r="P167" t="inlineStr">
        <is>
          <t>AC2, AC14</t>
        </is>
      </c>
      <c r="Q167" t="n">
        <v>0</v>
      </c>
      <c r="R167" t="n">
        <v>1</v>
      </c>
      <c r="S167" t="n">
        <v>0</v>
      </c>
      <c r="T167" t="inlineStr"/>
      <c r="U167" t="inlineStr"/>
      <c r="V167" t="inlineStr"/>
      <c r="W16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8">
      <c r="A168" t="n">
        <v>365</v>
      </c>
      <c r="B168" t="n">
        <v>124</v>
      </c>
      <c r="C168" t="n">
        <v>1</v>
      </c>
      <c r="D168" t="n">
        <v>6</v>
      </c>
      <c r="E168" t="inlineStr">
        <is>
          <t>Todas las resistencias están conectadas en serie</t>
        </is>
      </c>
      <c r="F168" t="inlineStr">
        <is>
          <t>Si dos resistencias están conectadas en serie, ¿comparten la misma corriente o pueden tener corrientes diferentes fluyendo a través de ellas?</t>
        </is>
      </c>
      <c r="G168" t="n">
        <v>3</v>
      </c>
      <c r="H168" t="n">
        <v>4</v>
      </c>
      <c r="I168" t="n">
        <v>4</v>
      </c>
      <c r="J168" t="n">
        <v>5</v>
      </c>
      <c r="K168" t="n">
        <v>16</v>
      </c>
      <c r="L168" t="n">
        <v>1.079</v>
      </c>
      <c r="M168" t="n">
        <v>28</v>
      </c>
      <c r="N168" t="n">
        <v>55.63</v>
      </c>
      <c r="O168" t="inlineStr"/>
      <c r="P168" t="inlineStr">
        <is>
          <t>AC2, AC14</t>
        </is>
      </c>
      <c r="Q168" t="n">
        <v>0</v>
      </c>
      <c r="R168" t="n">
        <v>1</v>
      </c>
      <c r="S168" t="n">
        <v>0</v>
      </c>
      <c r="T168" t="inlineStr"/>
      <c r="U168" t="inlineStr"/>
      <c r="V168" t="inlineStr"/>
      <c r="W16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9">
      <c r="A169" t="n">
        <v>366</v>
      </c>
      <c r="B169" t="n">
        <v>124</v>
      </c>
      <c r="C169" t="n">
        <v>2</v>
      </c>
      <c r="D169" t="n">
        <v>6</v>
      </c>
      <c r="E169" t="inlineStr">
        <is>
          <t>La corriente irá disminuyendo conforme atraviesa las resistencias</t>
        </is>
      </c>
      <c r="F169" t="inlineStr">
        <is>
          <t>Si la corriente disminuye a través de cada resistencia en serie, ¿cómo describirías la relación entre la corriente que entra en la primera resistencia y la que sale de la última en el circuito cerrado?</t>
        </is>
      </c>
      <c r="G169" t="n">
        <v>3</v>
      </c>
      <c r="H169" t="n">
        <v>4</v>
      </c>
      <c r="I169" t="n">
        <v>4</v>
      </c>
      <c r="J169" t="n">
        <v>5</v>
      </c>
      <c r="K169" t="n">
        <v>16</v>
      </c>
      <c r="L169" t="n">
        <v>1.45</v>
      </c>
      <c r="M169" t="n">
        <v>41</v>
      </c>
      <c r="N169" t="n">
        <v>41.39</v>
      </c>
      <c r="O169" t="inlineStr"/>
      <c r="P169" t="inlineStr">
        <is>
          <t>AC2, AC14</t>
        </is>
      </c>
      <c r="Q169" t="n">
        <v>0</v>
      </c>
      <c r="R169" t="n">
        <v>1</v>
      </c>
      <c r="S169" t="n">
        <v>0</v>
      </c>
      <c r="T169" t="inlineStr"/>
      <c r="U169" t="inlineStr"/>
      <c r="V169" t="inlineStr"/>
      <c r="W16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70">
      <c r="A170" t="n">
        <v>367</v>
      </c>
      <c r="B170" t="n">
        <v>125</v>
      </c>
      <c r="C170" t="n">
        <v>1</v>
      </c>
      <c r="D170" t="n">
        <v>7</v>
      </c>
      <c r="E170" t="inlineStr">
        <is>
          <t>Por R1 ya que es la primera resistencia</t>
        </is>
      </c>
      <c r="F170" t="inlineStr">
        <is>
          <t>Considerando que R1, R2 y R3 están conectadas directamente entre los mismos dos nodos, ¿comparten todas las resistencias la misma diferencia de potencial?</t>
        </is>
      </c>
      <c r="G170" t="n">
        <v>3</v>
      </c>
      <c r="H170" t="n">
        <v>3</v>
      </c>
      <c r="I170" t="n">
        <v>5</v>
      </c>
      <c r="J170" t="n">
        <v>5</v>
      </c>
      <c r="K170" t="n">
        <v>16</v>
      </c>
      <c r="L170" t="n">
        <v>1.262</v>
      </c>
      <c r="M170" t="n">
        <v>34</v>
      </c>
      <c r="N170" t="n">
        <v>47.56</v>
      </c>
      <c r="O170" t="inlineStr">
        <is>
          <t>AC2</t>
        </is>
      </c>
      <c r="P170" t="inlineStr">
        <is>
          <t>AC2, AC14-near, AC14-series</t>
        </is>
      </c>
      <c r="Q170" t="n">
        <v>0.333</v>
      </c>
      <c r="R170" t="n">
        <v>1</v>
      </c>
      <c r="S170" t="n">
        <v>0.5</v>
      </c>
      <c r="T170" t="inlineStr"/>
      <c r="U170" t="inlineStr"/>
      <c r="V170" t="inlineStr"/>
      <c r="W17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1">
      <c r="A171" t="n">
        <v>368</v>
      </c>
      <c r="B171" t="n">
        <v>125</v>
      </c>
      <c r="C171" t="n">
        <v>2</v>
      </c>
      <c r="D171" t="n">
        <v>7</v>
      </c>
      <c r="E171" t="inlineStr">
        <is>
          <t>Por R1 ya que consume la corriente que genera la fuente</t>
        </is>
      </c>
      <c r="F171" t="inlineStr">
        <is>
          <t>Si la corriente total que sale de la fuente se "consume" en R1, ¿cómo explicarías entonces la presencia de corriente en las otras resistencias del circuito?</t>
        </is>
      </c>
      <c r="G171" t="n">
        <v>3</v>
      </c>
      <c r="H171" t="n">
        <v>3</v>
      </c>
      <c r="I171" t="n">
        <v>5</v>
      </c>
      <c r="J171" t="n">
        <v>5</v>
      </c>
      <c r="K171" t="n">
        <v>16</v>
      </c>
      <c r="L171" t="n">
        <v>1.184</v>
      </c>
      <c r="M171" t="n">
        <v>34</v>
      </c>
      <c r="N171" t="n">
        <v>50.69</v>
      </c>
      <c r="O171" t="inlineStr">
        <is>
          <t>AC2</t>
        </is>
      </c>
      <c r="P171" t="inlineStr">
        <is>
          <t>AC2, AC14-near, AC14-series</t>
        </is>
      </c>
      <c r="Q171" t="n">
        <v>0.333</v>
      </c>
      <c r="R171" t="n">
        <v>1</v>
      </c>
      <c r="S171" t="n">
        <v>0.5</v>
      </c>
      <c r="T171" t="inlineStr"/>
      <c r="U171" t="inlineStr"/>
      <c r="V171" t="inlineStr"/>
      <c r="W17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2">
      <c r="A172" t="n">
        <v>369</v>
      </c>
      <c r="B172" t="n">
        <v>125</v>
      </c>
      <c r="C172" t="n">
        <v>3</v>
      </c>
      <c r="D172" t="n">
        <v>7</v>
      </c>
      <c r="E172" t="inlineStr">
        <is>
          <t>Por R1 ya que la corriente se la encuentra en primer lugar</t>
        </is>
      </c>
      <c r="F172" t="inlineStr">
        <is>
          <t>Si la corriente encontrara una "barrera" en R1, ¿cómo podría continuar fluyendo a través del resto del circuito, considerando que la corriente busca el camino de menor resistencia?</t>
        </is>
      </c>
      <c r="G172" t="n">
        <v>3</v>
      </c>
      <c r="H172" t="n">
        <v>3</v>
      </c>
      <c r="I172" t="n">
        <v>5</v>
      </c>
      <c r="J172" t="n">
        <v>5</v>
      </c>
      <c r="K172" t="n">
        <v>16</v>
      </c>
      <c r="L172" t="n">
        <v>1.206</v>
      </c>
      <c r="M172" t="n">
        <v>39</v>
      </c>
      <c r="N172" t="n">
        <v>49.77</v>
      </c>
      <c r="O172" t="inlineStr">
        <is>
          <t>AC2</t>
        </is>
      </c>
      <c r="P172" t="inlineStr">
        <is>
          <t>AC2, AC14-near</t>
        </is>
      </c>
      <c r="Q172" t="n">
        <v>0.5</v>
      </c>
      <c r="R172" t="n">
        <v>1</v>
      </c>
      <c r="S172" t="n">
        <v>0.667</v>
      </c>
      <c r="T172" t="inlineStr"/>
      <c r="U172" t="inlineStr"/>
      <c r="V172" t="inlineStr"/>
      <c r="W17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3">
      <c r="A173" t="n">
        <v>370</v>
      </c>
      <c r="B173" t="n">
        <v>126</v>
      </c>
      <c r="C173" t="n">
        <v>1</v>
      </c>
      <c r="D173" t="n">
        <v>7</v>
      </c>
      <c r="E173" t="inlineStr">
        <is>
          <t>Por R1 ya que está más cerca de la fuente</t>
        </is>
      </c>
      <c r="F173" t="inlineStr">
        <is>
          <t>Si dos resistencias están conectadas en paralelo a los mismos dos nodos, ¿comparten la misma diferencia de potencial a través de ellas?</t>
        </is>
      </c>
      <c r="G173" t="n">
        <v>3</v>
      </c>
      <c r="H173" t="n">
        <v>3</v>
      </c>
      <c r="I173" t="n">
        <v>3</v>
      </c>
      <c r="J173" t="n">
        <v>5</v>
      </c>
      <c r="K173" t="n">
        <v>14</v>
      </c>
      <c r="L173" t="n">
        <v>1.14</v>
      </c>
      <c r="M173" t="n">
        <v>28</v>
      </c>
      <c r="N173" t="n">
        <v>52.64</v>
      </c>
      <c r="O173" t="inlineStr">
        <is>
          <t>AC2</t>
        </is>
      </c>
      <c r="P173" t="inlineStr">
        <is>
          <t>AC2, AC14-near, AC14-series</t>
        </is>
      </c>
      <c r="Q173" t="n">
        <v>0.333</v>
      </c>
      <c r="R173" t="n">
        <v>1</v>
      </c>
      <c r="S173" t="n">
        <v>0.5</v>
      </c>
      <c r="T173" t="inlineStr"/>
      <c r="U173" t="inlineStr"/>
      <c r="V173" t="inlineStr"/>
      <c r="W17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4">
      <c r="A174" t="n">
        <v>371</v>
      </c>
      <c r="B174" t="n">
        <v>126</v>
      </c>
      <c r="C174" t="n">
        <v>2</v>
      </c>
      <c r="D174" t="n">
        <v>7</v>
      </c>
      <c r="E174" t="inlineStr">
        <is>
          <t>Por R2 ya que R1 se puede quitar al estar en paralelo con la fuente</t>
        </is>
      </c>
      <c r="F174" t="inlineStr">
        <is>
          <t>Si eliminas R1 del circuito, ¿cómo afectaría eso el flujo de corriente total proveniente de la fuente, considerando que R2 seguiría conectada?</t>
        </is>
      </c>
      <c r="G174" t="n">
        <v>3</v>
      </c>
      <c r="H174" t="n">
        <v>2</v>
      </c>
      <c r="I174" t="n">
        <v>5</v>
      </c>
      <c r="J174" t="n">
        <v>5</v>
      </c>
      <c r="K174" t="n">
        <v>15</v>
      </c>
      <c r="L174" t="n">
        <v>1.154</v>
      </c>
      <c r="M174" t="n">
        <v>34</v>
      </c>
      <c r="N174" t="n">
        <v>52.01</v>
      </c>
      <c r="O174" t="inlineStr">
        <is>
          <t>AC2, AC14-near</t>
        </is>
      </c>
      <c r="P174" t="inlineStr">
        <is>
          <t>AC2</t>
        </is>
      </c>
      <c r="Q174" t="n">
        <v>1</v>
      </c>
      <c r="R174" t="n">
        <v>0.5</v>
      </c>
      <c r="S174" t="n">
        <v>0.667</v>
      </c>
      <c r="T174" t="inlineStr"/>
      <c r="U174" t="inlineStr"/>
      <c r="V174" t="inlineStr"/>
      <c r="W174"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75">
      <c r="A175" t="n">
        <v>372</v>
      </c>
      <c r="B175" t="n">
        <v>126</v>
      </c>
      <c r="C175" t="n">
        <v>3</v>
      </c>
      <c r="D175" t="n">
        <v>7</v>
      </c>
      <c r="E175" t="inlineStr">
        <is>
          <t>Por R3 ya que R1 y R2 se pueden quitar por estar en paralelo con la fuente</t>
        </is>
      </c>
      <c r="F175" t="inlineStr">
        <is>
          <t>Si R1 y R2 estuvieran efectivamente cortocircuitados por la fuente, ¿cómo describirías la resistencia total del circuito en comparación con el valor de R3?</t>
        </is>
      </c>
      <c r="G175" t="n">
        <v>3</v>
      </c>
      <c r="H175" t="n">
        <v>2</v>
      </c>
      <c r="I175" t="n">
        <v>5</v>
      </c>
      <c r="J175" t="n">
        <v>5</v>
      </c>
      <c r="K175" t="n">
        <v>15</v>
      </c>
      <c r="L175" t="n">
        <v>1.166</v>
      </c>
      <c r="M175" t="n">
        <v>36</v>
      </c>
      <c r="N175" t="n">
        <v>51.45</v>
      </c>
      <c r="O175" t="inlineStr">
        <is>
          <t>AC2, AC14-near</t>
        </is>
      </c>
      <c r="P175" t="inlineStr">
        <is>
          <t>AC2</t>
        </is>
      </c>
      <c r="Q175" t="n">
        <v>1</v>
      </c>
      <c r="R175" t="n">
        <v>0.5</v>
      </c>
      <c r="S175" t="n">
        <v>0.667</v>
      </c>
      <c r="T175" t="inlineStr"/>
      <c r="U175" t="inlineStr"/>
      <c r="V175" t="inlineStr"/>
      <c r="W175"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76">
      <c r="A176" t="n">
        <v>373</v>
      </c>
      <c r="B176" t="n">
        <v>127</v>
      </c>
      <c r="C176" t="n">
        <v>1</v>
      </c>
      <c r="D176" t="n">
        <v>7</v>
      </c>
      <c r="E176" t="inlineStr">
        <is>
          <t>Por todas las resistencias circula la misma corriente ya que todas poseen el mismo valor y están en paralelo con la fuente</t>
        </is>
      </c>
      <c r="F176" t="inlineStr">
        <is>
          <t>Si dos resistencias están conectadas directamente entre los mismos dos nodos, ¿comparten necesariamente la misma diferencia de potencial?</t>
        </is>
      </c>
      <c r="G176" t="n">
        <v>3</v>
      </c>
      <c r="H176" t="n">
        <v>4</v>
      </c>
      <c r="I176" t="n">
        <v>4</v>
      </c>
      <c r="J176" t="n">
        <v>5</v>
      </c>
      <c r="K176" t="n">
        <v>16</v>
      </c>
      <c r="L176" t="n">
        <v>1.187</v>
      </c>
      <c r="M176" t="n">
        <v>24</v>
      </c>
      <c r="N176" t="n">
        <v>50.55</v>
      </c>
      <c r="O176" t="inlineStr"/>
      <c r="P176" t="inlineStr">
        <is>
          <t>AC2, AC14-near, AC14-series</t>
        </is>
      </c>
      <c r="Q176" t="n">
        <v>0</v>
      </c>
      <c r="R176" t="n">
        <v>1</v>
      </c>
      <c r="S176" t="n">
        <v>0</v>
      </c>
      <c r="T176" t="inlineStr"/>
      <c r="U176" t="inlineStr"/>
      <c r="V176" t="inlineStr"/>
      <c r="W17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77">
      <c r="A177" t="n">
        <v>374</v>
      </c>
      <c r="B177" t="n">
        <v>127</v>
      </c>
      <c r="C177" t="n">
        <v>2</v>
      </c>
      <c r="D177" t="n">
        <v>7</v>
      </c>
      <c r="E177" t="inlineStr">
        <is>
          <t>La corriente es la misma en todas las resistencias</t>
        </is>
      </c>
      <c r="F177" t="inlineStr">
        <is>
          <t>Considerando la Ley de Ohm, ¿cómo se relaciona la corriente que fluye a través de una resistencia con la diferencia de potencial a través de ella y su resistencia?</t>
        </is>
      </c>
      <c r="G177" t="n">
        <v>3</v>
      </c>
      <c r="H177" t="n">
        <v>4</v>
      </c>
      <c r="I177" t="n">
        <v>4</v>
      </c>
      <c r="J177" t="n">
        <v>5</v>
      </c>
      <c r="K177" t="n">
        <v>16</v>
      </c>
      <c r="L177" t="n">
        <v>1.146</v>
      </c>
      <c r="M177" t="n">
        <v>35</v>
      </c>
      <c r="N177" t="n">
        <v>52.36</v>
      </c>
      <c r="O177" t="inlineStr"/>
      <c r="P177" t="inlineStr">
        <is>
          <t>AC2, AC14-near</t>
        </is>
      </c>
      <c r="Q177" t="n">
        <v>0</v>
      </c>
      <c r="R177" t="n">
        <v>1</v>
      </c>
      <c r="S177" t="n">
        <v>0</v>
      </c>
      <c r="T177" t="inlineStr"/>
      <c r="U177" t="inlineStr"/>
      <c r="V177" t="inlineStr"/>
      <c r="W17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78">
      <c r="A178" t="n">
        <v>375</v>
      </c>
      <c r="B178" t="n">
        <v>127</v>
      </c>
      <c r="C178" t="n">
        <v>3</v>
      </c>
      <c r="D178" t="n">
        <v>7</v>
      </c>
      <c r="E178" t="inlineStr">
        <is>
          <t>La corriente se divide en las tres ramas de igual manera</t>
        </is>
      </c>
      <c r="F178" t="inlineStr">
        <is>
          <t>Si la corriente se divide en las ramas, ¿qué principio fundamental gobierna cómo se distribuye esa corriente en función de las características de cada rama?</t>
        </is>
      </c>
      <c r="G178" t="n">
        <v>3</v>
      </c>
      <c r="H178" t="n">
        <v>2</v>
      </c>
      <c r="I178" t="n">
        <v>4</v>
      </c>
      <c r="J178" t="n">
        <v>5</v>
      </c>
      <c r="K178" t="n">
        <v>14</v>
      </c>
      <c r="L178" t="n">
        <v>1.097</v>
      </c>
      <c r="M178" t="n">
        <v>31</v>
      </c>
      <c r="N178" t="n">
        <v>54.69</v>
      </c>
      <c r="O178" t="inlineStr"/>
      <c r="P178" t="inlineStr"/>
      <c r="Q178" t="n">
        <v>1</v>
      </c>
      <c r="R178" t="n">
        <v>1</v>
      </c>
      <c r="S178" t="n">
        <v>1</v>
      </c>
      <c r="T178" t="inlineStr"/>
      <c r="U178" t="inlineStr"/>
      <c r="V178" t="inlineStr"/>
      <c r="W178"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79">
      <c r="A179" t="n">
        <v>376</v>
      </c>
      <c r="B179" t="n">
        <v>128</v>
      </c>
      <c r="C179" t="n">
        <v>1</v>
      </c>
      <c r="D179" t="n">
        <v>7</v>
      </c>
      <c r="E179" t="inlineStr">
        <is>
          <t>La corriente es un tercio de I en cada rama</t>
        </is>
      </c>
      <c r="F179" t="inlineStr">
        <is>
          <t>Si dos resistencias están conectadas directamente a los mismos dos nodos (N1 y 0 en este caso), ¿comparten la misma diferencia de potencial a través de ellas?</t>
        </is>
      </c>
      <c r="G179" t="n">
        <v>3</v>
      </c>
      <c r="H179" t="n">
        <v>4</v>
      </c>
      <c r="I179" t="n">
        <v>4</v>
      </c>
      <c r="J179" t="n">
        <v>5</v>
      </c>
      <c r="K179" t="n">
        <v>16</v>
      </c>
      <c r="L179" t="n">
        <v>1.358</v>
      </c>
      <c r="M179" t="n">
        <v>36</v>
      </c>
      <c r="N179" t="n">
        <v>44.18</v>
      </c>
      <c r="O179" t="inlineStr"/>
      <c r="P179" t="inlineStr">
        <is>
          <t>AC2, AC14-near, AC14-series</t>
        </is>
      </c>
      <c r="Q179" t="n">
        <v>0</v>
      </c>
      <c r="R179" t="n">
        <v>1</v>
      </c>
      <c r="S179" t="n">
        <v>0</v>
      </c>
      <c r="T179" t="inlineStr"/>
      <c r="U179" t="inlineStr"/>
      <c r="V179" t="inlineStr"/>
      <c r="W17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80">
      <c r="A180" t="n">
        <v>377</v>
      </c>
      <c r="B180" t="n">
        <v>128</v>
      </c>
      <c r="C180" t="n">
        <v>2</v>
      </c>
      <c r="D180" t="n">
        <v>7</v>
      </c>
      <c r="E180" t="inlineStr">
        <is>
          <t>Por el circuito no circula corriente ya que están las tres resistencias en paralelo y se pueden eliminar</t>
        </is>
      </c>
      <c r="F180" t="inlineStr">
        <is>
          <t>Si eliminas las resistencias, ¿qué sucede con la diferencia de potencial entre los nodos N1 y 0, y cómo afectaría esto a la posibilidad de flujo de corriente en el circuito?</t>
        </is>
      </c>
      <c r="G180" t="n">
        <v>3</v>
      </c>
      <c r="H180" t="n">
        <v>4</v>
      </c>
      <c r="I180" t="n">
        <v>4</v>
      </c>
      <c r="J180" t="n">
        <v>5</v>
      </c>
      <c r="K180" t="n">
        <v>16</v>
      </c>
      <c r="L180" t="n">
        <v>1.237</v>
      </c>
      <c r="M180" t="n">
        <v>40</v>
      </c>
      <c r="N180" t="n">
        <v>48.51</v>
      </c>
      <c r="O180" t="inlineStr"/>
      <c r="P180" t="inlineStr">
        <is>
          <t>AC2, AC14-near, AC14-series</t>
        </is>
      </c>
      <c r="Q180" t="n">
        <v>0</v>
      </c>
      <c r="R180" t="n">
        <v>1</v>
      </c>
      <c r="S180" t="n">
        <v>0</v>
      </c>
      <c r="T180" t="inlineStr"/>
      <c r="U180" t="inlineStr"/>
      <c r="V180" t="inlineStr"/>
      <c r="W18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81">
      <c r="A181" t="n">
        <v>378</v>
      </c>
      <c r="B181" t="n">
        <v>128</v>
      </c>
      <c r="C181" t="n">
        <v>3</v>
      </c>
      <c r="D181" t="n">
        <v>7</v>
      </c>
      <c r="E181" t="inlineStr">
        <is>
          <t>Todas las resistencias están conectadas en serie</t>
        </is>
      </c>
      <c r="F181" t="inlineStr">
        <is>
          <t>Si las resistencias estuvieran realmente en serie, ¿cómo describirías la trayectoria única que la corriente eléctrica seguiría a través de cada componente?</t>
        </is>
      </c>
      <c r="G181" t="n">
        <v>3</v>
      </c>
      <c r="H181" t="n">
        <v>4</v>
      </c>
      <c r="I181" t="n">
        <v>4</v>
      </c>
      <c r="J181" t="n">
        <v>5</v>
      </c>
      <c r="K181" t="n">
        <v>16</v>
      </c>
      <c r="L181" t="n">
        <v>1.044</v>
      </c>
      <c r="M181" t="n">
        <v>29</v>
      </c>
      <c r="N181" t="n">
        <v>57.47</v>
      </c>
      <c r="O181" t="inlineStr"/>
      <c r="P181" t="inlineStr">
        <is>
          <t>AC2, AC14-near, AC14-series</t>
        </is>
      </c>
      <c r="Q181" t="n">
        <v>0</v>
      </c>
      <c r="R181" t="n">
        <v>1</v>
      </c>
      <c r="S181" t="n">
        <v>0</v>
      </c>
      <c r="T181" t="inlineStr"/>
      <c r="U181" t="inlineStr"/>
      <c r="V181" t="inlineStr"/>
      <c r="W18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82">
      <c r="A182" t="n">
        <v>379</v>
      </c>
      <c r="B182" t="n">
        <v>129</v>
      </c>
      <c r="C182" t="n">
        <v>1</v>
      </c>
      <c r="D182" t="n">
        <v>7</v>
      </c>
      <c r="E182" t="inlineStr">
        <is>
          <t>Todas las resistencias están conectadas en paralelo</t>
        </is>
      </c>
      <c r="F182" t="inlineStr">
        <is>
          <t>Si tres resistencias están conectadas en paralelo entre dos nodos, ¿comparten esas resistencias la misma diferencia de potencial?</t>
        </is>
      </c>
      <c r="G182" t="n">
        <v>3</v>
      </c>
      <c r="H182" t="n">
        <v>4</v>
      </c>
      <c r="I182" t="n">
        <v>4</v>
      </c>
      <c r="J182" t="n">
        <v>5</v>
      </c>
      <c r="K182" t="n">
        <v>16</v>
      </c>
      <c r="L182" t="n">
        <v>1.124</v>
      </c>
      <c r="M182" t="n">
        <v>24</v>
      </c>
      <c r="N182" t="n">
        <v>53.36</v>
      </c>
      <c r="O182" t="inlineStr"/>
      <c r="P182" t="inlineStr">
        <is>
          <t>AC2, AC14-near, AC14-series</t>
        </is>
      </c>
      <c r="Q182" t="n">
        <v>0</v>
      </c>
      <c r="R182" t="n">
        <v>1</v>
      </c>
      <c r="S182" t="n">
        <v>0</v>
      </c>
      <c r="T182" t="inlineStr"/>
      <c r="U182" t="inlineStr"/>
      <c r="V182" t="inlineStr"/>
      <c r="W18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83">
      <c r="A183" t="n">
        <v>380</v>
      </c>
      <c r="B183" t="n">
        <v>129</v>
      </c>
      <c r="C183" t="n">
        <v>2</v>
      </c>
      <c r="D183" t="n">
        <v>7</v>
      </c>
      <c r="E183" t="inlineStr">
        <is>
          <t>Por R1</t>
        </is>
      </c>
      <c r="F183" t="inlineStr">
        <is>
          <t>Si la diferencia de potencial es la misma a través de cada resistencia en paralelo, ¿cómo se relaciona esto con la corriente que fluye a través de cada una, considerando que la resistencia de cada una puede ser diferente?</t>
        </is>
      </c>
      <c r="G183" t="n">
        <v>3</v>
      </c>
      <c r="H183" t="n">
        <v>3</v>
      </c>
      <c r="I183" t="n">
        <v>2</v>
      </c>
      <c r="J183" t="n">
        <v>5</v>
      </c>
      <c r="K183" t="n">
        <v>13</v>
      </c>
      <c r="L183" t="n">
        <v>1.318</v>
      </c>
      <c r="M183" t="n">
        <v>45</v>
      </c>
      <c r="N183" t="n">
        <v>45.52</v>
      </c>
      <c r="O183" t="inlineStr">
        <is>
          <t>AC2</t>
        </is>
      </c>
      <c r="P183" t="inlineStr">
        <is>
          <t>AC2, AC14-near</t>
        </is>
      </c>
      <c r="Q183" t="n">
        <v>0.5</v>
      </c>
      <c r="R183" t="n">
        <v>1</v>
      </c>
      <c r="S183" t="n">
        <v>0.667</v>
      </c>
      <c r="T183" t="inlineStr"/>
      <c r="U183" t="inlineStr"/>
      <c r="V183" t="inlineStr"/>
      <c r="W18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4">
      <c r="A184" t="n">
        <v>381</v>
      </c>
      <c r="B184" t="n">
        <v>129</v>
      </c>
      <c r="C184" t="n">
        <v>3</v>
      </c>
      <c r="D184" t="n">
        <v>7</v>
      </c>
      <c r="E184" t="inlineStr">
        <is>
          <t>Por R2</t>
        </is>
      </c>
      <c r="F184" t="inlineStr">
        <is>
          <t>Si la corriente total que sale de la fuente de voltaje se divide entre las diferentes ramas en paralelo, ¿cómo describirías la relación entre la corriente total y las corrientes individuales que fluyen a través de cada resistencia?</t>
        </is>
      </c>
      <c r="G184" t="n">
        <v>3</v>
      </c>
      <c r="H184" t="n">
        <v>3</v>
      </c>
      <c r="I184" t="n">
        <v>2</v>
      </c>
      <c r="J184" t="n">
        <v>5</v>
      </c>
      <c r="K184" t="n">
        <v>13</v>
      </c>
      <c r="L184" t="n">
        <v>1.256</v>
      </c>
      <c r="M184" t="n">
        <v>44</v>
      </c>
      <c r="N184" t="n">
        <v>47.77</v>
      </c>
      <c r="O184" t="inlineStr">
        <is>
          <t>AC14-near</t>
        </is>
      </c>
      <c r="P184" t="inlineStr">
        <is>
          <t>AC2, AC14-near</t>
        </is>
      </c>
      <c r="Q184" t="n">
        <v>0.5</v>
      </c>
      <c r="R184" t="n">
        <v>1</v>
      </c>
      <c r="S184" t="n">
        <v>0.667</v>
      </c>
      <c r="T184" t="inlineStr"/>
      <c r="U184" t="inlineStr"/>
      <c r="V184" t="inlineStr"/>
      <c r="W18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5">
      <c r="A185" t="n">
        <v>382</v>
      </c>
      <c r="B185" t="n">
        <v>130</v>
      </c>
      <c r="C185" t="n">
        <v>1</v>
      </c>
      <c r="D185" t="n">
        <v>7</v>
      </c>
      <c r="E185" t="inlineStr">
        <is>
          <t>Por R3</t>
        </is>
      </c>
      <c r="F185" t="inlineStr">
        <is>
          <t>Si las resistencias R1, R2 y R3 están conectadas directamente entre los mismos dos nodos (N1 y 0), ¿comparten todas la misma diferencia de potencial?</t>
        </is>
      </c>
      <c r="G185" t="n">
        <v>3</v>
      </c>
      <c r="H185" t="n">
        <v>3</v>
      </c>
      <c r="I185" t="n">
        <v>2</v>
      </c>
      <c r="J185" t="n">
        <v>5</v>
      </c>
      <c r="K185" t="n">
        <v>13</v>
      </c>
      <c r="L185" t="n">
        <v>1.329</v>
      </c>
      <c r="M185" t="n">
        <v>38</v>
      </c>
      <c r="N185" t="n">
        <v>45.14</v>
      </c>
      <c r="O185" t="inlineStr">
        <is>
          <t>AC14-near</t>
        </is>
      </c>
      <c r="P185" t="inlineStr">
        <is>
          <t>AC2, AC14-near, AC14-series</t>
        </is>
      </c>
      <c r="Q185" t="n">
        <v>0.333</v>
      </c>
      <c r="R185" t="n">
        <v>1</v>
      </c>
      <c r="S185" t="n">
        <v>0.5</v>
      </c>
      <c r="T185" t="inlineStr"/>
      <c r="U185" t="inlineStr"/>
      <c r="V185" t="inlineStr"/>
      <c r="W18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6">
      <c r="A186" t="n">
        <v>383</v>
      </c>
      <c r="B186" t="n">
        <v>130</v>
      </c>
      <c r="C186" t="n">
        <v>2</v>
      </c>
      <c r="D186" t="n">
        <v>7</v>
      </c>
      <c r="E186" t="inlineStr">
        <is>
          <t>Por R1 y R2</t>
        </is>
      </c>
      <c r="F186" t="inlineStr">
        <is>
          <t>Si R1 y R2 están en paralelo, ¿cómo se compara la corriente que fluye a través de cada una, considerando que ambas comparten la misma diferencia de potencial?</t>
        </is>
      </c>
      <c r="G186" t="n">
        <v>3</v>
      </c>
      <c r="H186" t="n">
        <v>3</v>
      </c>
      <c r="I186" t="n">
        <v>3</v>
      </c>
      <c r="J186" t="n">
        <v>5</v>
      </c>
      <c r="K186" t="n">
        <v>14</v>
      </c>
      <c r="L186" t="n">
        <v>1.149</v>
      </c>
      <c r="M186" t="n">
        <v>36</v>
      </c>
      <c r="N186" t="n">
        <v>52.24</v>
      </c>
      <c r="O186" t="inlineStr">
        <is>
          <t>AC2, AC14-near</t>
        </is>
      </c>
      <c r="P186" t="inlineStr">
        <is>
          <t>AC2, AC14-near, AC14-series</t>
        </is>
      </c>
      <c r="Q186" t="n">
        <v>0.667</v>
      </c>
      <c r="R186" t="n">
        <v>1</v>
      </c>
      <c r="S186" t="n">
        <v>0.8</v>
      </c>
      <c r="T186" t="inlineStr"/>
      <c r="U186" t="inlineStr"/>
      <c r="V186" t="inlineStr"/>
      <c r="W18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7">
      <c r="A187" t="n">
        <v>384</v>
      </c>
      <c r="B187" t="n">
        <v>130</v>
      </c>
      <c r="C187" t="n">
        <v>3</v>
      </c>
      <c r="D187" t="n">
        <v>7</v>
      </c>
      <c r="E187" t="inlineStr">
        <is>
          <t>Por R2 y R3</t>
        </is>
      </c>
      <c r="F187" t="inlineStr">
        <is>
          <t>Si R2 y R3 están en serie, ¿cómo afecta la resistencia total del circuito si R3 se reemplaza por una resistencia de menor valor?</t>
        </is>
      </c>
      <c r="G187" t="n">
        <v>4</v>
      </c>
      <c r="H187" t="n">
        <v>3</v>
      </c>
      <c r="I187" t="n">
        <v>3</v>
      </c>
      <c r="J187" t="n">
        <v>5</v>
      </c>
      <c r="K187" t="n">
        <v>15</v>
      </c>
      <c r="L187" t="n">
        <v>1.153</v>
      </c>
      <c r="M187" t="n">
        <v>32</v>
      </c>
      <c r="N187" t="n">
        <v>52.05</v>
      </c>
      <c r="O187" t="inlineStr">
        <is>
          <t>AC14-near</t>
        </is>
      </c>
      <c r="P187" t="inlineStr">
        <is>
          <t>AC14-near, AC14-series</t>
        </is>
      </c>
      <c r="Q187" t="n">
        <v>0.5</v>
      </c>
      <c r="R187" t="n">
        <v>1</v>
      </c>
      <c r="S187" t="n">
        <v>0.667</v>
      </c>
      <c r="T187" t="inlineStr"/>
      <c r="U187" t="inlineStr"/>
      <c r="V187" t="inlineStr"/>
      <c r="W187"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88">
      <c r="A188" t="n">
        <v>385</v>
      </c>
      <c r="B188" t="n">
        <v>131</v>
      </c>
      <c r="C188" t="n">
        <v>1</v>
      </c>
      <c r="D188" t="n">
        <v>7</v>
      </c>
      <c r="E188" t="inlineStr">
        <is>
          <t>Por R1 y R3</t>
        </is>
      </c>
      <c r="F188" t="inlineStr">
        <is>
          <t>Si dos resistencias están conectadas en paralelo a los mismos dos nodos, ¿comparten la misma diferencia de potencial a través de ellas?</t>
        </is>
      </c>
      <c r="G188" t="n">
        <v>3</v>
      </c>
      <c r="H188" t="n">
        <v>3</v>
      </c>
      <c r="I188" t="n">
        <v>2</v>
      </c>
      <c r="J188" t="n">
        <v>5</v>
      </c>
      <c r="K188" t="n">
        <v>13</v>
      </c>
      <c r="L188" t="n">
        <v>1.178</v>
      </c>
      <c r="M188" t="n">
        <v>28</v>
      </c>
      <c r="N188" t="n">
        <v>50.93</v>
      </c>
      <c r="O188" t="inlineStr">
        <is>
          <t>AC2, AC14-near</t>
        </is>
      </c>
      <c r="P188" t="inlineStr">
        <is>
          <t>AC2, AC14-near, AC14-series</t>
        </is>
      </c>
      <c r="Q188" t="n">
        <v>0.667</v>
      </c>
      <c r="R188" t="n">
        <v>1</v>
      </c>
      <c r="S188" t="n">
        <v>0.8</v>
      </c>
      <c r="T188" t="inlineStr"/>
      <c r="U188" t="inlineStr"/>
      <c r="V188" t="inlineStr"/>
      <c r="W18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9">
      <c r="A189" t="n">
        <v>386</v>
      </c>
      <c r="B189" t="n">
        <v>131</v>
      </c>
      <c r="C189" t="n">
        <v>2</v>
      </c>
      <c r="D189" t="n">
        <v>7</v>
      </c>
      <c r="E189" t="inlineStr">
        <is>
          <t>Por la resistencia de menor valor</t>
        </is>
      </c>
      <c r="F189" t="inlineStr">
        <is>
          <t>Si la diferencia de potencial es la misma a través de dos resistencias en paralelo, ¿cómo se relaciona la corriente que fluye a través de cada una con su resistencia respectiva, considerando la Ley de Ohm?</t>
        </is>
      </c>
      <c r="G189" t="n">
        <v>3</v>
      </c>
      <c r="H189" t="n">
        <v>4</v>
      </c>
      <c r="I189" t="n">
        <v>3</v>
      </c>
      <c r="J189" t="n">
        <v>5</v>
      </c>
      <c r="K189" t="n">
        <v>15</v>
      </c>
      <c r="L189" t="n">
        <v>1.281</v>
      </c>
      <c r="M189" t="n">
        <v>43</v>
      </c>
      <c r="N189" t="n">
        <v>46.82</v>
      </c>
      <c r="O189" t="inlineStr"/>
      <c r="P189" t="inlineStr">
        <is>
          <t>AC2, AC14-near, AC14-series</t>
        </is>
      </c>
      <c r="Q189" t="n">
        <v>0</v>
      </c>
      <c r="R189" t="n">
        <v>1</v>
      </c>
      <c r="S189" t="n">
        <v>0</v>
      </c>
      <c r="T189" t="inlineStr"/>
      <c r="U189" t="inlineStr"/>
      <c r="V189" t="inlineStr"/>
      <c r="W18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0">
      <c r="A190" t="n">
        <v>387</v>
      </c>
      <c r="B190" t="n">
        <v>131</v>
      </c>
      <c r="C190" t="n">
        <v>3</v>
      </c>
      <c r="D190" t="n">
        <v>7</v>
      </c>
      <c r="E190" t="inlineStr">
        <is>
          <t>Por la que está en medio del circuito</t>
        </is>
      </c>
      <c r="F190" t="inlineStr">
        <is>
          <t>Considerando que la corriente total que entra a un nodo debe ser igual a la corriente que sale, ¿cómo describirías la relación entre las corrientes que fluyen a través de cada rama en un circuito paralelo?</t>
        </is>
      </c>
      <c r="G190" t="n">
        <v>3</v>
      </c>
      <c r="H190" t="n">
        <v>4</v>
      </c>
      <c r="I190" t="n">
        <v>4</v>
      </c>
      <c r="J190" t="n">
        <v>5</v>
      </c>
      <c r="K190" t="n">
        <v>16</v>
      </c>
      <c r="L190" t="n">
        <v>1.297</v>
      </c>
      <c r="M190" t="n">
        <v>43</v>
      </c>
      <c r="N190" t="n">
        <v>46.27</v>
      </c>
      <c r="O190" t="inlineStr"/>
      <c r="P190" t="inlineStr">
        <is>
          <t>AC2, AC14-near</t>
        </is>
      </c>
      <c r="Q190" t="n">
        <v>0</v>
      </c>
      <c r="R190" t="n">
        <v>1</v>
      </c>
      <c r="S190" t="n">
        <v>0</v>
      </c>
      <c r="T190" t="inlineStr"/>
      <c r="U190" t="inlineStr"/>
      <c r="V190" t="inlineStr"/>
      <c r="W19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1">
      <c r="A191" t="n">
        <v>388</v>
      </c>
      <c r="B191" t="n">
        <v>132</v>
      </c>
      <c r="C191" t="n">
        <v>1</v>
      </c>
      <c r="D191" t="n">
        <v>7</v>
      </c>
      <c r="E191" t="inlineStr">
        <is>
          <t>Sí</t>
        </is>
      </c>
      <c r="F191" t="inlineStr">
        <is>
          <t>Si las tres resistencias están conectadas directamente entre los mismos dos nodos, ¿comparten la misma diferencia de potencial?</t>
        </is>
      </c>
      <c r="G191" t="n">
        <v>3</v>
      </c>
      <c r="H191" t="n">
        <v>4</v>
      </c>
      <c r="I191" t="n">
        <v>2</v>
      </c>
      <c r="J191" t="n">
        <v>5</v>
      </c>
      <c r="K191" t="n">
        <v>14</v>
      </c>
      <c r="L191" t="n">
        <v>1.13</v>
      </c>
      <c r="M191" t="n">
        <v>24</v>
      </c>
      <c r="N191" t="n">
        <v>53.1</v>
      </c>
      <c r="O191" t="inlineStr"/>
      <c r="P191" t="inlineStr">
        <is>
          <t>AC2, AC14-near, AC14-series</t>
        </is>
      </c>
      <c r="Q191" t="n">
        <v>0</v>
      </c>
      <c r="R191" t="n">
        <v>1</v>
      </c>
      <c r="S191" t="n">
        <v>0</v>
      </c>
      <c r="T191" t="inlineStr"/>
      <c r="U191" t="inlineStr"/>
      <c r="V191" t="inlineStr"/>
      <c r="W19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2">
      <c r="A192" t="n">
        <v>389</v>
      </c>
      <c r="B192" t="n">
        <v>132</v>
      </c>
      <c r="C192" t="n">
        <v>2</v>
      </c>
      <c r="D192" t="n">
        <v>7</v>
      </c>
      <c r="E192" t="inlineStr">
        <is>
          <t>No</t>
        </is>
      </c>
      <c r="F192" t="inlineStr">
        <is>
          <t>Si las resistencias no comparten la misma diferencia de potencial, ¿cómo describirías entonces la relación entre el flujo de corriente y la resistencia en cada una de ellas?</t>
        </is>
      </c>
      <c r="G192" t="n">
        <v>3</v>
      </c>
      <c r="H192" t="n">
        <v>4</v>
      </c>
      <c r="I192" t="n">
        <v>2</v>
      </c>
      <c r="J192" t="n">
        <v>5</v>
      </c>
      <c r="K192" t="n">
        <v>14</v>
      </c>
      <c r="L192" t="n">
        <v>1.088</v>
      </c>
      <c r="M192" t="n">
        <v>33</v>
      </c>
      <c r="N192" t="n">
        <v>55.17</v>
      </c>
      <c r="O192" t="inlineStr"/>
      <c r="P192" t="inlineStr">
        <is>
          <t>AC2, AC14-near, AC14-series</t>
        </is>
      </c>
      <c r="Q192" t="n">
        <v>0</v>
      </c>
      <c r="R192" t="n">
        <v>1</v>
      </c>
      <c r="S192" t="n">
        <v>0</v>
      </c>
      <c r="T192" t="inlineStr"/>
      <c r="U192" t="inlineStr"/>
      <c r="V192" t="inlineStr"/>
      <c r="W19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3">
      <c r="A193" t="n">
        <v>390</v>
      </c>
      <c r="B193" t="n">
        <v>132</v>
      </c>
      <c r="C193" t="n">
        <v>3</v>
      </c>
      <c r="D193" t="n">
        <v>7</v>
      </c>
      <c r="E193" t="inlineStr">
        <is>
          <t>Por la que está más cerca de la fuente físicamente</t>
        </is>
      </c>
      <c r="F193" t="inlineStr">
        <is>
          <t>Si la proximidad a la fuente influyera en la diferencia de potencial, ¿cómo explicarías la diferencia de potencial entre dos resistencias conectadas directamente a la misma fuente?</t>
        </is>
      </c>
      <c r="G193" t="n">
        <v>3</v>
      </c>
      <c r="H193" t="n">
        <v>3</v>
      </c>
      <c r="I193" t="n">
        <v>4</v>
      </c>
      <c r="J193" t="n">
        <v>5</v>
      </c>
      <c r="K193" t="n">
        <v>15</v>
      </c>
      <c r="L193" t="n">
        <v>1.163</v>
      </c>
      <c r="M193" t="n">
        <v>36</v>
      </c>
      <c r="N193" t="n">
        <v>51.59</v>
      </c>
      <c r="O193" t="inlineStr"/>
      <c r="P193" t="inlineStr">
        <is>
          <t>AC2, AC14-near, AC14-series</t>
        </is>
      </c>
      <c r="Q193" t="n">
        <v>0</v>
      </c>
      <c r="R193" t="n">
        <v>1</v>
      </c>
      <c r="S193" t="n">
        <v>0</v>
      </c>
      <c r="T193" t="inlineStr"/>
      <c r="U193" t="inlineStr"/>
      <c r="V193" t="inlineStr"/>
      <c r="W19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94">
      <c r="A194" t="n">
        <v>391</v>
      </c>
      <c r="B194" t="n">
        <v>133</v>
      </c>
      <c r="C194" t="n">
        <v>1</v>
      </c>
      <c r="D194" t="n">
        <v>7</v>
      </c>
      <c r="E194" t="inlineStr">
        <is>
          <t>Por la que está más lejos de la fuente</t>
        </is>
      </c>
      <c r="F194" t="inlineStr">
        <is>
          <t>Si dos resistencias están conectadas en paralelo a los mismos dos nodos, ¿comparten la misma diferencia de potencial a través de ellas?</t>
        </is>
      </c>
      <c r="G194" t="n">
        <v>3</v>
      </c>
      <c r="H194" t="n">
        <v>4</v>
      </c>
      <c r="I194" t="n">
        <v>4</v>
      </c>
      <c r="J194" t="n">
        <v>5</v>
      </c>
      <c r="K194" t="n">
        <v>16</v>
      </c>
      <c r="L194" t="n">
        <v>1.164</v>
      </c>
      <c r="M194" t="n">
        <v>28</v>
      </c>
      <c r="N194" t="n">
        <v>51.57</v>
      </c>
      <c r="O194" t="inlineStr"/>
      <c r="P194" t="inlineStr">
        <is>
          <t>AC2, AC14-near, AC14-series</t>
        </is>
      </c>
      <c r="Q194" t="n">
        <v>0</v>
      </c>
      <c r="R194" t="n">
        <v>1</v>
      </c>
      <c r="S194" t="n">
        <v>0</v>
      </c>
      <c r="T194" t="inlineStr"/>
      <c r="U194" t="inlineStr"/>
      <c r="V194" t="inlineStr"/>
      <c r="W19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5">
      <c r="A195" t="n">
        <v>392</v>
      </c>
      <c r="B195" t="n">
        <v>133</v>
      </c>
      <c r="C195" t="n">
        <v>2</v>
      </c>
      <c r="D195" t="n">
        <v>7</v>
      </c>
      <c r="E195" t="inlineStr">
        <is>
          <t>Por la que tiene más voltaje aplicado</t>
        </is>
      </c>
      <c r="F195" t="inlineStr">
        <is>
          <t>Si la diferencia de potencial es la misma en ambas resistencias en paralelo, ¿qué factor determinaría entonces la cantidad de corriente que fluye a través de cada una?</t>
        </is>
      </c>
      <c r="G195" t="n">
        <v>3</v>
      </c>
      <c r="H195" t="n">
        <v>4</v>
      </c>
      <c r="I195" t="n">
        <v>4</v>
      </c>
      <c r="J195" t="n">
        <v>5</v>
      </c>
      <c r="K195" t="n">
        <v>16</v>
      </c>
      <c r="L195" t="n">
        <v>1.205</v>
      </c>
      <c r="M195" t="n">
        <v>34</v>
      </c>
      <c r="N195" t="n">
        <v>49.8</v>
      </c>
      <c r="O195" t="inlineStr"/>
      <c r="P195" t="inlineStr">
        <is>
          <t>AC2, AC14-near, AC14-series</t>
        </is>
      </c>
      <c r="Q195" t="n">
        <v>0</v>
      </c>
      <c r="R195" t="n">
        <v>1</v>
      </c>
      <c r="S195" t="n">
        <v>0</v>
      </c>
      <c r="T195" t="inlineStr"/>
      <c r="U195" t="inlineStr"/>
      <c r="V195" t="inlineStr"/>
      <c r="W19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6">
      <c r="A196" t="n">
        <v>393</v>
      </c>
      <c r="B196" t="n">
        <v>133</v>
      </c>
      <c r="C196" t="n">
        <v>3</v>
      </c>
      <c r="D196" t="n">
        <v>7</v>
      </c>
      <c r="E196" t="inlineStr">
        <is>
          <t>Por la que aparece primero en el esquema</t>
        </is>
      </c>
      <c r="F196" t="inlineStr">
        <is>
          <t>El diagrama esquemático representa la configuración física del circuito, pero ¿cómo se relaciona la corriente que fluye a través de un componente con sus propiedades intrínsecas, independientemente de su posición en el diagrama?</t>
        </is>
      </c>
      <c r="G196" t="n">
        <v>3</v>
      </c>
      <c r="H196" t="n">
        <v>2</v>
      </c>
      <c r="I196" t="n">
        <v>4</v>
      </c>
      <c r="J196" t="n">
        <v>5</v>
      </c>
      <c r="K196" t="n">
        <v>14</v>
      </c>
      <c r="L196" t="n">
        <v>1.274</v>
      </c>
      <c r="M196" t="n">
        <v>45</v>
      </c>
      <c r="N196" t="n">
        <v>47.1</v>
      </c>
      <c r="O196" t="inlineStr"/>
      <c r="P196" t="inlineStr">
        <is>
          <t>AC14-near</t>
        </is>
      </c>
      <c r="Q196" t="n">
        <v>0</v>
      </c>
      <c r="R196" t="n">
        <v>1</v>
      </c>
      <c r="S196" t="n">
        <v>0</v>
      </c>
      <c r="T196" t="inlineStr"/>
      <c r="U196" t="inlineStr"/>
      <c r="V196" t="inlineStr"/>
      <c r="W196"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97">
      <c r="A197" t="n">
        <v>394</v>
      </c>
      <c r="B197" t="n">
        <v>134</v>
      </c>
      <c r="C197" t="n">
        <v>1</v>
      </c>
      <c r="D197" t="n">
        <v>7</v>
      </c>
      <c r="E197" t="inlineStr">
        <is>
          <t>Por la que tiene menos oposición al paso de corriente</t>
        </is>
      </c>
      <c r="F197" t="inlineStr">
        <is>
          <t>Si tres resistencias con el mismo valor están conectadas directamente a la misma fuente de tensión, ¿comparten todas la misma diferencia de potencial entre sus terminales?</t>
        </is>
      </c>
      <c r="G197" t="n">
        <v>3</v>
      </c>
      <c r="H197" t="n">
        <v>4</v>
      </c>
      <c r="I197" t="n">
        <v>4</v>
      </c>
      <c r="J197" t="n">
        <v>5</v>
      </c>
      <c r="K197" t="n">
        <v>16</v>
      </c>
      <c r="L197" t="n">
        <v>1.243</v>
      </c>
      <c r="M197" t="n">
        <v>33</v>
      </c>
      <c r="N197" t="n">
        <v>48.27</v>
      </c>
      <c r="O197" t="inlineStr"/>
      <c r="P197" t="inlineStr">
        <is>
          <t>AC2, AC14-near, AC14-series</t>
        </is>
      </c>
      <c r="Q197" t="n">
        <v>0</v>
      </c>
      <c r="R197" t="n">
        <v>1</v>
      </c>
      <c r="S197" t="n">
        <v>0</v>
      </c>
      <c r="T197" t="inlineStr"/>
      <c r="U197" t="inlineStr"/>
      <c r="V197" t="inlineStr"/>
      <c r="W19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8">
      <c r="A198" t="n">
        <v>395</v>
      </c>
      <c r="B198" t="n">
        <v>134</v>
      </c>
      <c r="C198" t="n">
        <v>2</v>
      </c>
      <c r="D198" t="n">
        <v>7</v>
      </c>
      <c r="E198" t="inlineStr">
        <is>
          <t>Por la que está en paralelo con la fuente.</t>
        </is>
      </c>
      <c r="F198" t="inlineStr">
        <is>
          <t>Si una resistencia está en paralelo con una fuente de tensión, ¿cómo describirías la trayectoria que tomaría la corriente eléctrica en comparación con otras posibles trayectorias en el circuito?</t>
        </is>
      </c>
      <c r="G198" t="n">
        <v>3</v>
      </c>
      <c r="H198" t="n">
        <v>4</v>
      </c>
      <c r="I198" t="n">
        <v>4</v>
      </c>
      <c r="J198" t="n">
        <v>5</v>
      </c>
      <c r="K198" t="n">
        <v>16</v>
      </c>
      <c r="L198" t="n">
        <v>1.156</v>
      </c>
      <c r="M198" t="n">
        <v>37</v>
      </c>
      <c r="N198" t="n">
        <v>51.89</v>
      </c>
      <c r="O198" t="inlineStr"/>
      <c r="P198" t="inlineStr">
        <is>
          <t>AC2, AC14-near</t>
        </is>
      </c>
      <c r="Q198" t="n">
        <v>0</v>
      </c>
      <c r="R198" t="n">
        <v>1</v>
      </c>
      <c r="S198" t="n">
        <v>0</v>
      </c>
      <c r="T198" t="inlineStr"/>
      <c r="U198" t="inlineStr"/>
      <c r="V198" t="inlineStr"/>
      <c r="W19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9">
      <c r="A199" t="n">
        <v>396</v>
      </c>
      <c r="B199" t="n">
        <v>134</v>
      </c>
      <c r="C199" t="n">
        <v>3</v>
      </c>
      <c r="D199" t="n">
        <v>7</v>
      </c>
      <c r="E199" t="inlineStr">
        <is>
          <t>R1, R2 y R3 ya que todas están en paralelo con la fuente y son iguales</t>
        </is>
      </c>
      <c r="F199" t="inlineStr">
        <is>
          <t>Considerando que la corriente total que sale de la fuente debe fluir a través de cada rama en paralelo, ¿cómo se relaciona la resistencia de cada rama con la cantidad de corriente que fluye a través de ella, según la Ley de Ohm?</t>
        </is>
      </c>
      <c r="G199" t="n">
        <v>3</v>
      </c>
      <c r="H199" t="n">
        <v>3</v>
      </c>
      <c r="I199" t="n">
        <v>3</v>
      </c>
      <c r="J199" t="n">
        <v>5</v>
      </c>
      <c r="K199" t="n">
        <v>14</v>
      </c>
      <c r="L199" t="n">
        <v>1.394</v>
      </c>
      <c r="M199" t="n">
        <v>51</v>
      </c>
      <c r="N199" t="n">
        <v>43.05</v>
      </c>
      <c r="O199" t="inlineStr">
        <is>
          <t>AC2, AC14-near</t>
        </is>
      </c>
      <c r="P199" t="inlineStr">
        <is>
          <t>AC2, AC14-near</t>
        </is>
      </c>
      <c r="Q199" t="n">
        <v>1</v>
      </c>
      <c r="R199" t="n">
        <v>1</v>
      </c>
      <c r="S199" t="n">
        <v>1</v>
      </c>
      <c r="T199" t="inlineStr"/>
      <c r="U199" t="inlineStr"/>
      <c r="V199" t="inlineStr"/>
      <c r="W19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99"/>
  <sheetViews>
    <sheetView workbookViewId="0">
      <selection activeCell="A1" sqref="A1"/>
    </sheetView>
  </sheetViews>
  <sheetFormatPr baseColWidth="8" defaultRowHeight="15"/>
  <sheetData>
    <row r="1">
      <c r="A1" t="inlineStr">
        <is>
          <t>ID</t>
        </is>
      </c>
      <c r="B1" t="inlineStr">
        <is>
          <t>Conversation</t>
        </is>
      </c>
      <c r="C1" t="inlineStr">
        <is>
          <t>Turn</t>
        </is>
      </c>
      <c r="D1" t="inlineStr">
        <is>
          <t>Exercise</t>
        </is>
      </c>
      <c r="E1" t="inlineStr">
        <is>
          <t>Student Answer</t>
        </is>
      </c>
      <c r="F1" t="inlineStr">
        <is>
          <t>Tutor Socratic Response</t>
        </is>
      </c>
      <c r="G1" t="inlineStr">
        <is>
          <t>Socratic Quality</t>
        </is>
      </c>
      <c r="H1" t="inlineStr">
        <is>
          <t>Conceptual Precision</t>
        </is>
      </c>
      <c r="I1" t="inlineStr">
        <is>
          <t>Consistency</t>
        </is>
      </c>
      <c r="J1" t="inlineStr">
        <is>
          <t>Hallucination Rate</t>
        </is>
      </c>
      <c r="K1" t="inlineStr">
        <is>
          <t>Total Score</t>
        </is>
      </c>
      <c r="L1" t="inlineStr">
        <is>
          <t>Latency (s)</t>
        </is>
      </c>
      <c r="M1" t="inlineStr">
        <is>
          <t>Tokens</t>
        </is>
      </c>
      <c r="N1" t="inlineStr">
        <is>
          <t>Throughput (resp/min)</t>
        </is>
      </c>
      <c r="O1" t="inlineStr">
        <is>
          <t>Expected ACs</t>
        </is>
      </c>
      <c r="P1" t="inlineStr">
        <is>
          <t>Detected ACs</t>
        </is>
      </c>
      <c r="Q1" t="inlineStr">
        <is>
          <t>AC Precision</t>
        </is>
      </c>
      <c r="R1" t="inlineStr">
        <is>
          <t>AC Recall</t>
        </is>
      </c>
      <c r="S1" t="inlineStr">
        <is>
          <t>AC F1</t>
        </is>
      </c>
      <c r="T1" t="inlineStr">
        <is>
          <t>Faithfulness</t>
        </is>
      </c>
      <c r="U1" t="inlineStr">
        <is>
          <t>Relevance</t>
        </is>
      </c>
      <c r="V1" t="inlineStr">
        <is>
          <t>Think Content</t>
        </is>
      </c>
      <c r="W1" t="inlineStr">
        <is>
          <t>Constructive Feedback</t>
        </is>
      </c>
    </row>
    <row r="2">
      <c r="A2" t="n">
        <v>1</v>
      </c>
      <c r="B2" t="n">
        <v>1</v>
      </c>
      <c r="C2" t="n">
        <v>1</v>
      </c>
      <c r="D2" t="n">
        <v>1</v>
      </c>
      <c r="E2" t="inlineStr">
        <is>
          <t>R1 y R2 dado que las dos resistencia forman un divisor de tensión</t>
        </is>
      </c>
      <c r="F2" t="inlineStr">
        <is>
          <t>Considerando que el interruptor está abierto entre N2 y N3, ¿cómo afecta la presencia de R5 al flujo de corriente y, por lo tanto, a la diferencia de potencial entre N2 y 0?</t>
        </is>
      </c>
      <c r="G2" t="n">
        <v>4</v>
      </c>
      <c r="H2" t="n">
        <v>3</v>
      </c>
      <c r="I2" t="n">
        <v>3</v>
      </c>
      <c r="J2" t="n">
        <v>5</v>
      </c>
      <c r="K2" t="n">
        <v>15</v>
      </c>
      <c r="L2" t="n">
        <v>29.642</v>
      </c>
      <c r="M2" t="n">
        <v>46</v>
      </c>
      <c r="N2" t="n">
        <v>2.02</v>
      </c>
      <c r="O2" t="inlineStr">
        <is>
          <t>AC9</t>
        </is>
      </c>
      <c r="P2" t="inlineStr">
        <is>
          <t>AC1</t>
        </is>
      </c>
      <c r="Q2" t="n">
        <v>0</v>
      </c>
      <c r="R2" t="n">
        <v>0</v>
      </c>
      <c r="S2" t="n">
        <v>0</v>
      </c>
      <c r="T2" t="inlineStr"/>
      <c r="U2" t="inlineStr"/>
      <c r="V2" t="inlineStr"/>
      <c r="W2"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3">
      <c r="A3" t="n">
        <v>2</v>
      </c>
      <c r="B3" t="n">
        <v>1</v>
      </c>
      <c r="C3" t="n">
        <v>2</v>
      </c>
      <c r="D3" t="n">
        <v>1</v>
      </c>
      <c r="E3" t="inlineStr">
        <is>
          <t>R1 y R2 dado que se pide la tensión en R2</t>
        </is>
      </c>
      <c r="F3" t="inlineStr">
        <is>
          <t>Si la corriente fluye a través de R1 y R2, ¿qué factores podrían influir en la proporción de corriente que pasa a través de cada resistencia, considerando su resistencia individual?</t>
        </is>
      </c>
      <c r="G3" t="n">
        <v>3</v>
      </c>
      <c r="H3" t="n">
        <v>3</v>
      </c>
      <c r="I3" t="n">
        <v>5</v>
      </c>
      <c r="J3" t="n">
        <v>5</v>
      </c>
      <c r="K3" t="n">
        <v>16</v>
      </c>
      <c r="L3" t="n">
        <v>0.832</v>
      </c>
      <c r="M3" t="n">
        <v>39</v>
      </c>
      <c r="N3" t="n">
        <v>72.08</v>
      </c>
      <c r="O3" t="inlineStr">
        <is>
          <t>AC9</t>
        </is>
      </c>
      <c r="P3" t="inlineStr">
        <is>
          <t>AC1</t>
        </is>
      </c>
      <c r="Q3" t="n">
        <v>0</v>
      </c>
      <c r="R3" t="n">
        <v>0</v>
      </c>
      <c r="S3" t="n">
        <v>0</v>
      </c>
      <c r="T3" t="inlineStr"/>
      <c r="U3" t="inlineStr"/>
      <c r="V3" t="inlineStr"/>
      <c r="W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
      <c r="A4" t="n">
        <v>3</v>
      </c>
      <c r="B4" t="n">
        <v>1</v>
      </c>
      <c r="C4" t="n">
        <v>3</v>
      </c>
      <c r="D4" t="n">
        <v>1</v>
      </c>
      <c r="E4" t="inlineStr">
        <is>
          <t>R1 y R2 por identificar un divisor de tensión</t>
        </is>
      </c>
      <c r="F4" t="inlineStr">
        <is>
          <t>Si estás configurando un divisor de tensión con R1 y R2, ¿qué relación específica defines entre los voltajes en los nodos N1 y N2?</t>
        </is>
      </c>
      <c r="G4" t="n">
        <v>3</v>
      </c>
      <c r="H4" t="n">
        <v>3</v>
      </c>
      <c r="I4" t="n">
        <v>5</v>
      </c>
      <c r="J4" t="n">
        <v>5</v>
      </c>
      <c r="K4" t="n">
        <v>16</v>
      </c>
      <c r="L4" t="n">
        <v>0.755</v>
      </c>
      <c r="M4" t="n">
        <v>34</v>
      </c>
      <c r="N4" t="n">
        <v>79.43000000000001</v>
      </c>
      <c r="O4" t="inlineStr">
        <is>
          <t>AC9</t>
        </is>
      </c>
      <c r="P4" t="inlineStr"/>
      <c r="Q4" t="n">
        <v>1</v>
      </c>
      <c r="R4" t="n">
        <v>0</v>
      </c>
      <c r="S4" t="n">
        <v>0</v>
      </c>
      <c r="T4" t="inlineStr"/>
      <c r="U4" t="inlineStr"/>
      <c r="V4" t="inlineStr"/>
      <c r="W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
      <c r="A5" t="n">
        <v>4</v>
      </c>
      <c r="B5" t="n">
        <v>2</v>
      </c>
      <c r="C5" t="n">
        <v>1</v>
      </c>
      <c r="D5" t="n">
        <v>1</v>
      </c>
      <c r="E5" t="inlineStr">
        <is>
          <t>R1 y R2 hacen un divisor de tensión</t>
        </is>
      </c>
      <c r="F5" t="inlineStr">
        <is>
          <t>Considerando que el interruptor está abierto, ¿cómo afecta la interrupción del flujo de corriente a través de R3 y R5 al determinar el potencial en el nodo N2 en relación con la tierra?</t>
        </is>
      </c>
      <c r="G5" t="n">
        <v>4</v>
      </c>
      <c r="H5" t="n">
        <v>3</v>
      </c>
      <c r="I5" t="n">
        <v>2</v>
      </c>
      <c r="J5" t="n">
        <v>5</v>
      </c>
      <c r="K5" t="n">
        <v>14</v>
      </c>
      <c r="L5" t="n">
        <v>0.828</v>
      </c>
      <c r="M5" t="n">
        <v>43</v>
      </c>
      <c r="N5" t="n">
        <v>72.42</v>
      </c>
      <c r="O5" t="inlineStr">
        <is>
          <t>AC9</t>
        </is>
      </c>
      <c r="P5" t="inlineStr">
        <is>
          <t>AC1, AC9</t>
        </is>
      </c>
      <c r="Q5" t="n">
        <v>0.5</v>
      </c>
      <c r="R5" t="n">
        <v>1</v>
      </c>
      <c r="S5" t="n">
        <v>0.667</v>
      </c>
      <c r="T5" t="inlineStr"/>
      <c r="U5" t="inlineStr"/>
      <c r="V5" t="inlineStr"/>
      <c r="W5"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6">
      <c r="A6" t="n">
        <v>5</v>
      </c>
      <c r="B6" t="n">
        <v>2</v>
      </c>
      <c r="C6" t="n">
        <v>2</v>
      </c>
      <c r="D6" t="n">
        <v>1</v>
      </c>
      <c r="E6" t="inlineStr">
        <is>
          <t>R1, R2, R3 y R4 porque R5 está cortocircuitada</t>
        </is>
      </c>
      <c r="F6" t="inlineStr">
        <is>
          <t>Si el interruptor estuviera cerrado, ¿cómo cambiaría la distribución de la corriente a través de R1, R2 y R3, y qué implicaciones tendría eso para el potencial en el nodo N2?</t>
        </is>
      </c>
      <c r="G6" t="n">
        <v>3</v>
      </c>
      <c r="H6" t="n">
        <v>4</v>
      </c>
      <c r="I6" t="n">
        <v>4</v>
      </c>
      <c r="J6" t="n">
        <v>5</v>
      </c>
      <c r="K6" t="n">
        <v>16</v>
      </c>
      <c r="L6" t="n">
        <v>1.042</v>
      </c>
      <c r="M6" t="n">
        <v>45</v>
      </c>
      <c r="N6" t="n">
        <v>57.57</v>
      </c>
      <c r="O6" t="inlineStr">
        <is>
          <t>AC1, AC6</t>
        </is>
      </c>
      <c r="P6" t="inlineStr">
        <is>
          <t>AC1</t>
        </is>
      </c>
      <c r="Q6" t="n">
        <v>1</v>
      </c>
      <c r="R6" t="n">
        <v>0.5</v>
      </c>
      <c r="S6" t="n">
        <v>0.667</v>
      </c>
      <c r="T6" t="inlineStr"/>
      <c r="U6" t="inlineStr"/>
      <c r="V6" t="inlineStr"/>
      <c r="W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7">
      <c r="A7" t="n">
        <v>6</v>
      </c>
      <c r="B7" t="n">
        <v>2</v>
      </c>
      <c r="C7" t="n">
        <v>3</v>
      </c>
      <c r="D7" t="n">
        <v>1</v>
      </c>
      <c r="E7" t="inlineStr">
        <is>
          <t>R1, R2, R3 y R4 porque por R5 no circula corriente</t>
        </is>
      </c>
      <c r="F7" t="inlineStr">
        <is>
          <t>Considerando que R5 está efectivamente en cortocircuito, ¿cómo crees que la resistencia total del circuito afectaría el valor de la tensión medida en el nodo N2 con respecto a la tierra?</t>
        </is>
      </c>
      <c r="G7" t="n">
        <v>3</v>
      </c>
      <c r="H7" t="n">
        <v>4</v>
      </c>
      <c r="I7" t="n">
        <v>3</v>
      </c>
      <c r="J7" t="n">
        <v>5</v>
      </c>
      <c r="K7" t="n">
        <v>15</v>
      </c>
      <c r="L7" t="n">
        <v>0.759</v>
      </c>
      <c r="M7" t="n">
        <v>42</v>
      </c>
      <c r="N7" t="n">
        <v>79.09</v>
      </c>
      <c r="O7" t="inlineStr">
        <is>
          <t>AC1, AC6</t>
        </is>
      </c>
      <c r="P7" t="inlineStr">
        <is>
          <t>AC6, AC9</t>
        </is>
      </c>
      <c r="Q7" t="n">
        <v>0.5</v>
      </c>
      <c r="R7" t="n">
        <v>0.5</v>
      </c>
      <c r="S7" t="n">
        <v>0.5</v>
      </c>
      <c r="T7" t="inlineStr"/>
      <c r="U7" t="inlineStr"/>
      <c r="V7" t="inlineStr"/>
      <c r="W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8">
      <c r="A8" t="n">
        <v>7</v>
      </c>
      <c r="B8" t="n">
        <v>3</v>
      </c>
      <c r="C8" t="n">
        <v>1</v>
      </c>
      <c r="D8" t="n">
        <v>1</v>
      </c>
      <c r="E8" t="inlineStr">
        <is>
          <t>R1, R2, R3 y R4 porque R5 se quita</t>
        </is>
      </c>
      <c r="F8" t="inlineStr">
        <is>
          <t>Considerando que el interruptor entre N2 y N3 está abierto, ¿qué efecto tiene la ausencia de una ruta continua para la corriente en la rama que incluye R3 sobre el potencial en N2?</t>
        </is>
      </c>
      <c r="G8" t="n">
        <v>3</v>
      </c>
      <c r="H8" t="n">
        <v>3</v>
      </c>
      <c r="I8" t="n">
        <v>3</v>
      </c>
      <c r="J8" t="n">
        <v>5</v>
      </c>
      <c r="K8" t="n">
        <v>14</v>
      </c>
      <c r="L8" t="n">
        <v>0.824</v>
      </c>
      <c r="M8" t="n">
        <v>43</v>
      </c>
      <c r="N8" t="n">
        <v>72.83</v>
      </c>
      <c r="O8" t="inlineStr">
        <is>
          <t>AC1, AC6</t>
        </is>
      </c>
      <c r="P8" t="inlineStr">
        <is>
          <t>AC1</t>
        </is>
      </c>
      <c r="Q8" t="n">
        <v>1</v>
      </c>
      <c r="R8" t="n">
        <v>0.5</v>
      </c>
      <c r="S8" t="n">
        <v>0.667</v>
      </c>
      <c r="T8" t="inlineStr"/>
      <c r="U8" t="inlineStr"/>
      <c r="V8" t="inlineStr"/>
      <c r="W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
      <c r="A9" t="n">
        <v>8</v>
      </c>
      <c r="B9" t="n">
        <v>3</v>
      </c>
      <c r="C9" t="n">
        <v>2</v>
      </c>
      <c r="D9" t="n">
        <v>1</v>
      </c>
      <c r="E9" t="inlineStr">
        <is>
          <t>R1, R3 y R4 porque R2 está en paralelo con la fuente y R5 corctocircuitada</t>
        </is>
      </c>
      <c r="F9" t="inlineStr">
        <is>
          <t>Si R5 efectivamente crea un cortocircuito, ¿cómo afectaría esto a la distribución de la corriente y, por lo tanto, a las tensiones medidas en los diferentes nodos del circuito?</t>
        </is>
      </c>
      <c r="G9" t="n">
        <v>3</v>
      </c>
      <c r="H9" t="n">
        <v>4</v>
      </c>
      <c r="I9" t="n">
        <v>3</v>
      </c>
      <c r="J9" t="n">
        <v>5</v>
      </c>
      <c r="K9" t="n">
        <v>15</v>
      </c>
      <c r="L9" t="n">
        <v>0.755</v>
      </c>
      <c r="M9" t="n">
        <v>40</v>
      </c>
      <c r="N9" t="n">
        <v>79.48999999999999</v>
      </c>
      <c r="O9" t="inlineStr">
        <is>
          <t>AC1, AC6</t>
        </is>
      </c>
      <c r="P9" t="inlineStr">
        <is>
          <t>AC1, AC6</t>
        </is>
      </c>
      <c r="Q9" t="n">
        <v>1</v>
      </c>
      <c r="R9" t="n">
        <v>1</v>
      </c>
      <c r="S9" t="n">
        <v>1</v>
      </c>
      <c r="T9" t="inlineStr"/>
      <c r="U9" t="inlineStr"/>
      <c r="V9" t="inlineStr"/>
      <c r="W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0">
      <c r="A10" t="n">
        <v>9</v>
      </c>
      <c r="B10" t="n">
        <v>3</v>
      </c>
      <c r="C10" t="n">
        <v>3</v>
      </c>
      <c r="D10" t="n">
        <v>1</v>
      </c>
      <c r="E10" t="inlineStr">
        <is>
          <t>R1, R4 y R5 porque R2 se elimina y R3 también</t>
        </is>
      </c>
      <c r="F10" t="inlineStr">
        <is>
          <t>Si R5 crea un cortocircuito, ¿qué implicaría esto para la relación entre la corriente que fluye a través de R1 y R4 y la tensión total que observa el circuito?</t>
        </is>
      </c>
      <c r="G10" t="n">
        <v>3</v>
      </c>
      <c r="H10" t="n">
        <v>4</v>
      </c>
      <c r="I10" t="n">
        <v>4</v>
      </c>
      <c r="J10" t="n">
        <v>5</v>
      </c>
      <c r="K10" t="n">
        <v>16</v>
      </c>
      <c r="L10" t="n">
        <v>0.751</v>
      </c>
      <c r="M10" t="n">
        <v>41</v>
      </c>
      <c r="N10" t="n">
        <v>79.92</v>
      </c>
      <c r="O10" t="inlineStr">
        <is>
          <t>AC1, AC6</t>
        </is>
      </c>
      <c r="P10" t="inlineStr">
        <is>
          <t>AC1, AC6, AC9</t>
        </is>
      </c>
      <c r="Q10" t="n">
        <v>0.667</v>
      </c>
      <c r="R10" t="n">
        <v>1</v>
      </c>
      <c r="S10" t="n">
        <v>0.8</v>
      </c>
      <c r="T10" t="inlineStr"/>
      <c r="U10" t="inlineStr"/>
      <c r="V10" t="inlineStr"/>
      <c r="W1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1">
      <c r="A11" t="n">
        <v>10</v>
      </c>
      <c r="B11" t="n">
        <v>4</v>
      </c>
      <c r="C11" t="n">
        <v>1</v>
      </c>
      <c r="D11" t="n">
        <v>1</v>
      </c>
      <c r="E11" t="inlineStr">
        <is>
          <t>R1 y R4 dado que R2 está en paralelo con la fuente, R3 en circuito abierto y R5 cortocircuitada</t>
        </is>
      </c>
      <c r="F11" t="inlineStr">
        <is>
          <t>Considerando que R5 está efectivamente cortocircuitada, ¿podría la presencia de R3, aunque aparentemente en circuito abierto, influir en la determinación del potencial en el nodo N2 en relación con tierra?</t>
        </is>
      </c>
      <c r="G11" t="n">
        <v>3</v>
      </c>
      <c r="H11" t="n">
        <v>3</v>
      </c>
      <c r="I11" t="n">
        <v>3</v>
      </c>
      <c r="J11" t="n">
        <v>5</v>
      </c>
      <c r="K11" t="n">
        <v>14</v>
      </c>
      <c r="L11" t="n">
        <v>0.846</v>
      </c>
      <c r="M11" t="n">
        <v>45</v>
      </c>
      <c r="N11" t="n">
        <v>70.95</v>
      </c>
      <c r="O11" t="inlineStr">
        <is>
          <t>AC1, AC6</t>
        </is>
      </c>
      <c r="P11" t="inlineStr">
        <is>
          <t>AC1, AC9</t>
        </is>
      </c>
      <c r="Q11" t="n">
        <v>0.5</v>
      </c>
      <c r="R11" t="n">
        <v>0.5</v>
      </c>
      <c r="S11" t="n">
        <v>0.5</v>
      </c>
      <c r="T11" t="inlineStr"/>
      <c r="U11" t="inlineStr"/>
      <c r="V11" t="inlineStr"/>
      <c r="W1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
      <c r="A12" t="n">
        <v>11</v>
      </c>
      <c r="B12" t="n">
        <v>4</v>
      </c>
      <c r="C12" t="n">
        <v>2</v>
      </c>
      <c r="D12" t="n">
        <v>1</v>
      </c>
      <c r="E12" t="inlineStr">
        <is>
          <t>R1, R2 y R3 dado que R2 y R3 están en paralelo y forman un divisor de tensión con R1</t>
        </is>
      </c>
      <c r="F12" t="inlineStr">
        <is>
          <t>Si R3 estuviera realmente en circuito abierto, ¿cómo afectaría su ausencia a la distribución de la corriente entre R1 y R2, considerando que ambos están conectados a la fuente?</t>
        </is>
      </c>
      <c r="G12" t="n">
        <v>3</v>
      </c>
      <c r="H12" t="n">
        <v>3</v>
      </c>
      <c r="I12" t="n">
        <v>5</v>
      </c>
      <c r="J12" t="n">
        <v>5</v>
      </c>
      <c r="K12" t="n">
        <v>16</v>
      </c>
      <c r="L12" t="n">
        <v>0.745</v>
      </c>
      <c r="M12" t="n">
        <v>39</v>
      </c>
      <c r="N12" t="n">
        <v>80.52</v>
      </c>
      <c r="O12" t="inlineStr">
        <is>
          <t>AC1, AC9</t>
        </is>
      </c>
      <c r="P12" t="inlineStr">
        <is>
          <t>AC1, AC9</t>
        </is>
      </c>
      <c r="Q12" t="n">
        <v>1</v>
      </c>
      <c r="R12" t="n">
        <v>1</v>
      </c>
      <c r="S12" t="n">
        <v>1</v>
      </c>
      <c r="T12" t="inlineStr"/>
      <c r="U12" t="inlineStr"/>
      <c r="V12" t="inlineStr"/>
      <c r="W1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
      <c r="A13" t="n">
        <v>12</v>
      </c>
      <c r="B13" t="n">
        <v>4</v>
      </c>
      <c r="C13" t="n">
        <v>3</v>
      </c>
      <c r="D13" t="n">
        <v>1</v>
      </c>
      <c r="E13" t="inlineStr">
        <is>
          <t>R1, R2, R4 y R5 dado que R3 está en circuito abierto</t>
        </is>
      </c>
      <c r="F13" t="inlineStr">
        <is>
          <t>Dado que R3 está en circuito abierto, ¿cómo crees que la ausencia de esta resistencia afectará la corriente que fluye a través de R4, considerando su conexión en serie con R1 y R2?</t>
        </is>
      </c>
      <c r="G13" t="n">
        <v>3</v>
      </c>
      <c r="H13" t="n">
        <v>4</v>
      </c>
      <c r="I13" t="n">
        <v>5</v>
      </c>
      <c r="J13" t="n">
        <v>5</v>
      </c>
      <c r="K13" t="n">
        <v>17</v>
      </c>
      <c r="L13" t="n">
        <v>0.873</v>
      </c>
      <c r="M13" t="n">
        <v>45</v>
      </c>
      <c r="N13" t="n">
        <v>68.69</v>
      </c>
      <c r="O13" t="inlineStr">
        <is>
          <t>AC1, AC6</t>
        </is>
      </c>
      <c r="P13" t="inlineStr">
        <is>
          <t>AC1</t>
        </is>
      </c>
      <c r="Q13" t="n">
        <v>1</v>
      </c>
      <c r="R13" t="n">
        <v>0.5</v>
      </c>
      <c r="S13" t="n">
        <v>0.667</v>
      </c>
      <c r="T13" t="inlineStr"/>
      <c r="U13" t="inlineStr"/>
      <c r="V13" t="inlineStr"/>
      <c r="W13"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14">
      <c r="A14" t="n">
        <v>13</v>
      </c>
      <c r="B14" t="n">
        <v>5</v>
      </c>
      <c r="C14" t="n">
        <v>1</v>
      </c>
      <c r="D14" t="n">
        <v>1</v>
      </c>
      <c r="E14" t="inlineStr">
        <is>
          <t>R1, R2, R4 y R5 dado que R3 sobra</t>
        </is>
      </c>
      <c r="F14" t="inlineStr">
        <is>
          <t>Considerando que el interruptor entre N2 y N3 está abierto, ¿podrías explicar qué efecto tiene la ausencia de conexión en R5 sobre el flujo de corriente hacia tierra desde el nodo N2, y por qué eso podría influir en el potencial en N2?</t>
        </is>
      </c>
      <c r="G14" t="n">
        <v>3</v>
      </c>
      <c r="H14" t="n">
        <v>4</v>
      </c>
      <c r="I14" t="n">
        <v>3</v>
      </c>
      <c r="J14" t="n">
        <v>5</v>
      </c>
      <c r="K14" t="n">
        <v>15</v>
      </c>
      <c r="L14" t="n">
        <v>0.888</v>
      </c>
      <c r="M14" t="n">
        <v>58</v>
      </c>
      <c r="N14" t="n">
        <v>67.56</v>
      </c>
      <c r="O14" t="inlineStr">
        <is>
          <t>AC1, AC6</t>
        </is>
      </c>
      <c r="P14" t="inlineStr">
        <is>
          <t>AC1, AC9</t>
        </is>
      </c>
      <c r="Q14" t="n">
        <v>0.5</v>
      </c>
      <c r="R14" t="n">
        <v>0.5</v>
      </c>
      <c r="S14" t="n">
        <v>0.5</v>
      </c>
      <c r="T14" t="inlineStr"/>
      <c r="U14" t="inlineStr"/>
      <c r="V14" t="inlineStr"/>
      <c r="W14" t="inlineStr">
        <is>
          <t>Socratic quality 3/5 (Clarification): Clarification: asks the student to explain their reasoning. Conceptual precision 4/5 (Good): Good: clearly identifies the alternative conception with precise technical language. Good overall performance; room for improvement in socratic depth.</t>
        </is>
      </c>
    </row>
    <row r="15">
      <c r="A15" t="n">
        <v>14</v>
      </c>
      <c r="B15" t="n">
        <v>5</v>
      </c>
      <c r="C15" t="n">
        <v>2</v>
      </c>
      <c r="D15" t="n">
        <v>1</v>
      </c>
      <c r="E15" t="inlineStr">
        <is>
          <t>R1, R2, R4 y R5 dado que R3 no hace nada</t>
        </is>
      </c>
      <c r="F15" t="inlineStr">
        <is>
          <t>Si ignoramos temporalmente la presencia de R3 y nos enfocamos únicamente en la relación entre voltaje y resistencia en los nodos, ¿podrías describir cómo cambiaría la corriente que fluye a través de R1 si el interruptor se cerrara, y por qué?</t>
        </is>
      </c>
      <c r="G15" t="n">
        <v>3</v>
      </c>
      <c r="H15" t="n">
        <v>4</v>
      </c>
      <c r="I15" t="n">
        <v>3</v>
      </c>
      <c r="J15" t="n">
        <v>5</v>
      </c>
      <c r="K15" t="n">
        <v>15</v>
      </c>
      <c r="L15" t="n">
        <v>0.881</v>
      </c>
      <c r="M15" t="n">
        <v>57</v>
      </c>
      <c r="N15" t="n">
        <v>68.12</v>
      </c>
      <c r="O15" t="inlineStr">
        <is>
          <t>AC1, AC6</t>
        </is>
      </c>
      <c r="P15" t="inlineStr">
        <is>
          <t>AC1</t>
        </is>
      </c>
      <c r="Q15" t="n">
        <v>1</v>
      </c>
      <c r="R15" t="n">
        <v>0.5</v>
      </c>
      <c r="S15" t="n">
        <v>0.667</v>
      </c>
      <c r="T15" t="inlineStr"/>
      <c r="U15" t="inlineStr"/>
      <c r="V15" t="inlineStr"/>
      <c r="W1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
      <c r="A16" t="n">
        <v>15</v>
      </c>
      <c r="B16" t="n">
        <v>5</v>
      </c>
      <c r="C16" t="n">
        <v>3</v>
      </c>
      <c r="D16" t="n">
        <v>1</v>
      </c>
      <c r="E16" t="inlineStr">
        <is>
          <t>R1, R2 y R4 dado que son las resistencias que forman parte del circuito.</t>
        </is>
      </c>
      <c r="F16" t="inlineStr">
        <is>
          <t>Si eliminamos R5 y R3, ¿cómo crees que la resistencia total del circuito afectaría la magnitud de la corriente que fluye a través de R2, y por qué es importante esa relación para el comportamiento del circuito?</t>
        </is>
      </c>
      <c r="G16" t="n">
        <v>3</v>
      </c>
      <c r="H16" t="n">
        <v>3</v>
      </c>
      <c r="I16" t="n">
        <v>3</v>
      </c>
      <c r="J16" t="n">
        <v>5</v>
      </c>
      <c r="K16" t="n">
        <v>14</v>
      </c>
      <c r="L16" t="n">
        <v>0.786</v>
      </c>
      <c r="M16" t="n">
        <v>49</v>
      </c>
      <c r="N16" t="n">
        <v>76.34999999999999</v>
      </c>
      <c r="O16" t="inlineStr"/>
      <c r="P16" t="inlineStr">
        <is>
          <t>AC1</t>
        </is>
      </c>
      <c r="Q16" t="n">
        <v>0</v>
      </c>
      <c r="R16" t="n">
        <v>1</v>
      </c>
      <c r="S16" t="n">
        <v>0</v>
      </c>
      <c r="T16" t="inlineStr"/>
      <c r="U16" t="inlineStr"/>
      <c r="V16" t="inlineStr"/>
      <c r="W1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
      <c r="A17" t="n">
        <v>16</v>
      </c>
      <c r="B17" t="n">
        <v>6</v>
      </c>
      <c r="C17" t="n">
        <v>1</v>
      </c>
      <c r="D17" t="n">
        <v>1</v>
      </c>
      <c r="E17" t="inlineStr">
        <is>
          <t>R1, R2 y R4 dado que R2 y R4 están en paralelo y forma un divisor de tensión con R1.</t>
        </is>
      </c>
      <c r="F17" t="inlineStr">
        <is>
          <t>Considerando que el interruptor está abierto, ¿cómo afecta la interrupción del flujo de corriente a través de la rama que incluye a R3, y qué implicaciones tiene esto para la contribución de esa resistencia al voltaje entre los nodos N2 y 0?</t>
        </is>
      </c>
      <c r="G17" t="n">
        <v>4</v>
      </c>
      <c r="H17" t="n">
        <v>4</v>
      </c>
      <c r="I17" t="n">
        <v>3</v>
      </c>
      <c r="J17" t="n">
        <v>5</v>
      </c>
      <c r="K17" t="n">
        <v>16</v>
      </c>
      <c r="L17" t="n">
        <v>0.89</v>
      </c>
      <c r="M17" t="n">
        <v>55</v>
      </c>
      <c r="N17" t="n">
        <v>67.44</v>
      </c>
      <c r="O17" t="inlineStr"/>
      <c r="P17" t="inlineStr">
        <is>
          <t>AC1</t>
        </is>
      </c>
      <c r="Q17" t="n">
        <v>0</v>
      </c>
      <c r="R17" t="n">
        <v>1</v>
      </c>
      <c r="S17" t="n">
        <v>0</v>
      </c>
      <c r="T17" t="inlineStr"/>
      <c r="U17" t="inlineStr"/>
      <c r="V17" t="inlineStr"/>
      <c r="W17"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18">
      <c r="A18" t="n">
        <v>17</v>
      </c>
      <c r="B18" t="n">
        <v>6</v>
      </c>
      <c r="C18" t="n">
        <v>2</v>
      </c>
      <c r="D18" t="n">
        <v>1</v>
      </c>
      <c r="E18" t="inlineStr">
        <is>
          <t>R1, R2 y R4 dado que R3 está en abierto y R5 cortocircuitada</t>
        </is>
      </c>
      <c r="F18" t="inlineStr">
        <is>
          <t>Si la resistencia R5 está cortocircuitada, ¿cómo cambiaría la corriente total que fluye a través del circuito y, en consecuencia, ¿cómo afectaría esto al voltaje medido entre los nodos N1 y 0?</t>
        </is>
      </c>
      <c r="G18" t="n">
        <v>3</v>
      </c>
      <c r="H18" t="n">
        <v>3</v>
      </c>
      <c r="I18" t="n">
        <v>3</v>
      </c>
      <c r="J18" t="n">
        <v>5</v>
      </c>
      <c r="K18" t="n">
        <v>14</v>
      </c>
      <c r="L18" t="n">
        <v>0.774</v>
      </c>
      <c r="M18" t="n">
        <v>49</v>
      </c>
      <c r="N18" t="n">
        <v>77.48999999999999</v>
      </c>
      <c r="O18" t="inlineStr">
        <is>
          <t>AC1, AC6</t>
        </is>
      </c>
      <c r="P18" t="inlineStr">
        <is>
          <t>AC1, AC9</t>
        </is>
      </c>
      <c r="Q18" t="n">
        <v>0.5</v>
      </c>
      <c r="R18" t="n">
        <v>0.5</v>
      </c>
      <c r="S18" t="n">
        <v>0.5</v>
      </c>
      <c r="T18" t="inlineStr"/>
      <c r="U18" t="inlineStr"/>
      <c r="V18" t="inlineStr"/>
      <c r="W1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9">
      <c r="A19" t="n">
        <v>18</v>
      </c>
      <c r="B19" t="n">
        <v>6</v>
      </c>
      <c r="C19" t="n">
        <v>3</v>
      </c>
      <c r="D19" t="n">
        <v>1</v>
      </c>
      <c r="E19" t="inlineStr">
        <is>
          <t>R1, R2 y R4 dado que solo por estas resistencias circula una corriente diferente de cero</t>
        </is>
      </c>
      <c r="F19" t="inlineStr">
        <is>
          <t>Considerando que R2 y R4 están en paralelo, ¿podrías explicar qué efecto tendría la presencia de un cortocircuito en R5 sobre la distribución de la corriente a través de este divisor de tensión?</t>
        </is>
      </c>
      <c r="G19" t="n">
        <v>3</v>
      </c>
      <c r="H19" t="n">
        <v>4</v>
      </c>
      <c r="I19" t="n">
        <v>4</v>
      </c>
      <c r="J19" t="n">
        <v>5</v>
      </c>
      <c r="K19" t="n">
        <v>16</v>
      </c>
      <c r="L19" t="n">
        <v>0.8080000000000001</v>
      </c>
      <c r="M19" t="n">
        <v>45</v>
      </c>
      <c r="N19" t="n">
        <v>74.25</v>
      </c>
      <c r="O19" t="inlineStr"/>
      <c r="P19" t="inlineStr">
        <is>
          <t>AC1, AC6</t>
        </is>
      </c>
      <c r="Q19" t="n">
        <v>0</v>
      </c>
      <c r="R19" t="n">
        <v>1</v>
      </c>
      <c r="S19" t="n">
        <v>0</v>
      </c>
      <c r="T19" t="inlineStr"/>
      <c r="U19" t="inlineStr"/>
      <c r="V19" t="inlineStr"/>
      <c r="W19" t="inlineStr">
        <is>
          <t>Socratic quality 3/5 (Clarification): Clarification: asks the student to explain their reasoning. Conceptual precision 4/5 (Good): Good: clearly identifies the alternative conception with precise technical language. Good overall performance; room for improvement in socratic depth.</t>
        </is>
      </c>
    </row>
    <row r="20">
      <c r="A20" t="n">
        <v>19</v>
      </c>
      <c r="B20" t="n">
        <v>7</v>
      </c>
      <c r="C20" t="n">
        <v>1</v>
      </c>
      <c r="D20" t="n">
        <v>1</v>
      </c>
      <c r="E20" t="inlineStr">
        <is>
          <t>R1, R2 y R4 dado que por R3 y por R5 no circula corriente</t>
        </is>
      </c>
      <c r="F20" t="inlineStr">
        <is>
          <t>Considerando que el interruptor está abierto, ¿cómo afecta la ausencia de conexión entre N2 y N3 a la capacidad de las resistencias R3 y R5 para influir en el potencial en ese nodo, específicamente en relación con la diferencia de potencial entre N2 y 0?</t>
        </is>
      </c>
      <c r="G20" t="n">
        <v>4</v>
      </c>
      <c r="H20" t="n">
        <v>4</v>
      </c>
      <c r="I20" t="n">
        <v>3</v>
      </c>
      <c r="J20" t="n">
        <v>5</v>
      </c>
      <c r="K20" t="n">
        <v>16</v>
      </c>
      <c r="L20" t="n">
        <v>0.904</v>
      </c>
      <c r="M20" t="n">
        <v>59</v>
      </c>
      <c r="N20" t="n">
        <v>66.39</v>
      </c>
      <c r="O20" t="inlineStr">
        <is>
          <t>AC1, AC6</t>
        </is>
      </c>
      <c r="P20" t="inlineStr">
        <is>
          <t>AC1, AC9</t>
        </is>
      </c>
      <c r="Q20" t="n">
        <v>0.5</v>
      </c>
      <c r="R20" t="n">
        <v>0.5</v>
      </c>
      <c r="S20" t="n">
        <v>0.5</v>
      </c>
      <c r="T20" t="inlineStr"/>
      <c r="U20" t="inlineStr"/>
      <c r="V20" t="inlineStr"/>
      <c r="W20"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21">
      <c r="A21" t="n">
        <v>20</v>
      </c>
      <c r="B21" t="n">
        <v>7</v>
      </c>
      <c r="C21" t="n">
        <v>2</v>
      </c>
      <c r="D21" t="n">
        <v>1</v>
      </c>
      <c r="E21" t="inlineStr">
        <is>
          <t>R1, R2 y R4 dado que R3 y R5 se pueden quitar</t>
        </is>
      </c>
      <c r="F21" t="inlineStr">
        <is>
          <t>Si eliminamos R3 y R5, ¿cambiaría la relación entre el voltaje en el nodo N3 y el voltaje en el nodo N2, y por qué crees que eso podría ser así?</t>
        </is>
      </c>
      <c r="G21" t="n">
        <v>3</v>
      </c>
      <c r="H21" t="n">
        <v>3</v>
      </c>
      <c r="I21" t="n">
        <v>3</v>
      </c>
      <c r="J21" t="n">
        <v>5</v>
      </c>
      <c r="K21" t="n">
        <v>14</v>
      </c>
      <c r="L21" t="n">
        <v>0.8159999999999999</v>
      </c>
      <c r="M21" t="n">
        <v>44</v>
      </c>
      <c r="N21" t="n">
        <v>73.51000000000001</v>
      </c>
      <c r="O21" t="inlineStr">
        <is>
          <t>AC1, AC6</t>
        </is>
      </c>
      <c r="P21" t="inlineStr"/>
      <c r="Q21" t="n">
        <v>1</v>
      </c>
      <c r="R21" t="n">
        <v>0</v>
      </c>
      <c r="S21" t="n">
        <v>0</v>
      </c>
      <c r="T21" t="inlineStr"/>
      <c r="U21" t="inlineStr"/>
      <c r="V21" t="inlineStr"/>
      <c r="W2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2">
      <c r="A22" t="n">
        <v>21</v>
      </c>
      <c r="B22" t="n">
        <v>7</v>
      </c>
      <c r="C22" t="n">
        <v>3</v>
      </c>
      <c r="D22" t="n">
        <v>1</v>
      </c>
      <c r="E22" t="inlineStr">
        <is>
          <t>R1, R2 y R4 dado que R3 y R5 no influyen para nada en la diferencia de potencial que se pide</t>
        </is>
      </c>
      <c r="F22" t="inlineStr">
        <is>
          <t>Considerando que R3 y R5 no tienen un camino para la corriente, ¿qué efecto crees que tendría su ausencia en la determinación de la diferencia de potencial entre los nodos N2 y N3?</t>
        </is>
      </c>
      <c r="G22" t="n">
        <v>3</v>
      </c>
      <c r="H22" t="n">
        <v>3</v>
      </c>
      <c r="I22" t="n">
        <v>3</v>
      </c>
      <c r="J22" t="n">
        <v>5</v>
      </c>
      <c r="K22" t="n">
        <v>14</v>
      </c>
      <c r="L22" t="n">
        <v>0.776</v>
      </c>
      <c r="M22" t="n">
        <v>43</v>
      </c>
      <c r="N22" t="n">
        <v>77.34999999999999</v>
      </c>
      <c r="O22" t="inlineStr">
        <is>
          <t>AC1, AC6</t>
        </is>
      </c>
      <c r="P22" t="inlineStr">
        <is>
          <t>AC1, AC9</t>
        </is>
      </c>
      <c r="Q22" t="n">
        <v>0.5</v>
      </c>
      <c r="R22" t="n">
        <v>0.5</v>
      </c>
      <c r="S22" t="n">
        <v>0.5</v>
      </c>
      <c r="T22" t="inlineStr"/>
      <c r="U22" t="inlineStr"/>
      <c r="V22" t="inlineStr"/>
      <c r="W2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3">
      <c r="A23" t="n">
        <v>22</v>
      </c>
      <c r="B23" t="n">
        <v>8</v>
      </c>
      <c r="C23" t="n">
        <v>1</v>
      </c>
      <c r="D23" t="n">
        <v>1</v>
      </c>
      <c r="E23" t="inlineStr">
        <is>
          <t>R1, R2 y R4 dado que R3 y R5 sobran</t>
        </is>
      </c>
      <c r="F23" t="inlineStr">
        <is>
          <t>Considerando que el interruptor está abierto, ¿podrías explicar cómo la ausencia de un camino continuo afecta la capacidad de las resistencias R3 y R5 para influir en el potencial entre los nodos N2 y 0?</t>
        </is>
      </c>
      <c r="G23" t="n">
        <v>3</v>
      </c>
      <c r="H23" t="n">
        <v>4</v>
      </c>
      <c r="I23" t="n">
        <v>3</v>
      </c>
      <c r="J23" t="n">
        <v>5</v>
      </c>
      <c r="K23" t="n">
        <v>15</v>
      </c>
      <c r="L23" t="n">
        <v>0.797</v>
      </c>
      <c r="M23" t="n">
        <v>48</v>
      </c>
      <c r="N23" t="n">
        <v>75.27</v>
      </c>
      <c r="O23" t="inlineStr">
        <is>
          <t>AC1, AC6</t>
        </is>
      </c>
      <c r="P23" t="inlineStr">
        <is>
          <t>AC1, AC9</t>
        </is>
      </c>
      <c r="Q23" t="n">
        <v>0.5</v>
      </c>
      <c r="R23" t="n">
        <v>0.5</v>
      </c>
      <c r="S23" t="n">
        <v>0.5</v>
      </c>
      <c r="T23" t="inlineStr"/>
      <c r="U23" t="inlineStr"/>
      <c r="V23" t="inlineStr"/>
      <c r="W23" t="inlineStr">
        <is>
          <t>Socratic quality 3/5 (Clarification): Clarification: asks the student to explain their reasoning. Conceptual precision 4/5 (Good): Good: clearly identifies the alternative conception with precise technical language. Good overall performance; room for improvement in socratic depth.</t>
        </is>
      </c>
    </row>
    <row r="24">
      <c r="A24" t="n">
        <v>23</v>
      </c>
      <c r="B24" t="n">
        <v>8</v>
      </c>
      <c r="C24" t="n">
        <v>2</v>
      </c>
      <c r="D24" t="n">
        <v>1</v>
      </c>
      <c r="E24" t="inlineStr">
        <is>
          <t>R1, R2 y R4 dado que R3 sobra</t>
        </is>
      </c>
      <c r="F24" t="inlineStr">
        <is>
          <t>Si el circuito está configurado de esta manera, ¿cómo crees que la resistencia de R1 afectaría la corriente que fluye a través de R2, considerando que R4 está en paralelo?</t>
        </is>
      </c>
      <c r="G24" t="n">
        <v>3</v>
      </c>
      <c r="H24" t="n">
        <v>3</v>
      </c>
      <c r="I24" t="n">
        <v>4</v>
      </c>
      <c r="J24" t="n">
        <v>5</v>
      </c>
      <c r="K24" t="n">
        <v>15</v>
      </c>
      <c r="L24" t="n">
        <v>0.841</v>
      </c>
      <c r="M24" t="n">
        <v>42</v>
      </c>
      <c r="N24" t="n">
        <v>71.34</v>
      </c>
      <c r="O24" t="inlineStr">
        <is>
          <t>AC1</t>
        </is>
      </c>
      <c r="P24" t="inlineStr">
        <is>
          <t>AC1</t>
        </is>
      </c>
      <c r="Q24" t="n">
        <v>1</v>
      </c>
      <c r="R24" t="n">
        <v>1</v>
      </c>
      <c r="S24" t="n">
        <v>1</v>
      </c>
      <c r="T24" t="inlineStr"/>
      <c r="U24" t="inlineStr"/>
      <c r="V24" t="inlineStr"/>
      <c r="W2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5">
      <c r="A25" t="n">
        <v>24</v>
      </c>
      <c r="B25" t="n">
        <v>8</v>
      </c>
      <c r="C25" t="n">
        <v>3</v>
      </c>
      <c r="D25" t="n">
        <v>1</v>
      </c>
      <c r="E25" t="inlineStr">
        <is>
          <t>R1, R2 y R4 dado que R5 sobra</t>
        </is>
      </c>
      <c r="F25" t="inlineStr">
        <is>
          <t>Pensando en el flujo de corriente a través de R2, ¿cómo crees que la presencia de R4, en paralelo, alteraría la distribución de voltaje en comparación con un circuito que solo contuviera R2 y R5?</t>
        </is>
      </c>
      <c r="G25" t="n">
        <v>3</v>
      </c>
      <c r="H25" t="n">
        <v>3</v>
      </c>
      <c r="I25" t="n">
        <v>4</v>
      </c>
      <c r="J25" t="n">
        <v>5</v>
      </c>
      <c r="K25" t="n">
        <v>15</v>
      </c>
      <c r="L25" t="n">
        <v>0.825</v>
      </c>
      <c r="M25" t="n">
        <v>50</v>
      </c>
      <c r="N25" t="n">
        <v>72.73</v>
      </c>
      <c r="O25" t="inlineStr">
        <is>
          <t>AC6</t>
        </is>
      </c>
      <c r="P25" t="inlineStr">
        <is>
          <t>AC1</t>
        </is>
      </c>
      <c r="Q25" t="n">
        <v>0</v>
      </c>
      <c r="R25" t="n">
        <v>0</v>
      </c>
      <c r="S25" t="n">
        <v>0</v>
      </c>
      <c r="T25" t="inlineStr"/>
      <c r="U25" t="inlineStr"/>
      <c r="V25" t="inlineStr"/>
      <c r="W2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6">
      <c r="A26" t="n">
        <v>25</v>
      </c>
      <c r="B26" t="n">
        <v>9</v>
      </c>
      <c r="C26" t="n">
        <v>1</v>
      </c>
      <c r="D26" t="n">
        <v>1</v>
      </c>
      <c r="E26" t="inlineStr">
        <is>
          <t>R1, R2 y R4 dado que R3 está en abierto</t>
        </is>
      </c>
      <c r="F26" t="inlineStr">
        <is>
          <t>Considerando que R3 está efectivamente en circuito abierto, ¿podría haber otras resistencias en el camino entre el nodo N2 y el nodo de referencia (0) que aún influyen en la diferencia de potencial, y si es así, ¿cómo se conectan a N2?</t>
        </is>
      </c>
      <c r="G26" t="n">
        <v>3</v>
      </c>
      <c r="H26" t="n">
        <v>5</v>
      </c>
      <c r="I26" t="n">
        <v>3</v>
      </c>
      <c r="J26" t="n">
        <v>5</v>
      </c>
      <c r="K26" t="n">
        <v>16</v>
      </c>
      <c r="L26" t="n">
        <v>0.891</v>
      </c>
      <c r="M26" t="n">
        <v>58</v>
      </c>
      <c r="N26" t="n">
        <v>67.33</v>
      </c>
      <c r="O26" t="inlineStr">
        <is>
          <t>AC1</t>
        </is>
      </c>
      <c r="P26" t="inlineStr">
        <is>
          <t>AC1, AC9</t>
        </is>
      </c>
      <c r="Q26" t="n">
        <v>0.5</v>
      </c>
      <c r="R26" t="n">
        <v>1</v>
      </c>
      <c r="S26" t="n">
        <v>0.667</v>
      </c>
      <c r="T26" t="inlineStr"/>
      <c r="U26" t="inlineStr"/>
      <c r="V26" t="inlineStr"/>
      <c r="W26"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27">
      <c r="A27" t="n">
        <v>26</v>
      </c>
      <c r="B27" t="n">
        <v>9</v>
      </c>
      <c r="C27" t="n">
        <v>2</v>
      </c>
      <c r="D27" t="n">
        <v>1</v>
      </c>
      <c r="E27" t="inlineStr">
        <is>
          <t>R1, R2 y R4 dado que  R5 cortocircuitada</t>
        </is>
      </c>
      <c r="F27" t="inlineStr">
        <is>
          <t>Si R5 está cortocircuitada, ¿cómo afectaría la corriente que fluye a través de R1 y R2, y qué implicaciones tendría esto para la resistencia equivalente entre esos dos componentes?</t>
        </is>
      </c>
      <c r="G27" t="n">
        <v>3</v>
      </c>
      <c r="H27" t="n">
        <v>3</v>
      </c>
      <c r="I27" t="n">
        <v>4</v>
      </c>
      <c r="J27" t="n">
        <v>5</v>
      </c>
      <c r="K27" t="n">
        <v>15</v>
      </c>
      <c r="L27" t="n">
        <v>0.788</v>
      </c>
      <c r="M27" t="n">
        <v>43</v>
      </c>
      <c r="N27" t="n">
        <v>76.11</v>
      </c>
      <c r="O27" t="inlineStr">
        <is>
          <t>AC6</t>
        </is>
      </c>
      <c r="P27" t="inlineStr">
        <is>
          <t>AC1</t>
        </is>
      </c>
      <c r="Q27" t="n">
        <v>0</v>
      </c>
      <c r="R27" t="n">
        <v>0</v>
      </c>
      <c r="S27" t="n">
        <v>0</v>
      </c>
      <c r="T27" t="inlineStr"/>
      <c r="U27" t="inlineStr"/>
      <c r="V27" t="inlineStr"/>
      <c r="W2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28">
      <c r="A28" t="n">
        <v>27</v>
      </c>
      <c r="B28" t="n">
        <v>9</v>
      </c>
      <c r="C28" t="n">
        <v>3</v>
      </c>
      <c r="D28" t="n">
        <v>1</v>
      </c>
      <c r="E28" t="inlineStr">
        <is>
          <t>R1, R2 y R4 dado que por R3 no circula corriente</t>
        </is>
      </c>
      <c r="F28" t="inlineStr">
        <is>
          <t>Si R3 está en circuito abierto, ¿cómo afecta la ausencia de flujo de corriente a través de él a la tensión que podrías medir en cualquier nodo del circuito, y qué papel juega la tensión en el cálculo de la corriente?</t>
        </is>
      </c>
      <c r="G28" t="n">
        <v>4</v>
      </c>
      <c r="H28" t="n">
        <v>4</v>
      </c>
      <c r="I28" t="n">
        <v>3</v>
      </c>
      <c r="J28" t="n">
        <v>5</v>
      </c>
      <c r="K28" t="n">
        <v>16</v>
      </c>
      <c r="L28" t="n">
        <v>0.819</v>
      </c>
      <c r="M28" t="n">
        <v>48</v>
      </c>
      <c r="N28" t="n">
        <v>73.28</v>
      </c>
      <c r="O28" t="inlineStr">
        <is>
          <t>AC1</t>
        </is>
      </c>
      <c r="P28" t="inlineStr">
        <is>
          <t>AC1</t>
        </is>
      </c>
      <c r="Q28" t="n">
        <v>1</v>
      </c>
      <c r="R28" t="n">
        <v>1</v>
      </c>
      <c r="S28" t="n">
        <v>1</v>
      </c>
      <c r="T28" t="inlineStr"/>
      <c r="U28" t="inlineStr"/>
      <c r="V28" t="inlineStr"/>
      <c r="W28"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29">
      <c r="A29" t="n">
        <v>28</v>
      </c>
      <c r="B29" t="n">
        <v>10</v>
      </c>
      <c r="C29" t="n">
        <v>1</v>
      </c>
      <c r="D29" t="n">
        <v>1</v>
      </c>
      <c r="E29" t="inlineStr">
        <is>
          <t>R1, R2 y R4 dado que por  R5 no circula corriente</t>
        </is>
      </c>
      <c r="F29" t="inlineStr">
        <is>
          <t>Considerando que R5 está efectivamente cortocircuitada, ¿qué implicaciones tiene esto para la trayectoria que puede tomar la corriente desde V1 hacia el nodo N2, y cómo podría esto afectar la caída de voltaje en las resistencias R1, R2 y R4?</t>
        </is>
      </c>
      <c r="G29" t="n">
        <v>3</v>
      </c>
      <c r="H29" t="n">
        <v>3</v>
      </c>
      <c r="I29" t="n">
        <v>4</v>
      </c>
      <c r="J29" t="n">
        <v>5</v>
      </c>
      <c r="K29" t="n">
        <v>15</v>
      </c>
      <c r="L29" t="n">
        <v>0.874</v>
      </c>
      <c r="M29" t="n">
        <v>57</v>
      </c>
      <c r="N29" t="n">
        <v>68.66</v>
      </c>
      <c r="O29" t="inlineStr">
        <is>
          <t>AC6</t>
        </is>
      </c>
      <c r="P29" t="inlineStr">
        <is>
          <t>AC1, AC9</t>
        </is>
      </c>
      <c r="Q29" t="n">
        <v>0</v>
      </c>
      <c r="R29" t="n">
        <v>0</v>
      </c>
      <c r="S29" t="n">
        <v>0</v>
      </c>
      <c r="T29" t="inlineStr"/>
      <c r="U29" t="inlineStr"/>
      <c r="V29" t="inlineStr"/>
      <c r="W2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0">
      <c r="A30" t="n">
        <v>29</v>
      </c>
      <c r="B30" t="n">
        <v>10</v>
      </c>
      <c r="C30" t="n">
        <v>2</v>
      </c>
      <c r="D30" t="n">
        <v>1</v>
      </c>
      <c r="E30" t="inlineStr">
        <is>
          <t>R1, R2 y R4 dado que R3 se puede quitar</t>
        </is>
      </c>
      <c r="F30" t="inlineStr">
        <is>
          <t>Si eliminas R3, ¿cómo cambiaría la relación entre la corriente que fluye a través de R2 y la caída de voltaje en R1, y ¿qué efecto tendría esto en la ley de Ohm?</t>
        </is>
      </c>
      <c r="G30" t="n">
        <v>3</v>
      </c>
      <c r="H30" t="n">
        <v>3</v>
      </c>
      <c r="I30" t="n">
        <v>4</v>
      </c>
      <c r="J30" t="n">
        <v>5</v>
      </c>
      <c r="K30" t="n">
        <v>15</v>
      </c>
      <c r="L30" t="n">
        <v>0.879</v>
      </c>
      <c r="M30" t="n">
        <v>45</v>
      </c>
      <c r="N30" t="n">
        <v>68.3</v>
      </c>
      <c r="O30" t="inlineStr">
        <is>
          <t>AC1</t>
        </is>
      </c>
      <c r="P30" t="inlineStr">
        <is>
          <t>AC1</t>
        </is>
      </c>
      <c r="Q30" t="n">
        <v>1</v>
      </c>
      <c r="R30" t="n">
        <v>1</v>
      </c>
      <c r="S30" t="n">
        <v>1</v>
      </c>
      <c r="T30" t="inlineStr"/>
      <c r="U30" t="inlineStr"/>
      <c r="V30" t="inlineStr"/>
      <c r="W3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1">
      <c r="A31" t="n">
        <v>30</v>
      </c>
      <c r="B31" t="n">
        <v>10</v>
      </c>
      <c r="C31" t="n">
        <v>3</v>
      </c>
      <c r="D31" t="n">
        <v>1</v>
      </c>
      <c r="E31" t="inlineStr">
        <is>
          <t>R1, R2 y R4 dado que R5 se puede quitar</t>
        </is>
      </c>
      <c r="F31" t="inlineStr">
        <is>
          <t>Si se elimina R5, ¿cómo afectaría esto a la posibilidad de que la corriente fluya a través de la red y, en consecuencia, ¿cómo se vería la relación entre el voltaje y la resistencia en este circuito modificado?</t>
        </is>
      </c>
      <c r="G31" t="n">
        <v>3</v>
      </c>
      <c r="H31" t="n">
        <v>3</v>
      </c>
      <c r="I31" t="n">
        <v>3</v>
      </c>
      <c r="J31" t="n">
        <v>5</v>
      </c>
      <c r="K31" t="n">
        <v>14</v>
      </c>
      <c r="L31" t="n">
        <v>0.8159999999999999</v>
      </c>
      <c r="M31" t="n">
        <v>50</v>
      </c>
      <c r="N31" t="n">
        <v>73.55</v>
      </c>
      <c r="O31" t="inlineStr">
        <is>
          <t>AC6</t>
        </is>
      </c>
      <c r="P31" t="inlineStr">
        <is>
          <t>AC1, AC9</t>
        </is>
      </c>
      <c r="Q31" t="n">
        <v>0</v>
      </c>
      <c r="R31" t="n">
        <v>0</v>
      </c>
      <c r="S31" t="n">
        <v>0</v>
      </c>
      <c r="T31" t="inlineStr"/>
      <c r="U31" t="inlineStr"/>
      <c r="V31" t="inlineStr"/>
      <c r="W3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2">
      <c r="A32" t="n">
        <v>31</v>
      </c>
      <c r="B32" t="n">
        <v>11</v>
      </c>
      <c r="C32" t="n">
        <v>1</v>
      </c>
      <c r="D32" t="n">
        <v>1</v>
      </c>
      <c r="E32" t="inlineStr">
        <is>
          <t>R1, R2 y R4 dado que R3 no influye para nada en la diferencia de potencial que se pide</t>
        </is>
      </c>
      <c r="F32" t="inlineStr">
        <is>
          <t>Considerando que R3 está físicamente abierto, ¿podría haber una ruta alternativa para la corriente desde el nodo N2 hasta el nodo de referencia (0) que involucre componentes distintos a R1, R2 y R4, o es tu razonamiento completo?</t>
        </is>
      </c>
      <c r="G32" t="n">
        <v>3</v>
      </c>
      <c r="H32" t="n">
        <v>3</v>
      </c>
      <c r="I32" t="n">
        <v>5</v>
      </c>
      <c r="J32" t="n">
        <v>5</v>
      </c>
      <c r="K32" t="n">
        <v>16</v>
      </c>
      <c r="L32" t="n">
        <v>0.904</v>
      </c>
      <c r="M32" t="n">
        <v>57</v>
      </c>
      <c r="N32" t="n">
        <v>66.34999999999999</v>
      </c>
      <c r="O32" t="inlineStr">
        <is>
          <t>AC1</t>
        </is>
      </c>
      <c r="P32" t="inlineStr">
        <is>
          <t>AC1, AC9</t>
        </is>
      </c>
      <c r="Q32" t="n">
        <v>0.5</v>
      </c>
      <c r="R32" t="n">
        <v>1</v>
      </c>
      <c r="S32" t="n">
        <v>0.667</v>
      </c>
      <c r="T32" t="inlineStr"/>
      <c r="U32" t="inlineStr"/>
      <c r="V32" t="inlineStr"/>
      <c r="W3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3">
      <c r="A33" t="n">
        <v>32</v>
      </c>
      <c r="B33" t="n">
        <v>11</v>
      </c>
      <c r="C33" t="n">
        <v>2</v>
      </c>
      <c r="D33" t="n">
        <v>1</v>
      </c>
      <c r="E33" t="inlineStr">
        <is>
          <t>R1, R2 y R4 dado que R5 no influye para nada en la diferencia de potencial que se pide</t>
        </is>
      </c>
      <c r="F33" t="inlineStr">
        <is>
          <t>Si R5 está desconectado, ¿cambia la forma en que la corriente fluye entre los nodos N1 y N2, y por qué crees que esto podría afectar la diferencia de potencial medida?</t>
        </is>
      </c>
      <c r="G33" t="n">
        <v>3</v>
      </c>
      <c r="H33" t="n">
        <v>3</v>
      </c>
      <c r="I33" t="n">
        <v>3</v>
      </c>
      <c r="J33" t="n">
        <v>5</v>
      </c>
      <c r="K33" t="n">
        <v>14</v>
      </c>
      <c r="L33" t="n">
        <v>0.798</v>
      </c>
      <c r="M33" t="n">
        <v>44</v>
      </c>
      <c r="N33" t="n">
        <v>75.23</v>
      </c>
      <c r="O33" t="inlineStr">
        <is>
          <t>AC6</t>
        </is>
      </c>
      <c r="P33" t="inlineStr">
        <is>
          <t>AC1</t>
        </is>
      </c>
      <c r="Q33" t="n">
        <v>0</v>
      </c>
      <c r="R33" t="n">
        <v>0</v>
      </c>
      <c r="S33" t="n">
        <v>0</v>
      </c>
      <c r="T33" t="inlineStr"/>
      <c r="U33" t="inlineStr"/>
      <c r="V33" t="inlineStr"/>
      <c r="W3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4">
      <c r="A34" t="n">
        <v>33</v>
      </c>
      <c r="B34" t="n">
        <v>11</v>
      </c>
      <c r="C34" t="n">
        <v>3</v>
      </c>
      <c r="D34" t="n">
        <v>1</v>
      </c>
      <c r="E34" t="inlineStr">
        <is>
          <t>No lo sé</t>
        </is>
      </c>
      <c r="F34" t="inlineStr">
        <is>
          <t>Si ignoramos el efecto de R5, ¿cómo crees que la resistencia de cada componente individual contribuye al flujo general de corriente a través del circuito, y qué implicaciones tiene esto para la diferencia de potencial final?</t>
        </is>
      </c>
      <c r="G34" t="n">
        <v>3</v>
      </c>
      <c r="H34" t="n">
        <v>3</v>
      </c>
      <c r="I34" t="n">
        <v>2</v>
      </c>
      <c r="J34" t="n">
        <v>5</v>
      </c>
      <c r="K34" t="n">
        <v>13</v>
      </c>
      <c r="L34" t="n">
        <v>0.854</v>
      </c>
      <c r="M34" t="n">
        <v>46</v>
      </c>
      <c r="N34" t="n">
        <v>70.23</v>
      </c>
      <c r="O34" t="inlineStr">
        <is>
          <t>AC9</t>
        </is>
      </c>
      <c r="P34" t="inlineStr">
        <is>
          <t>AC1</t>
        </is>
      </c>
      <c r="Q34" t="n">
        <v>0</v>
      </c>
      <c r="R34" t="n">
        <v>0</v>
      </c>
      <c r="S34" t="n">
        <v>0</v>
      </c>
      <c r="T34" t="inlineStr"/>
      <c r="U34" t="inlineStr"/>
      <c r="V34" t="inlineStr"/>
      <c r="W3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5">
      <c r="A35" t="n">
        <v>34</v>
      </c>
      <c r="B35" t="n">
        <v>12</v>
      </c>
      <c r="C35" t="n">
        <v>1</v>
      </c>
      <c r="D35" t="n">
        <v>1</v>
      </c>
      <c r="E35" t="inlineStr">
        <is>
          <t>Todas las resistencias</t>
        </is>
      </c>
      <c r="F35" t="inlineStr">
        <is>
          <t>Considerando que el interruptor entre N2 y N3 está abierto, ¿qué resistencias del circuito, al estar en un estado de circuito abierto, no influirán directamente en la diferencia de potencial entre esos dos nodos?</t>
        </is>
      </c>
      <c r="G35" t="n">
        <v>3</v>
      </c>
      <c r="H35" t="n">
        <v>3</v>
      </c>
      <c r="I35" t="n">
        <v>2</v>
      </c>
      <c r="J35" t="n">
        <v>5</v>
      </c>
      <c r="K35" t="n">
        <v>13</v>
      </c>
      <c r="L35" t="n">
        <v>0.835</v>
      </c>
      <c r="M35" t="n">
        <v>45</v>
      </c>
      <c r="N35" t="n">
        <v>71.84999999999999</v>
      </c>
      <c r="O35" t="inlineStr">
        <is>
          <t>AC9</t>
        </is>
      </c>
      <c r="P35" t="inlineStr">
        <is>
          <t>AC1, AC9</t>
        </is>
      </c>
      <c r="Q35" t="n">
        <v>0.5</v>
      </c>
      <c r="R35" t="n">
        <v>1</v>
      </c>
      <c r="S35" t="n">
        <v>0.667</v>
      </c>
      <c r="T35" t="inlineStr"/>
      <c r="U35" t="inlineStr"/>
      <c r="V35" t="inlineStr"/>
      <c r="W3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6">
      <c r="A36" t="n">
        <v>35</v>
      </c>
      <c r="B36" t="n">
        <v>12</v>
      </c>
      <c r="C36" t="n">
        <v>2</v>
      </c>
      <c r="D36" t="n">
        <v>1</v>
      </c>
      <c r="E36" t="inlineStr">
        <is>
          <t>R1 y R2</t>
        </is>
      </c>
      <c r="F36" t="inlineStr">
        <is>
          <t>Si el interruptor entre N2 y N3 impide el flujo de corriente a través de R1 y R2, ¿qué característica fundamental de los circuitos eléctricos define cómo la corriente fluye a través de los componentes conectados en serie?</t>
        </is>
      </c>
      <c r="G36" t="n">
        <v>3</v>
      </c>
      <c r="H36" t="n">
        <v>3</v>
      </c>
      <c r="I36" t="n">
        <v>2</v>
      </c>
      <c r="J36" t="n">
        <v>5</v>
      </c>
      <c r="K36" t="n">
        <v>13</v>
      </c>
      <c r="L36" t="n">
        <v>0.8159999999999999</v>
      </c>
      <c r="M36" t="n">
        <v>48</v>
      </c>
      <c r="N36" t="n">
        <v>73.48999999999999</v>
      </c>
      <c r="O36" t="inlineStr">
        <is>
          <t>AC9</t>
        </is>
      </c>
      <c r="P36" t="inlineStr">
        <is>
          <t>AC1, AC9</t>
        </is>
      </c>
      <c r="Q36" t="n">
        <v>0.5</v>
      </c>
      <c r="R36" t="n">
        <v>1</v>
      </c>
      <c r="S36" t="n">
        <v>0.667</v>
      </c>
      <c r="T36" t="inlineStr"/>
      <c r="U36" t="inlineStr"/>
      <c r="V36" t="inlineStr"/>
      <c r="W3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37">
      <c r="A37" t="n">
        <v>36</v>
      </c>
      <c r="B37" t="n">
        <v>12</v>
      </c>
      <c r="C37" t="n">
        <v>3</v>
      </c>
      <c r="D37" t="n">
        <v>1</v>
      </c>
      <c r="E37" t="inlineStr">
        <is>
          <t>R1, R2 y R4</t>
        </is>
      </c>
      <c r="F37" t="inlineStr">
        <is>
          <t>Si el interruptor entre N2 y N3 ahora está cerrado, ¿qué componente, al estar en el mismo camino que la fuente de tensión, determinará la magnitud de la corriente que fluye hacia N2?</t>
        </is>
      </c>
      <c r="G37" t="n">
        <v>3</v>
      </c>
      <c r="H37" t="n">
        <v>4</v>
      </c>
      <c r="I37" t="n">
        <v>2</v>
      </c>
      <c r="J37" t="n">
        <v>5</v>
      </c>
      <c r="K37" t="n">
        <v>14</v>
      </c>
      <c r="L37" t="n">
        <v>0.774</v>
      </c>
      <c r="M37" t="n">
        <v>45</v>
      </c>
      <c r="N37" t="n">
        <v>77.53</v>
      </c>
      <c r="O37" t="inlineStr"/>
      <c r="P37" t="inlineStr">
        <is>
          <t>AC1, AC6, AC9</t>
        </is>
      </c>
      <c r="Q37" t="n">
        <v>0</v>
      </c>
      <c r="R37" t="n">
        <v>1</v>
      </c>
      <c r="S37" t="n">
        <v>0</v>
      </c>
      <c r="T37" t="inlineStr"/>
      <c r="U37" t="inlineStr"/>
      <c r="V37" t="inlineStr"/>
      <c r="W3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38">
      <c r="A38" t="n">
        <v>37</v>
      </c>
      <c r="B38" t="n">
        <v>13</v>
      </c>
      <c r="C38" t="n">
        <v>1</v>
      </c>
      <c r="D38" t="n">
        <v>1</v>
      </c>
      <c r="E38" t="inlineStr">
        <is>
          <t>R1, R2, R4 y R5</t>
        </is>
      </c>
      <c r="F38" t="inlineStr">
        <is>
          <t>Considerando que el interruptor entre N2 y N3 está abierto, ¿cómo afecta la ausencia de una conexión directa entre esos dos nodos al potencial resultante en N2 en relación con la Tierra?</t>
        </is>
      </c>
      <c r="G38" t="n">
        <v>4</v>
      </c>
      <c r="H38" t="n">
        <v>3</v>
      </c>
      <c r="I38" t="n">
        <v>2</v>
      </c>
      <c r="J38" t="n">
        <v>5</v>
      </c>
      <c r="K38" t="n">
        <v>14</v>
      </c>
      <c r="L38" t="n">
        <v>0.78</v>
      </c>
      <c r="M38" t="n">
        <v>41</v>
      </c>
      <c r="N38" t="n">
        <v>76.95</v>
      </c>
      <c r="O38" t="inlineStr">
        <is>
          <t>AC6</t>
        </is>
      </c>
      <c r="P38" t="inlineStr">
        <is>
          <t>AC1, AC9</t>
        </is>
      </c>
      <c r="Q38" t="n">
        <v>0</v>
      </c>
      <c r="R38" t="n">
        <v>0</v>
      </c>
      <c r="S38" t="n">
        <v>0</v>
      </c>
      <c r="T38" t="inlineStr"/>
      <c r="U38" t="inlineStr"/>
      <c r="V38" t="inlineStr"/>
      <c r="W38"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39">
      <c r="A39" t="n">
        <v>38</v>
      </c>
      <c r="B39" t="n">
        <v>13</v>
      </c>
      <c r="C39" t="n">
        <v>2</v>
      </c>
      <c r="D39" t="n">
        <v>1</v>
      </c>
      <c r="E39" t="inlineStr">
        <is>
          <t>R1, R2, R3 y R4</t>
        </is>
      </c>
      <c r="F39" t="inlineStr">
        <is>
          <t>Si el interruptor entre N2 y N3 permanece abierto, ¿podría explicar cómo la resistencia de R3 en particular influye en el flujo de corriente a través del circuito, considerando que está conectado a N1?</t>
        </is>
      </c>
      <c r="G39" t="n">
        <v>3</v>
      </c>
      <c r="H39" t="n">
        <v>5</v>
      </c>
      <c r="I39" t="n">
        <v>3</v>
      </c>
      <c r="J39" t="n">
        <v>5</v>
      </c>
      <c r="K39" t="n">
        <v>16</v>
      </c>
      <c r="L39" t="n">
        <v>0.792</v>
      </c>
      <c r="M39" t="n">
        <v>46</v>
      </c>
      <c r="N39" t="n">
        <v>75.73</v>
      </c>
      <c r="O39" t="inlineStr">
        <is>
          <t>AC1</t>
        </is>
      </c>
      <c r="P39" t="inlineStr">
        <is>
          <t>AC1, AC9</t>
        </is>
      </c>
      <c r="Q39" t="n">
        <v>0.5</v>
      </c>
      <c r="R39" t="n">
        <v>1</v>
      </c>
      <c r="S39" t="n">
        <v>0.667</v>
      </c>
      <c r="T39" t="inlineStr"/>
      <c r="U39" t="inlineStr"/>
      <c r="V39" t="inlineStr"/>
      <c r="W39"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40">
      <c r="A40" t="n">
        <v>39</v>
      </c>
      <c r="B40" t="n">
        <v>13</v>
      </c>
      <c r="C40" t="n">
        <v>3</v>
      </c>
      <c r="D40" t="n">
        <v>1</v>
      </c>
      <c r="E40" t="inlineStr">
        <is>
          <t>R1 y R2 y R4 hacen un divisor de corriente</t>
        </is>
      </c>
      <c r="F40" t="inlineStr">
        <is>
          <t>Si R1 y R2 están en serie, ¿cómo afecta la combinación de sus resistencias al flujo total de corriente a través del circuito, considerando que ambos están conectados a un nodo común?</t>
        </is>
      </c>
      <c r="G40" t="n">
        <v>4</v>
      </c>
      <c r="H40" t="n">
        <v>4</v>
      </c>
      <c r="I40" t="n">
        <v>4</v>
      </c>
      <c r="J40" t="n">
        <v>5</v>
      </c>
      <c r="K40" t="n">
        <v>17</v>
      </c>
      <c r="L40" t="n">
        <v>0.8</v>
      </c>
      <c r="M40" t="n">
        <v>39</v>
      </c>
      <c r="N40" t="n">
        <v>75.01000000000001</v>
      </c>
      <c r="O40" t="inlineStr"/>
      <c r="P40" t="inlineStr">
        <is>
          <t>AC1, AC6, AC9</t>
        </is>
      </c>
      <c r="Q40" t="n">
        <v>0</v>
      </c>
      <c r="R40" t="n">
        <v>1</v>
      </c>
      <c r="S40" t="n">
        <v>0</v>
      </c>
      <c r="T40" t="inlineStr"/>
      <c r="U40" t="inlineStr"/>
      <c r="V40" t="inlineStr"/>
      <c r="W40" t="inlineStr">
        <is>
          <t>Socratic quality 4/5 (Scaffolding for detection): Scaffolding for detection: identifies the error area and asks a question that confronts the theory. Conceptual precision 4/5 (Good): Good: clearly identifies the alternative conception with precise technical language. High-performing tutor: expert socratic guidance with precise diagnosis.</t>
        </is>
      </c>
    </row>
    <row r="41">
      <c r="A41" t="n">
        <v>40</v>
      </c>
      <c r="B41" t="n">
        <v>14</v>
      </c>
      <c r="C41" t="n">
        <v>1</v>
      </c>
      <c r="D41" t="n">
        <v>1</v>
      </c>
      <c r="E41" t="inlineStr">
        <is>
          <t>R1 y R2 y R4 hacen un divisor de tensión, r3 no cuenta por estar en corto</t>
        </is>
      </c>
      <c r="F41" t="inlineStr">
        <is>
          <t>Considerando que R5 está cortocircuitada, ¿cómo afecta esta condición a la corriente que podría circular a través de R3 y, en consecuencia, a su contribución al potencial entre N2 y 0?</t>
        </is>
      </c>
      <c r="G41" t="n">
        <v>4</v>
      </c>
      <c r="H41" t="n">
        <v>2</v>
      </c>
      <c r="I41" t="n">
        <v>3</v>
      </c>
      <c r="J41" t="n">
        <v>5</v>
      </c>
      <c r="K41" t="n">
        <v>14</v>
      </c>
      <c r="L41" t="n">
        <v>0.8110000000000001</v>
      </c>
      <c r="M41" t="n">
        <v>46</v>
      </c>
      <c r="N41" t="n">
        <v>74.01000000000001</v>
      </c>
      <c r="O41" t="inlineStr">
        <is>
          <t>AC1</t>
        </is>
      </c>
      <c r="P41" t="inlineStr">
        <is>
          <t>AC1</t>
        </is>
      </c>
      <c r="Q41" t="n">
        <v>1</v>
      </c>
      <c r="R41" t="n">
        <v>1</v>
      </c>
      <c r="S41" t="n">
        <v>1</v>
      </c>
      <c r="T41" t="inlineStr"/>
      <c r="U41" t="inlineStr"/>
      <c r="V41" t="inlineStr"/>
      <c r="W41" t="inlineStr">
        <is>
          <t>Socratic quality 4/5 (Scaffolding for detection): Scaffolding for detection: identifies the error area and asks a question that confronts the theory. Conceptual precision 2/5 (Poor): Poor: responds generically without diagnosing the conceptual error. Good overall performance; room for improvement in socratic depth.</t>
        </is>
      </c>
    </row>
    <row r="42">
      <c r="A42" t="n">
        <v>41</v>
      </c>
      <c r="B42" t="n">
        <v>14</v>
      </c>
      <c r="C42" t="n">
        <v>2</v>
      </c>
      <c r="D42" t="n">
        <v>1</v>
      </c>
      <c r="E42" t="inlineStr">
        <is>
          <t>No tengo en cuenta R3 porque el interruptor está cerrado</t>
        </is>
      </c>
      <c r="F42" t="inlineStr">
        <is>
          <t>Si el interruptor está cerrado, ¿cómo crees que la presencia de R3 modifica la relación entre el voltaje aplicado y el voltaje que podrías medir en un nodo específico del circuito?</t>
        </is>
      </c>
      <c r="G42" t="n">
        <v>3</v>
      </c>
      <c r="H42" t="n">
        <v>4</v>
      </c>
      <c r="I42" t="n">
        <v>5</v>
      </c>
      <c r="J42" t="n">
        <v>5</v>
      </c>
      <c r="K42" t="n">
        <v>17</v>
      </c>
      <c r="L42" t="n">
        <v>0.748</v>
      </c>
      <c r="M42" t="n">
        <v>39</v>
      </c>
      <c r="N42" t="n">
        <v>80.25</v>
      </c>
      <c r="O42" t="inlineStr">
        <is>
          <t>AC1, AC9</t>
        </is>
      </c>
      <c r="P42" t="inlineStr">
        <is>
          <t>AC1, AC9</t>
        </is>
      </c>
      <c r="Q42" t="n">
        <v>1</v>
      </c>
      <c r="R42" t="n">
        <v>1</v>
      </c>
      <c r="S42" t="n">
        <v>1</v>
      </c>
      <c r="T42" t="inlineStr"/>
      <c r="U42" t="inlineStr"/>
      <c r="V42" t="inlineStr"/>
      <c r="W42"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43">
      <c r="A43" t="n">
        <v>42</v>
      </c>
      <c r="B43" t="n">
        <v>14</v>
      </c>
      <c r="C43" t="n">
        <v>3</v>
      </c>
      <c r="D43" t="n">
        <v>1</v>
      </c>
      <c r="E43" t="inlineStr">
        <is>
          <t>No tengo en cuenta R5 porque está en circuito abierto</t>
        </is>
      </c>
      <c r="F43" t="inlineStr">
        <is>
          <t>Dado que el interruptor está cerrado, ¿cómo la inclusión de R3 altera la distribución de la corriente y, por lo tanto, la tensión que podrías observar en un nodo específico?</t>
        </is>
      </c>
      <c r="G43" t="n">
        <v>3</v>
      </c>
      <c r="H43" t="n">
        <v>3</v>
      </c>
      <c r="I43" t="n">
        <v>3</v>
      </c>
      <c r="J43" t="n">
        <v>5</v>
      </c>
      <c r="K43" t="n">
        <v>14</v>
      </c>
      <c r="L43" t="n">
        <v>0.743</v>
      </c>
      <c r="M43" t="n">
        <v>39</v>
      </c>
      <c r="N43" t="n">
        <v>80.70999999999999</v>
      </c>
      <c r="O43" t="inlineStr">
        <is>
          <t>AC6, AC9</t>
        </is>
      </c>
      <c r="P43" t="inlineStr">
        <is>
          <t>AC1</t>
        </is>
      </c>
      <c r="Q43" t="n">
        <v>0</v>
      </c>
      <c r="R43" t="n">
        <v>0</v>
      </c>
      <c r="S43" t="n">
        <v>0</v>
      </c>
      <c r="T43" t="inlineStr"/>
      <c r="U43" t="inlineStr"/>
      <c r="V43" t="inlineStr"/>
      <c r="W4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4">
      <c r="A44" t="n">
        <v>43</v>
      </c>
      <c r="B44" t="n">
        <v>15</v>
      </c>
      <c r="C44" t="n">
        <v>1</v>
      </c>
      <c r="D44" t="n">
        <v>3</v>
      </c>
      <c r="E44" t="inlineStr">
        <is>
          <t>R4 y R5 dado que las dos resistencia forman un divisor de tensión</t>
        </is>
      </c>
      <c r="F44" t="inlineStr">
        <is>
          <t>Considerando la configuración del circuito, ¿qué sucede con el flujo de corriente a través de R4 y R5 cuando están conectados entre el nodo N2 y tierra, y cómo podría esto afectar la diferencia de potencial medida entre esos dos puntos?</t>
        </is>
      </c>
      <c r="G44" t="n">
        <v>4</v>
      </c>
      <c r="H44" t="n">
        <v>3</v>
      </c>
      <c r="I44" t="n">
        <v>5</v>
      </c>
      <c r="J44" t="n">
        <v>5</v>
      </c>
      <c r="K44" t="n">
        <v>17</v>
      </c>
      <c r="L44" t="n">
        <v>0.837</v>
      </c>
      <c r="M44" t="n">
        <v>50</v>
      </c>
      <c r="N44" t="n">
        <v>71.66</v>
      </c>
      <c r="O44" t="inlineStr">
        <is>
          <t>AC9</t>
        </is>
      </c>
      <c r="P44" t="inlineStr">
        <is>
          <t>AC13</t>
        </is>
      </c>
      <c r="Q44" t="n">
        <v>0</v>
      </c>
      <c r="R44" t="n">
        <v>0</v>
      </c>
      <c r="S44" t="n">
        <v>0</v>
      </c>
      <c r="T44" t="inlineStr"/>
      <c r="U44" t="inlineStr"/>
      <c r="V44" t="inlineStr"/>
      <c r="W44"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High-performing tutor: expert socratic guidance with precise diagnosis.</t>
        </is>
      </c>
    </row>
    <row r="45">
      <c r="A45" t="n">
        <v>44</v>
      </c>
      <c r="B45" t="n">
        <v>15</v>
      </c>
      <c r="C45" t="n">
        <v>2</v>
      </c>
      <c r="D45" t="n">
        <v>3</v>
      </c>
      <c r="E45" t="inlineStr">
        <is>
          <t>R4 y R5 dado que se pide la tensión en R4</t>
        </is>
      </c>
      <c r="F45" t="inlineStr">
        <is>
          <t>Si la tensión en R4 es la que te interesa, ¿cómo crees que la división de voltaje entre R4 y R5 influirá en la corriente que fluye a través de cada resistencia, y ¿qué relación podrías establecer entre estos dos conceptos?</t>
        </is>
      </c>
      <c r="G45" t="n">
        <v>3</v>
      </c>
      <c r="H45" t="n">
        <v>3</v>
      </c>
      <c r="I45" t="n">
        <v>4</v>
      </c>
      <c r="J45" t="n">
        <v>5</v>
      </c>
      <c r="K45" t="n">
        <v>15</v>
      </c>
      <c r="L45" t="n">
        <v>0.854</v>
      </c>
      <c r="M45" t="n">
        <v>54</v>
      </c>
      <c r="N45" t="n">
        <v>70.23</v>
      </c>
      <c r="O45" t="inlineStr">
        <is>
          <t>AC9</t>
        </is>
      </c>
      <c r="P45" t="inlineStr">
        <is>
          <t>AC13</t>
        </is>
      </c>
      <c r="Q45" t="n">
        <v>0</v>
      </c>
      <c r="R45" t="n">
        <v>0</v>
      </c>
      <c r="S45" t="n">
        <v>0</v>
      </c>
      <c r="T45" t="inlineStr"/>
      <c r="U45" t="inlineStr"/>
      <c r="V45" t="inlineStr"/>
      <c r="W4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6">
      <c r="A46" t="n">
        <v>45</v>
      </c>
      <c r="B46" t="n">
        <v>15</v>
      </c>
      <c r="C46" t="n">
        <v>3</v>
      </c>
      <c r="D46" t="n">
        <v>3</v>
      </c>
      <c r="E46" t="inlineStr">
        <is>
          <t>R4 y R5 por identificar un divisor de tensión</t>
        </is>
      </c>
      <c r="F46" t="inlineStr">
        <is>
          <t>Considerando la configuración del divisor de tensión, ¿cómo crees que la resistencia de cada componente, R4 y R5, afecta la distribución de la corriente total a través del circuito, y ¿qué impacto esto podría tener en el voltaje medido en R4?</t>
        </is>
      </c>
      <c r="G46" t="n">
        <v>3</v>
      </c>
      <c r="H46" t="n">
        <v>3</v>
      </c>
      <c r="I46" t="n">
        <v>3</v>
      </c>
      <c r="J46" t="n">
        <v>5</v>
      </c>
      <c r="K46" t="n">
        <v>14</v>
      </c>
      <c r="L46" t="n">
        <v>0.8120000000000001</v>
      </c>
      <c r="M46" t="n">
        <v>55</v>
      </c>
      <c r="N46" t="n">
        <v>73.86</v>
      </c>
      <c r="O46" t="inlineStr">
        <is>
          <t>AC9</t>
        </is>
      </c>
      <c r="P46" t="inlineStr"/>
      <c r="Q46" t="n">
        <v>1</v>
      </c>
      <c r="R46" t="n">
        <v>0</v>
      </c>
      <c r="S46" t="n">
        <v>0</v>
      </c>
      <c r="T46" t="inlineStr"/>
      <c r="U46" t="inlineStr"/>
      <c r="V46" t="inlineStr"/>
      <c r="W4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7">
      <c r="A47" t="n">
        <v>46</v>
      </c>
      <c r="B47" t="n">
        <v>16</v>
      </c>
      <c r="C47" t="n">
        <v>1</v>
      </c>
      <c r="D47" t="n">
        <v>3</v>
      </c>
      <c r="E47" t="inlineStr">
        <is>
          <t>R4 y R5 hacen un divisor de tensión</t>
        </is>
      </c>
      <c r="F47" t="inlineStr">
        <is>
          <t>Considerando que R2 está cortocircuitada, ¿qué efecto tiene esta conexión en el flujo de corriente y, por lo tanto, en la caída de tensión a través de las resistencias que determinan la diferencia de potencial entre N2 y 0?</t>
        </is>
      </c>
      <c r="G47" t="n">
        <v>3</v>
      </c>
      <c r="H47" t="n">
        <v>3</v>
      </c>
      <c r="I47" t="n">
        <v>2</v>
      </c>
      <c r="J47" t="n">
        <v>5</v>
      </c>
      <c r="K47" t="n">
        <v>13</v>
      </c>
      <c r="L47" t="n">
        <v>0.898</v>
      </c>
      <c r="M47" t="n">
        <v>53</v>
      </c>
      <c r="N47" t="n">
        <v>66.84</v>
      </c>
      <c r="O47" t="inlineStr">
        <is>
          <t>AC9</t>
        </is>
      </c>
      <c r="P47" t="inlineStr">
        <is>
          <t>AC13</t>
        </is>
      </c>
      <c r="Q47" t="n">
        <v>0</v>
      </c>
      <c r="R47" t="n">
        <v>0</v>
      </c>
      <c r="S47" t="n">
        <v>0</v>
      </c>
      <c r="T47" t="inlineStr"/>
      <c r="U47" t="inlineStr"/>
      <c r="V47" t="inlineStr"/>
      <c r="W4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48">
      <c r="A48" t="n">
        <v>47</v>
      </c>
      <c r="B48" t="n">
        <v>16</v>
      </c>
      <c r="C48" t="n">
        <v>2</v>
      </c>
      <c r="D48" t="n">
        <v>3</v>
      </c>
      <c r="E48" t="inlineStr">
        <is>
          <t>R3, R4 y R5 porque son las resistencias que están conectadas a N2</t>
        </is>
      </c>
      <c r="F48" t="inlineStr">
        <is>
          <t>Si la caída de tensión a través de R4 y R5 está creando la diferencia de potencial que necesitamos, ¿cómo influye la presencia de R3 en esa configuración específica, considerando el objetivo del divisor de tensión?</t>
        </is>
      </c>
      <c r="G48" t="n">
        <v>4</v>
      </c>
      <c r="H48" t="n">
        <v>3</v>
      </c>
      <c r="I48" t="n">
        <v>5</v>
      </c>
      <c r="J48" t="n">
        <v>5</v>
      </c>
      <c r="K48" t="n">
        <v>17</v>
      </c>
      <c r="L48" t="n">
        <v>0.797</v>
      </c>
      <c r="M48" t="n">
        <v>45</v>
      </c>
      <c r="N48" t="n">
        <v>75.26000000000001</v>
      </c>
      <c r="O48" t="inlineStr"/>
      <c r="P48" t="inlineStr">
        <is>
          <t>AC13</t>
        </is>
      </c>
      <c r="Q48" t="n">
        <v>0</v>
      </c>
      <c r="R48" t="n">
        <v>1</v>
      </c>
      <c r="S48" t="n">
        <v>0</v>
      </c>
      <c r="T48" t="inlineStr"/>
      <c r="U48" t="inlineStr"/>
      <c r="V48" t="inlineStr"/>
      <c r="W48"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High-performing tutor: expert socratic guidance with precise diagnosis.</t>
        </is>
      </c>
    </row>
    <row r="49">
      <c r="A49" t="n">
        <v>48</v>
      </c>
      <c r="B49" t="n">
        <v>16</v>
      </c>
      <c r="C49" t="n">
        <v>3</v>
      </c>
      <c r="D49" t="n">
        <v>3</v>
      </c>
      <c r="E49" t="inlineStr">
        <is>
          <t>R3, R4 y R5 porque están en paralelo</t>
        </is>
      </c>
      <c r="F49" t="inlineStr">
        <is>
          <t>Si los componentes están en paralelo, ¿cómo afecta esto a la forma en que la corriente se distribuye entre ellos y, en consecuencia, a la tensión medida en el nodo N2?</t>
        </is>
      </c>
      <c r="G49" t="n">
        <v>4</v>
      </c>
      <c r="H49" t="n">
        <v>4</v>
      </c>
      <c r="I49" t="n">
        <v>3</v>
      </c>
      <c r="J49" t="n">
        <v>5</v>
      </c>
      <c r="K49" t="n">
        <v>16</v>
      </c>
      <c r="L49" t="n">
        <v>0.76</v>
      </c>
      <c r="M49" t="n">
        <v>39</v>
      </c>
      <c r="N49" t="n">
        <v>78.98999999999999</v>
      </c>
      <c r="O49" t="inlineStr"/>
      <c r="P49" t="inlineStr">
        <is>
          <t>AC13</t>
        </is>
      </c>
      <c r="Q49" t="n">
        <v>0</v>
      </c>
      <c r="R49" t="n">
        <v>1</v>
      </c>
      <c r="S49" t="n">
        <v>0</v>
      </c>
      <c r="T49" t="inlineStr"/>
      <c r="U49" t="inlineStr"/>
      <c r="V49" t="inlineStr"/>
      <c r="W49"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50">
      <c r="A50" t="n">
        <v>49</v>
      </c>
      <c r="B50" t="n">
        <v>17</v>
      </c>
      <c r="C50" t="n">
        <v>1</v>
      </c>
      <c r="D50" t="n">
        <v>3</v>
      </c>
      <c r="E50" t="inlineStr">
        <is>
          <t>R3, R4 y R5 porque R3 está en serie con el paralelo de R4 y R5</t>
        </is>
      </c>
      <c r="F50" t="inlineStr">
        <is>
          <t>Considerando que R2 está cortocircuitada, ¿podría el hecho de que R1 esté en paralelo con la fuente afectar la manera en que el voltaje se distribuye a través de las resistencias R3, R4 y R5?</t>
        </is>
      </c>
      <c r="G50" t="n">
        <v>3</v>
      </c>
      <c r="H50" t="n">
        <v>4</v>
      </c>
      <c r="I50" t="n">
        <v>5</v>
      </c>
      <c r="J50" t="n">
        <v>5</v>
      </c>
      <c r="K50" t="n">
        <v>17</v>
      </c>
      <c r="L50" t="n">
        <v>0.858</v>
      </c>
      <c r="M50" t="n">
        <v>51</v>
      </c>
      <c r="N50" t="n">
        <v>69.91</v>
      </c>
      <c r="O50" t="inlineStr"/>
      <c r="P50" t="inlineStr">
        <is>
          <t>AC13</t>
        </is>
      </c>
      <c r="Q50" t="n">
        <v>0</v>
      </c>
      <c r="R50" t="n">
        <v>1</v>
      </c>
      <c r="S50" t="n">
        <v>0</v>
      </c>
      <c r="T50" t="inlineStr"/>
      <c r="U50" t="inlineStr"/>
      <c r="V50" t="inlineStr"/>
      <c r="W50"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51">
      <c r="A51" t="n">
        <v>50</v>
      </c>
      <c r="B51" t="n">
        <v>17</v>
      </c>
      <c r="C51" t="n">
        <v>2</v>
      </c>
      <c r="D51" t="n">
        <v>3</v>
      </c>
      <c r="E51" t="inlineStr">
        <is>
          <t>R3, R4 y R5 porque R1 está en paralelo con la fuente y R2 cortocircuitada</t>
        </is>
      </c>
      <c r="F51" t="inlineStr">
        <is>
          <t>Si R1 está en paralelo con la fuente, ¿cómo crees que la corriente fluirá a través de R3, R4 y R5, considerando que R2 está cortocircuitada?</t>
        </is>
      </c>
      <c r="G51" t="n">
        <v>3</v>
      </c>
      <c r="H51" t="n">
        <v>3</v>
      </c>
      <c r="I51" t="n">
        <v>5</v>
      </c>
      <c r="J51" t="n">
        <v>5</v>
      </c>
      <c r="K51" t="n">
        <v>16</v>
      </c>
      <c r="L51" t="n">
        <v>0.744</v>
      </c>
      <c r="M51" t="n">
        <v>42</v>
      </c>
      <c r="N51" t="n">
        <v>80.66</v>
      </c>
      <c r="O51" t="inlineStr">
        <is>
          <t>AC6, AC13</t>
        </is>
      </c>
      <c r="P51" t="inlineStr">
        <is>
          <t>AC13</t>
        </is>
      </c>
      <c r="Q51" t="n">
        <v>1</v>
      </c>
      <c r="R51" t="n">
        <v>0.5</v>
      </c>
      <c r="S51" t="n">
        <v>0.667</v>
      </c>
      <c r="T51" t="inlineStr"/>
      <c r="U51" t="inlineStr"/>
      <c r="V51" t="inlineStr"/>
      <c r="W5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2">
      <c r="A52" t="n">
        <v>51</v>
      </c>
      <c r="B52" t="n">
        <v>17</v>
      </c>
      <c r="C52" t="n">
        <v>3</v>
      </c>
      <c r="D52" t="n">
        <v>3</v>
      </c>
      <c r="E52" t="inlineStr">
        <is>
          <t>R3, R4 y R5 porque R2 se elimina y R1 también</t>
        </is>
      </c>
      <c r="F52" t="inlineStr">
        <is>
          <t>Si R1 está en paralelo con la fuente, ¿cómo crees que la resistencia total del circuito afectará la magnitud de la corriente que fluye a través de R3, R4 y R5?</t>
        </is>
      </c>
      <c r="G52" t="n">
        <v>3</v>
      </c>
      <c r="H52" t="n">
        <v>4</v>
      </c>
      <c r="I52" t="n">
        <v>5</v>
      </c>
      <c r="J52" t="n">
        <v>5</v>
      </c>
      <c r="K52" t="n">
        <v>17</v>
      </c>
      <c r="L52" t="n">
        <v>0.741</v>
      </c>
      <c r="M52" t="n">
        <v>43</v>
      </c>
      <c r="N52" t="n">
        <v>80.94</v>
      </c>
      <c r="O52" t="inlineStr">
        <is>
          <t>AC6, AC13</t>
        </is>
      </c>
      <c r="P52" t="inlineStr">
        <is>
          <t>AC13</t>
        </is>
      </c>
      <c r="Q52" t="n">
        <v>1</v>
      </c>
      <c r="R52" t="n">
        <v>0.5</v>
      </c>
      <c r="S52" t="n">
        <v>0.667</v>
      </c>
      <c r="T52" t="inlineStr"/>
      <c r="U52" t="inlineStr"/>
      <c r="V52" t="inlineStr"/>
      <c r="W52"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53">
      <c r="A53" t="n">
        <v>52</v>
      </c>
      <c r="B53" t="n">
        <v>18</v>
      </c>
      <c r="C53" t="n">
        <v>1</v>
      </c>
      <c r="D53" t="n">
        <v>3</v>
      </c>
      <c r="E53" t="inlineStr">
        <is>
          <t>R3, R4 y R5 porque R2 está en cortocircuito y R1 en paralelo con la fuente</t>
        </is>
      </c>
      <c r="F53" t="inlineStr">
        <is>
          <t>Considerando que R2 efectivamente forma un cortocircuito, ¿podrías explicar por qué, a pesar de estar en un circuito, aún crees que su presencia es fundamental para determinar la diferencia de potencial entre N2 y 0?</t>
        </is>
      </c>
      <c r="G53" t="n">
        <v>3</v>
      </c>
      <c r="H53" t="n">
        <v>3</v>
      </c>
      <c r="I53" t="n">
        <v>3</v>
      </c>
      <c r="J53" t="n">
        <v>5</v>
      </c>
      <c r="K53" t="n">
        <v>14</v>
      </c>
      <c r="L53" t="n">
        <v>0.884</v>
      </c>
      <c r="M53" t="n">
        <v>50</v>
      </c>
      <c r="N53" t="n">
        <v>67.91</v>
      </c>
      <c r="O53" t="inlineStr">
        <is>
          <t>AC6, AC13</t>
        </is>
      </c>
      <c r="P53" t="inlineStr">
        <is>
          <t>AC6, AC13</t>
        </is>
      </c>
      <c r="Q53" t="n">
        <v>1</v>
      </c>
      <c r="R53" t="n">
        <v>1</v>
      </c>
      <c r="S53" t="n">
        <v>1</v>
      </c>
      <c r="T53" t="inlineStr"/>
      <c r="U53" t="inlineStr"/>
      <c r="V53" t="inlineStr"/>
      <c r="W53" t="inlineStr">
        <is>
          <t>Socratic quality 3/5 (Clarification): Clarification: asks the student to explain their reasoning. Conceptual precision 3/5 (Sufficient): Sufficient: identifies that there is an error and uses correct concepts, but the diagnosis is somewhat vague. Good overall performance; room for improvement in socratic depth.</t>
        </is>
      </c>
    </row>
    <row r="54">
      <c r="A54" t="n">
        <v>53</v>
      </c>
      <c r="B54" t="n">
        <v>18</v>
      </c>
      <c r="C54" t="n">
        <v>2</v>
      </c>
      <c r="D54" t="n">
        <v>3</v>
      </c>
      <c r="E54" t="inlineStr">
        <is>
          <t>R1 y R3 dado que R2 está cortocircuitada</t>
        </is>
      </c>
      <c r="F54" t="inlineStr">
        <is>
          <t>Si R1 y R3 están en serie con la fuente, ¿podrías describir cómo la resistencia de cada componente afectaría la corriente que fluye a través del circuito, considerando que R2 sigue siendo un cortocircuito?</t>
        </is>
      </c>
      <c r="G54" t="n">
        <v>3</v>
      </c>
      <c r="H54" t="n">
        <v>4</v>
      </c>
      <c r="I54" t="n">
        <v>4</v>
      </c>
      <c r="J54" t="n">
        <v>5</v>
      </c>
      <c r="K54" t="n">
        <v>16</v>
      </c>
      <c r="L54" t="n">
        <v>0.796</v>
      </c>
      <c r="M54" t="n">
        <v>48</v>
      </c>
      <c r="N54" t="n">
        <v>75.39</v>
      </c>
      <c r="O54" t="inlineStr">
        <is>
          <t>AC6, AC13, AC9</t>
        </is>
      </c>
      <c r="P54" t="inlineStr">
        <is>
          <t>AC6, AC13</t>
        </is>
      </c>
      <c r="Q54" t="n">
        <v>1</v>
      </c>
      <c r="R54" t="n">
        <v>0.667</v>
      </c>
      <c r="S54" t="n">
        <v>0.8</v>
      </c>
      <c r="T54" t="inlineStr"/>
      <c r="U54" t="inlineStr"/>
      <c r="V54" t="inlineStr"/>
      <c r="W5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55">
      <c r="A55" t="n">
        <v>54</v>
      </c>
      <c r="B55" t="n">
        <v>18</v>
      </c>
      <c r="C55" t="n">
        <v>3</v>
      </c>
      <c r="D55" t="n">
        <v>3</v>
      </c>
      <c r="E55" t="inlineStr">
        <is>
          <t>R1, R2 y R3 porque son las resistencias que están conectadas entre N2 y 0</t>
        </is>
      </c>
      <c r="F55" t="inlineStr">
        <is>
          <t>Si consideramos que R1, R2 y R3 forman una conexión entre el nodo N2 y el punto 0, ¿podrías explicar qué efecto tendría la naturaleza del cortocircuito de R2 en la distribución de la corriente a través de este conjunto de resistencias?</t>
        </is>
      </c>
      <c r="G55" t="n">
        <v>3</v>
      </c>
      <c r="H55" t="n">
        <v>4</v>
      </c>
      <c r="I55" t="n">
        <v>5</v>
      </c>
      <c r="J55" t="n">
        <v>5</v>
      </c>
      <c r="K55" t="n">
        <v>17</v>
      </c>
      <c r="L55" t="n">
        <v>0.906</v>
      </c>
      <c r="M55" t="n">
        <v>57</v>
      </c>
      <c r="N55" t="n">
        <v>66.20999999999999</v>
      </c>
      <c r="O55" t="inlineStr">
        <is>
          <t>AC6, AC13, AC9</t>
        </is>
      </c>
      <c r="P55" t="inlineStr">
        <is>
          <t>AC6, AC13, AC9</t>
        </is>
      </c>
      <c r="Q55" t="n">
        <v>1</v>
      </c>
      <c r="R55" t="n">
        <v>1</v>
      </c>
      <c r="S55" t="n">
        <v>1</v>
      </c>
      <c r="T55" t="inlineStr"/>
      <c r="U55" t="inlineStr"/>
      <c r="V55" t="inlineStr"/>
      <c r="W55" t="inlineStr">
        <is>
          <t>Socratic quality 3/5 (Clarification): Clarification: asks the student to explain their reasoning. Conceptual precision 4/5 (Good): Good: clearly identifies the alternative conception with precise technical language. High-performing tutor: expert socratic guidance with precise diagnosis.</t>
        </is>
      </c>
    </row>
    <row r="56">
      <c r="A56" t="n">
        <v>55</v>
      </c>
      <c r="B56" t="n">
        <v>19</v>
      </c>
      <c r="C56" t="n">
        <v>1</v>
      </c>
      <c r="D56" t="n">
        <v>3</v>
      </c>
      <c r="E56" t="inlineStr">
        <is>
          <t>R4 porque es la resistencias que está conectadas entre N2 y 0</t>
        </is>
      </c>
      <c r="F56" t="inlineStr">
        <is>
          <t>Considerando la conexión de R4, ¿podrías explicar por qué su posición directa entre N2 y 0 podría ser la única responsable de determinar la diferencia de potencial, descartando cualquier otro elemento del circuito?</t>
        </is>
      </c>
      <c r="G56" t="n">
        <v>3</v>
      </c>
      <c r="H56" t="n">
        <v>2</v>
      </c>
      <c r="I56" t="n">
        <v>5</v>
      </c>
      <c r="J56" t="n">
        <v>5</v>
      </c>
      <c r="K56" t="n">
        <v>15</v>
      </c>
      <c r="L56" t="n">
        <v>0.832</v>
      </c>
      <c r="M56" t="n">
        <v>45</v>
      </c>
      <c r="N56" t="n">
        <v>72.06999999999999</v>
      </c>
      <c r="O56" t="inlineStr">
        <is>
          <t>AC9</t>
        </is>
      </c>
      <c r="P56" t="inlineStr">
        <is>
          <t>AC13</t>
        </is>
      </c>
      <c r="Q56" t="n">
        <v>0</v>
      </c>
      <c r="R56" t="n">
        <v>0</v>
      </c>
      <c r="S56" t="n">
        <v>0</v>
      </c>
      <c r="T56" t="inlineStr"/>
      <c r="U56" t="inlineStr"/>
      <c r="V56" t="inlineStr"/>
      <c r="W56" t="inlineStr">
        <is>
          <t>Socratic quality 3/5 (Clarification): Clarification: asks the student to explain their reasoning. Conceptual precision 2/5 (Poor): Poor: responds generically without diagnosing the conceptual error. Good overall performance; room for improvement in socratic depth.</t>
        </is>
      </c>
    </row>
    <row r="57">
      <c r="A57" t="n">
        <v>56</v>
      </c>
      <c r="B57" t="n">
        <v>19</v>
      </c>
      <c r="C57" t="n">
        <v>2</v>
      </c>
      <c r="D57" t="n">
        <v>3</v>
      </c>
      <c r="E57" t="inlineStr">
        <is>
          <t>R1, R3, R4 y R5 dado que R2 sobra</t>
        </is>
      </c>
      <c r="F57" t="inlineStr">
        <is>
          <t>Si elimináramos todas las resistencias excepto R1, R3 y R4, ¿cambiaría fundamentalmente la relación entre la corriente y el voltaje en el circuito, y por qué?</t>
        </is>
      </c>
      <c r="G57" t="n">
        <v>3</v>
      </c>
      <c r="H57" t="n">
        <v>4</v>
      </c>
      <c r="I57" t="n">
        <v>4</v>
      </c>
      <c r="J57" t="n">
        <v>5</v>
      </c>
      <c r="K57" t="n">
        <v>16</v>
      </c>
      <c r="L57" t="n">
        <v>0.744</v>
      </c>
      <c r="M57" t="n">
        <v>40</v>
      </c>
      <c r="N57" t="n">
        <v>80.59999999999999</v>
      </c>
      <c r="O57" t="inlineStr">
        <is>
          <t>AC6, AC13</t>
        </is>
      </c>
      <c r="P57" t="inlineStr">
        <is>
          <t>AC13, AC9</t>
        </is>
      </c>
      <c r="Q57" t="n">
        <v>0.5</v>
      </c>
      <c r="R57" t="n">
        <v>0.5</v>
      </c>
      <c r="S57" t="n">
        <v>0.5</v>
      </c>
      <c r="T57" t="inlineStr"/>
      <c r="U57" t="inlineStr"/>
      <c r="V57" t="inlineStr"/>
      <c r="W5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58">
      <c r="A58" t="n">
        <v>57</v>
      </c>
      <c r="B58" t="n">
        <v>19</v>
      </c>
      <c r="C58" t="n">
        <v>3</v>
      </c>
      <c r="D58" t="n">
        <v>3</v>
      </c>
      <c r="E58" t="inlineStr">
        <is>
          <t>R1, R3, R4 y R5 dado que R2 no hace nada</t>
        </is>
      </c>
      <c r="F58" t="inlineStr">
        <is>
          <t>Considerando que R2 no contribuye al flujo de corriente en este arreglo, ¿podrías articular cómo la combinación de R1, R3, R4 y R5 sigue manteniendo una relación específica entre la corriente y el voltaje en el circuito?</t>
        </is>
      </c>
      <c r="G58" t="n">
        <v>3</v>
      </c>
      <c r="H58" t="n">
        <v>3</v>
      </c>
      <c r="I58" t="n">
        <v>5</v>
      </c>
      <c r="J58" t="n">
        <v>5</v>
      </c>
      <c r="K58" t="n">
        <v>16</v>
      </c>
      <c r="L58" t="n">
        <v>0.845</v>
      </c>
      <c r="M58" t="n">
        <v>52</v>
      </c>
      <c r="N58" t="n">
        <v>70.98</v>
      </c>
      <c r="O58" t="inlineStr">
        <is>
          <t>AC6, AC13</t>
        </is>
      </c>
      <c r="P58" t="inlineStr">
        <is>
          <t>AC13</t>
        </is>
      </c>
      <c r="Q58" t="n">
        <v>1</v>
      </c>
      <c r="R58" t="n">
        <v>0.5</v>
      </c>
      <c r="S58" t="n">
        <v>0.667</v>
      </c>
      <c r="T58" t="inlineStr"/>
      <c r="U58" t="inlineStr"/>
      <c r="V58" t="inlineStr"/>
      <c r="W5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59">
      <c r="A59" t="n">
        <v>58</v>
      </c>
      <c r="B59" t="n">
        <v>20</v>
      </c>
      <c r="C59" t="n">
        <v>1</v>
      </c>
      <c r="D59" t="n">
        <v>3</v>
      </c>
      <c r="E59" t="inlineStr">
        <is>
          <t>R1, R3, R4 y R5 dado que R2 está cortocircuitada</t>
        </is>
      </c>
      <c r="F59" t="inlineStr">
        <is>
          <t>Considerando que R2 está efectivamente cortocircuitada, ¿podrías explicar qué implicaría esa condición para el flujo de corriente a través de las resistencias R1, R3, R4 y R5 en relación con el nodo N2?</t>
        </is>
      </c>
      <c r="G59" t="n">
        <v>3</v>
      </c>
      <c r="H59" t="n">
        <v>4</v>
      </c>
      <c r="I59" t="n">
        <v>5</v>
      </c>
      <c r="J59" t="n">
        <v>5</v>
      </c>
      <c r="K59" t="n">
        <v>17</v>
      </c>
      <c r="L59" t="n">
        <v>0.881</v>
      </c>
      <c r="M59" t="n">
        <v>52</v>
      </c>
      <c r="N59" t="n">
        <v>68.11</v>
      </c>
      <c r="O59" t="inlineStr">
        <is>
          <t>AC6, AC13</t>
        </is>
      </c>
      <c r="P59" t="inlineStr"/>
      <c r="Q59" t="n">
        <v>1</v>
      </c>
      <c r="R59" t="n">
        <v>0</v>
      </c>
      <c r="S59" t="n">
        <v>0</v>
      </c>
      <c r="T59" t="inlineStr"/>
      <c r="U59" t="inlineStr"/>
      <c r="V59" t="inlineStr"/>
      <c r="W59" t="inlineStr">
        <is>
          <t>Socratic quality 3/5 (Clarification): Clarification: asks the student to explain their reasoning. Conceptual precision 4/5 (Good): Good: clearly identifies the alternative conception with precise technical language. High-performing tutor: expert socratic guidance with precise diagnosis.</t>
        </is>
      </c>
    </row>
    <row r="60">
      <c r="A60" t="n">
        <v>59</v>
      </c>
      <c r="B60" t="n">
        <v>20</v>
      </c>
      <c r="C60" t="n">
        <v>2</v>
      </c>
      <c r="D60" t="n">
        <v>3</v>
      </c>
      <c r="E60" t="inlineStr">
        <is>
          <t>R1, R2, R3, R4 y R5 dado que son las resistencias que forman parte del circuito.</t>
        </is>
      </c>
      <c r="F60" t="inlineStr">
        <is>
          <t>Si R2 está cortocircuitada, ¿cómo crees que afectaría la cantidad de corriente que fluye a través de R1, R3, R4 y R5 en comparación con un circuito completo?</t>
        </is>
      </c>
      <c r="G60" t="n">
        <v>3</v>
      </c>
      <c r="H60" t="n">
        <v>2</v>
      </c>
      <c r="I60" t="n">
        <v>5</v>
      </c>
      <c r="J60" t="n">
        <v>5</v>
      </c>
      <c r="K60" t="n">
        <v>15</v>
      </c>
      <c r="L60" t="n">
        <v>0.832</v>
      </c>
      <c r="M60" t="n">
        <v>45</v>
      </c>
      <c r="N60" t="n">
        <v>72.09999999999999</v>
      </c>
      <c r="O60" t="inlineStr">
        <is>
          <t>AC6, AC13</t>
        </is>
      </c>
      <c r="P60" t="inlineStr"/>
      <c r="Q60" t="n">
        <v>1</v>
      </c>
      <c r="R60" t="n">
        <v>0</v>
      </c>
      <c r="S60" t="n">
        <v>0</v>
      </c>
      <c r="T60" t="inlineStr"/>
      <c r="U60" t="inlineStr"/>
      <c r="V60" t="inlineStr"/>
      <c r="W60"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61">
      <c r="A61" t="n">
        <v>60</v>
      </c>
      <c r="B61" t="n">
        <v>20</v>
      </c>
      <c r="C61" t="n">
        <v>3</v>
      </c>
      <c r="D61" t="n">
        <v>3</v>
      </c>
      <c r="E61" t="inlineStr">
        <is>
          <t>R1, R2, R3 y R4 dado que R1, R2 y R3 están en paralelo con R4</t>
        </is>
      </c>
      <c r="F61" t="inlineStr">
        <is>
          <t>Dado que R2 está cortocircuitada, ¿qué efecto esperas que tenga la eliminación de R2 en la forma en que las resistencias R1, R3 y R4 se conectan entre el nodo N1 y N2?</t>
        </is>
      </c>
      <c r="G61" t="n">
        <v>3</v>
      </c>
      <c r="H61" t="n">
        <v>3</v>
      </c>
      <c r="I61" t="n">
        <v>5</v>
      </c>
      <c r="J61" t="n">
        <v>5</v>
      </c>
      <c r="K61" t="n">
        <v>16</v>
      </c>
      <c r="L61" t="n">
        <v>0.853</v>
      </c>
      <c r="M61" t="n">
        <v>50</v>
      </c>
      <c r="N61" t="n">
        <v>70.31</v>
      </c>
      <c r="O61" t="inlineStr">
        <is>
          <t>AC6, AC13, AC9</t>
        </is>
      </c>
      <c r="P61" t="inlineStr">
        <is>
          <t>AC13</t>
        </is>
      </c>
      <c r="Q61" t="n">
        <v>1</v>
      </c>
      <c r="R61" t="n">
        <v>0.333</v>
      </c>
      <c r="S61" t="n">
        <v>0.5</v>
      </c>
      <c r="T61" t="inlineStr"/>
      <c r="U61" t="inlineStr"/>
      <c r="V61" t="inlineStr"/>
      <c r="W6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2">
      <c r="A62" t="n">
        <v>61</v>
      </c>
      <c r="B62" t="n">
        <v>21</v>
      </c>
      <c r="C62" t="n">
        <v>1</v>
      </c>
      <c r="D62" t="n">
        <v>3</v>
      </c>
      <c r="E62" t="inlineStr">
        <is>
          <t>R1, R3 y R4 dado que R2 está en cortocircuito</t>
        </is>
      </c>
      <c r="F62" t="inlineStr">
        <is>
          <t>Considerando que R2 está efectivamente en cortocircuito, ¿qué implicaría esto sobre el comportamiento de la corriente que fluye a través de R1 y R3 en relación con la diferencia de potencial entre N2 y 0?</t>
        </is>
      </c>
      <c r="G62" t="n">
        <v>3</v>
      </c>
      <c r="H62" t="n">
        <v>4</v>
      </c>
      <c r="I62" t="n">
        <v>4</v>
      </c>
      <c r="J62" t="n">
        <v>5</v>
      </c>
      <c r="K62" t="n">
        <v>16</v>
      </c>
      <c r="L62" t="n">
        <v>0.852</v>
      </c>
      <c r="M62" t="n">
        <v>49</v>
      </c>
      <c r="N62" t="n">
        <v>70.45</v>
      </c>
      <c r="O62" t="inlineStr">
        <is>
          <t>AC6, AC13, AC9</t>
        </is>
      </c>
      <c r="P62" t="inlineStr">
        <is>
          <t>AC6, AC13</t>
        </is>
      </c>
      <c r="Q62" t="n">
        <v>1</v>
      </c>
      <c r="R62" t="n">
        <v>0.667</v>
      </c>
      <c r="S62" t="n">
        <v>0.8</v>
      </c>
      <c r="T62" t="inlineStr"/>
      <c r="U62" t="inlineStr"/>
      <c r="V62" t="inlineStr"/>
      <c r="W6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63">
      <c r="A63" t="n">
        <v>62</v>
      </c>
      <c r="B63" t="n">
        <v>21</v>
      </c>
      <c r="C63" t="n">
        <v>2</v>
      </c>
      <c r="D63" t="n">
        <v>3</v>
      </c>
      <c r="E63" t="inlineStr">
        <is>
          <t>R3, R4 y R5 dado que R1 y R2 se pueden quitar</t>
        </is>
      </c>
      <c r="F63" t="inlineStr">
        <is>
          <t>Si se eliminan R1 y R2, ¿cómo cambiaría la relación entre la tensión aplicada y la corriente resultante que fluye a través de R3 y R4?</t>
        </is>
      </c>
      <c r="G63" t="n">
        <v>3</v>
      </c>
      <c r="H63" t="n">
        <v>3</v>
      </c>
      <c r="I63" t="n">
        <v>5</v>
      </c>
      <c r="J63" t="n">
        <v>5</v>
      </c>
      <c r="K63" t="n">
        <v>16</v>
      </c>
      <c r="L63" t="n">
        <v>0.734</v>
      </c>
      <c r="M63" t="n">
        <v>37</v>
      </c>
      <c r="N63" t="n">
        <v>81.69</v>
      </c>
      <c r="O63" t="inlineStr">
        <is>
          <t>AC6, AC13</t>
        </is>
      </c>
      <c r="P63" t="inlineStr">
        <is>
          <t>AC13</t>
        </is>
      </c>
      <c r="Q63" t="n">
        <v>1</v>
      </c>
      <c r="R63" t="n">
        <v>0.5</v>
      </c>
      <c r="S63" t="n">
        <v>0.667</v>
      </c>
      <c r="T63" t="inlineStr"/>
      <c r="U63" t="inlineStr"/>
      <c r="V63" t="inlineStr"/>
      <c r="W6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4">
      <c r="A64" t="n">
        <v>63</v>
      </c>
      <c r="B64" t="n">
        <v>21</v>
      </c>
      <c r="C64" t="n">
        <v>3</v>
      </c>
      <c r="D64" t="n">
        <v>3</v>
      </c>
      <c r="E64" t="inlineStr">
        <is>
          <t>R3, R4 y R5 dado que R1 y R2 no afectan a la tensión pedida</t>
        </is>
      </c>
      <c r="F64" t="inlineStr">
        <is>
          <t>Si R1 y R2 no influyen directamente en la tensión a través de R3, R4 y R5, ¿qué aspecto del circuito eléctrico, relacionado con la distribución de la corriente, podría ser el que realmente determina el valor de esa tensión?</t>
        </is>
      </c>
      <c r="G64" t="n">
        <v>3</v>
      </c>
      <c r="H64" t="n">
        <v>3</v>
      </c>
      <c r="I64" t="n">
        <v>5</v>
      </c>
      <c r="J64" t="n">
        <v>5</v>
      </c>
      <c r="K64" t="n">
        <v>16</v>
      </c>
      <c r="L64" t="n">
        <v>0.843</v>
      </c>
      <c r="M64" t="n">
        <v>53</v>
      </c>
      <c r="N64" t="n">
        <v>71.2</v>
      </c>
      <c r="O64" t="inlineStr">
        <is>
          <t>AC6, AC13</t>
        </is>
      </c>
      <c r="P64" t="inlineStr"/>
      <c r="Q64" t="n">
        <v>1</v>
      </c>
      <c r="R64" t="n">
        <v>0</v>
      </c>
      <c r="S64" t="n">
        <v>0</v>
      </c>
      <c r="T64" t="inlineStr"/>
      <c r="U64" t="inlineStr"/>
      <c r="V64" t="inlineStr"/>
      <c r="W6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5">
      <c r="A65" t="n">
        <v>64</v>
      </c>
      <c r="B65" t="n">
        <v>22</v>
      </c>
      <c r="C65" t="n">
        <v>1</v>
      </c>
      <c r="D65" t="n">
        <v>3</v>
      </c>
      <c r="E65" t="inlineStr">
        <is>
          <t>R3, R4 y R5 dado que R2 está en cortocircuito y la tensión en R1 es la de la fuente</t>
        </is>
      </c>
      <c r="F65" t="inlineStr">
        <is>
          <t>Considerando que R2 está efectivamente cortocircuitada, ¿qué implicaría esa conexión en términos de la corriente que podría fluir a través de R1 y, por lo tanto, su influencia en la diferencia de potencial entre N2 y 0?</t>
        </is>
      </c>
      <c r="G65" t="n">
        <v>3</v>
      </c>
      <c r="H65" t="n">
        <v>3</v>
      </c>
      <c r="I65" t="n">
        <v>3</v>
      </c>
      <c r="J65" t="n">
        <v>5</v>
      </c>
      <c r="K65" t="n">
        <v>14</v>
      </c>
      <c r="L65" t="n">
        <v>0.911</v>
      </c>
      <c r="M65" t="n">
        <v>53</v>
      </c>
      <c r="N65" t="n">
        <v>65.88</v>
      </c>
      <c r="O65" t="inlineStr">
        <is>
          <t>AC6, AC13</t>
        </is>
      </c>
      <c r="P65" t="inlineStr">
        <is>
          <t>AC13</t>
        </is>
      </c>
      <c r="Q65" t="n">
        <v>1</v>
      </c>
      <c r="R65" t="n">
        <v>0.5</v>
      </c>
      <c r="S65" t="n">
        <v>0.667</v>
      </c>
      <c r="T65" t="inlineStr"/>
      <c r="U65" t="inlineStr"/>
      <c r="V65" t="inlineStr"/>
      <c r="W6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6">
      <c r="A66" t="n">
        <v>65</v>
      </c>
      <c r="B66" t="n">
        <v>22</v>
      </c>
      <c r="C66" t="n">
        <v>2</v>
      </c>
      <c r="D66" t="n">
        <v>3</v>
      </c>
      <c r="E66" t="inlineStr">
        <is>
          <t>R2 está en cortocircuito y la tensión en R1 es la de la fuente</t>
        </is>
      </c>
      <c r="F66" t="inlineStr">
        <is>
          <t>Si la tensión en R1 es directamente la tensión de la fuente, ¿cómo crees que esto afectaría el flujo de corriente a través de los otros componentes del circuito, como R3, R4 y R5?</t>
        </is>
      </c>
      <c r="G66" t="n">
        <v>3</v>
      </c>
      <c r="H66" t="n">
        <v>3</v>
      </c>
      <c r="I66" t="n">
        <v>4</v>
      </c>
      <c r="J66" t="n">
        <v>5</v>
      </c>
      <c r="K66" t="n">
        <v>15</v>
      </c>
      <c r="L66" t="n">
        <v>0.805</v>
      </c>
      <c r="M66" t="n">
        <v>46</v>
      </c>
      <c r="N66" t="n">
        <v>74.5</v>
      </c>
      <c r="O66" t="inlineStr">
        <is>
          <t>AC6, AC13, AC9</t>
        </is>
      </c>
      <c r="P66" t="inlineStr">
        <is>
          <t>AC13</t>
        </is>
      </c>
      <c r="Q66" t="n">
        <v>1</v>
      </c>
      <c r="R66" t="n">
        <v>0.333</v>
      </c>
      <c r="S66" t="n">
        <v>0.5</v>
      </c>
      <c r="T66" t="inlineStr"/>
      <c r="U66" t="inlineStr"/>
      <c r="V66" t="inlineStr"/>
      <c r="W6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7">
      <c r="A67" t="n">
        <v>66</v>
      </c>
      <c r="B67" t="n">
        <v>22</v>
      </c>
      <c r="C67" t="n">
        <v>3</v>
      </c>
      <c r="D67" t="n">
        <v>3</v>
      </c>
      <c r="E67" t="inlineStr">
        <is>
          <t>R1 está en paralelo con la fuente y R2 está en cortocircuito</t>
        </is>
      </c>
      <c r="F67" t="inlineStr">
        <is>
          <t>Si R2 está cortocircuitado, ¿qué efecto esperas que tenga en la trayectoria del flujo de corriente a través de los componentes conectados a R1?</t>
        </is>
      </c>
      <c r="G67" t="n">
        <v>3</v>
      </c>
      <c r="H67" t="n">
        <v>2</v>
      </c>
      <c r="I67" t="n">
        <v>5</v>
      </c>
      <c r="J67" t="n">
        <v>5</v>
      </c>
      <c r="K67" t="n">
        <v>15</v>
      </c>
      <c r="L67" t="n">
        <v>0.785</v>
      </c>
      <c r="M67" t="n">
        <v>34</v>
      </c>
      <c r="N67" t="n">
        <v>76.40000000000001</v>
      </c>
      <c r="O67" t="inlineStr">
        <is>
          <t>AC6, AC13, AC9</t>
        </is>
      </c>
      <c r="P67" t="inlineStr"/>
      <c r="Q67" t="n">
        <v>1</v>
      </c>
      <c r="R67" t="n">
        <v>0</v>
      </c>
      <c r="S67" t="n">
        <v>0</v>
      </c>
      <c r="T67" t="inlineStr"/>
      <c r="U67" t="inlineStr"/>
      <c r="V67" t="inlineStr"/>
      <c r="W67"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68">
      <c r="A68" t="n">
        <v>67</v>
      </c>
      <c r="B68" t="n">
        <v>23</v>
      </c>
      <c r="C68" t="n">
        <v>1</v>
      </c>
      <c r="D68" t="n">
        <v>3</v>
      </c>
      <c r="E68" t="inlineStr">
        <is>
          <t>R5 porque está al final del circuito</t>
        </is>
      </c>
      <c r="F68" t="inlineStr">
        <is>
          <t>Considerando que R5 está conectado directamente a N2, ¿podría haber otras resistencias en el camino entre N2 y 0 que influyan en la caída de voltaje en ese componente?</t>
        </is>
      </c>
      <c r="G68" t="n">
        <v>3</v>
      </c>
      <c r="H68" t="n">
        <v>3</v>
      </c>
      <c r="I68" t="n">
        <v>4</v>
      </c>
      <c r="J68" t="n">
        <v>5</v>
      </c>
      <c r="K68" t="n">
        <v>15</v>
      </c>
      <c r="L68" t="n">
        <v>0.78</v>
      </c>
      <c r="M68" t="n">
        <v>40</v>
      </c>
      <c r="N68" t="n">
        <v>76.95999999999999</v>
      </c>
      <c r="O68" t="inlineStr">
        <is>
          <t>AC9</t>
        </is>
      </c>
      <c r="P68" t="inlineStr">
        <is>
          <t>AC13</t>
        </is>
      </c>
      <c r="Q68" t="n">
        <v>0</v>
      </c>
      <c r="R68" t="n">
        <v>0</v>
      </c>
      <c r="S68" t="n">
        <v>0</v>
      </c>
      <c r="T68" t="inlineStr"/>
      <c r="U68" t="inlineStr"/>
      <c r="V68" t="inlineStr"/>
      <c r="W6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69">
      <c r="A69" t="n">
        <v>68</v>
      </c>
      <c r="B69" t="n">
        <v>23</v>
      </c>
      <c r="C69" t="n">
        <v>2</v>
      </c>
      <c r="D69" t="n">
        <v>3</v>
      </c>
      <c r="E69" t="inlineStr">
        <is>
          <t>Depende de todas porque todas influyen en la tensión</t>
        </is>
      </c>
      <c r="F69" t="inlineStr">
        <is>
          <t>Si enfocamos nuestra atención en la resistencia total del circuito, ¿podría la posición de R5 realmente ser el factor determinante para la corriente que fluye a través de él?</t>
        </is>
      </c>
      <c r="G69" t="n">
        <v>3</v>
      </c>
      <c r="H69" t="n">
        <v>3</v>
      </c>
      <c r="I69" t="n">
        <v>4</v>
      </c>
      <c r="J69" t="n">
        <v>5</v>
      </c>
      <c r="K69" t="n">
        <v>15</v>
      </c>
      <c r="L69" t="n">
        <v>0.722</v>
      </c>
      <c r="M69" t="n">
        <v>37</v>
      </c>
      <c r="N69" t="n">
        <v>83.13</v>
      </c>
      <c r="O69" t="inlineStr">
        <is>
          <t>AC9</t>
        </is>
      </c>
      <c r="P69" t="inlineStr"/>
      <c r="Q69" t="n">
        <v>1</v>
      </c>
      <c r="R69" t="n">
        <v>0</v>
      </c>
      <c r="S69" t="n">
        <v>0</v>
      </c>
      <c r="T69" t="inlineStr"/>
      <c r="U69" t="inlineStr"/>
      <c r="V69" t="inlineStr"/>
      <c r="W6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0">
      <c r="A70" t="n">
        <v>69</v>
      </c>
      <c r="B70" t="n">
        <v>23</v>
      </c>
      <c r="C70" t="n">
        <v>3</v>
      </c>
      <c r="D70" t="n">
        <v>3</v>
      </c>
      <c r="E70" t="inlineStr">
        <is>
          <t>R3 y R4 porque están más lejos de la fuente</t>
        </is>
      </c>
      <c r="F70" t="inlineStr">
        <is>
          <t>Si analizamos el flujo de corriente a través de cada resistor, ¿podría la distancia física desde la fuente afectar la resistencia equivalente que experimenta cada componente?</t>
        </is>
      </c>
      <c r="G70" t="n">
        <v>3</v>
      </c>
      <c r="H70" t="n">
        <v>3</v>
      </c>
      <c r="I70" t="n">
        <v>3</v>
      </c>
      <c r="J70" t="n">
        <v>5</v>
      </c>
      <c r="K70" t="n">
        <v>14</v>
      </c>
      <c r="L70" t="n">
        <v>0.73</v>
      </c>
      <c r="M70" t="n">
        <v>33</v>
      </c>
      <c r="N70" t="n">
        <v>82.19</v>
      </c>
      <c r="O70" t="inlineStr">
        <is>
          <t>AC9</t>
        </is>
      </c>
      <c r="P70" t="inlineStr">
        <is>
          <t>AC13</t>
        </is>
      </c>
      <c r="Q70" t="n">
        <v>0</v>
      </c>
      <c r="R70" t="n">
        <v>0</v>
      </c>
      <c r="S70" t="n">
        <v>0</v>
      </c>
      <c r="T70" t="inlineStr"/>
      <c r="U70" t="inlineStr"/>
      <c r="V70" t="inlineStr"/>
      <c r="W7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1">
      <c r="A71" t="n">
        <v>70</v>
      </c>
      <c r="B71" t="n">
        <v>24</v>
      </c>
      <c r="C71" t="n">
        <v>1</v>
      </c>
      <c r="D71" t="n">
        <v>3</v>
      </c>
      <c r="E71" t="inlineStr">
        <is>
          <t>R3 y R5 porque están conectadas en serie</t>
        </is>
      </c>
      <c r="F71" t="inlineStr">
        <is>
          <t>Considerando que R2 está cortocircuitada, ¿qué efecto tiene esa conexión en la trayectoria de la corriente que fluye hacia el nodo N2, y podría eso afectar la contribución de otras resistencias a la diferencia de potencial entre N2 y 0?</t>
        </is>
      </c>
      <c r="G71" t="n">
        <v>3</v>
      </c>
      <c r="H71" t="n">
        <v>3</v>
      </c>
      <c r="I71" t="n">
        <v>2</v>
      </c>
      <c r="J71" t="n">
        <v>5</v>
      </c>
      <c r="K71" t="n">
        <v>13</v>
      </c>
      <c r="L71" t="n">
        <v>0.88</v>
      </c>
      <c r="M71" t="n">
        <v>55</v>
      </c>
      <c r="N71" t="n">
        <v>68.16</v>
      </c>
      <c r="O71" t="inlineStr">
        <is>
          <t>AC9</t>
        </is>
      </c>
      <c r="P71" t="inlineStr">
        <is>
          <t>AC13</t>
        </is>
      </c>
      <c r="Q71" t="n">
        <v>0</v>
      </c>
      <c r="R71" t="n">
        <v>0</v>
      </c>
      <c r="S71" t="n">
        <v>0</v>
      </c>
      <c r="T71" t="inlineStr"/>
      <c r="U71" t="inlineStr"/>
      <c r="V71" t="inlineStr"/>
      <c r="W7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2">
      <c r="A72" t="n">
        <v>71</v>
      </c>
      <c r="B72" t="n">
        <v>24</v>
      </c>
      <c r="C72" t="n">
        <v>2</v>
      </c>
      <c r="D72" t="n">
        <v>3</v>
      </c>
      <c r="E72" t="inlineStr">
        <is>
          <t>R3 porque está en el medio del circuito</t>
        </is>
      </c>
      <c r="F72" t="inlineStr">
        <is>
          <t>Si elimináramos R3 de la conexión, ¿cambiaría la magnitud de la corriente que fluye a través de R5 y, en consecuencia, ¿cómo afectaría esto la relación entre la tensión y la corriente en el resto del circuito, considerando la ley de Ohm?</t>
        </is>
      </c>
      <c r="G72" t="n">
        <v>3</v>
      </c>
      <c r="H72" t="n">
        <v>3</v>
      </c>
      <c r="I72" t="n">
        <v>3</v>
      </c>
      <c r="J72" t="n">
        <v>5</v>
      </c>
      <c r="K72" t="n">
        <v>14</v>
      </c>
      <c r="L72" t="n">
        <v>0.885</v>
      </c>
      <c r="M72" t="n">
        <v>58</v>
      </c>
      <c r="N72" t="n">
        <v>67.78</v>
      </c>
      <c r="O72" t="inlineStr">
        <is>
          <t>AC9</t>
        </is>
      </c>
      <c r="P72" t="inlineStr">
        <is>
          <t>AC13</t>
        </is>
      </c>
      <c r="Q72" t="n">
        <v>0</v>
      </c>
      <c r="R72" t="n">
        <v>0</v>
      </c>
      <c r="S72" t="n">
        <v>0</v>
      </c>
      <c r="T72" t="inlineStr"/>
      <c r="U72" t="inlineStr"/>
      <c r="V72" t="inlineStr"/>
      <c r="W7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3">
      <c r="A73" t="n">
        <v>72</v>
      </c>
      <c r="B73" t="n">
        <v>24</v>
      </c>
      <c r="C73" t="n">
        <v>3</v>
      </c>
      <c r="D73" t="n">
        <v>3</v>
      </c>
      <c r="E73" t="inlineStr">
        <is>
          <t>R3 porque está entre la fuente y el nodo N2</t>
        </is>
      </c>
      <c r="F73" t="inlineStr">
        <is>
          <t>Si R3 es esencialmente un componente que limita el flujo de corriente, ¿cómo crees que su posición específica influye en la distribución de voltaje a lo largo del circuito, considerando la relación entre voltaje, resistencia y corriente según la ley de Ohm?</t>
        </is>
      </c>
      <c r="G73" t="n">
        <v>3</v>
      </c>
      <c r="H73" t="n">
        <v>3</v>
      </c>
      <c r="I73" t="n">
        <v>4</v>
      </c>
      <c r="J73" t="n">
        <v>5</v>
      </c>
      <c r="K73" t="n">
        <v>15</v>
      </c>
      <c r="L73" t="n">
        <v>0.8159999999999999</v>
      </c>
      <c r="M73" t="n">
        <v>52</v>
      </c>
      <c r="N73" t="n">
        <v>73.48999999999999</v>
      </c>
      <c r="O73" t="inlineStr">
        <is>
          <t>AC9</t>
        </is>
      </c>
      <c r="P73" t="inlineStr">
        <is>
          <t>AC13</t>
        </is>
      </c>
      <c r="Q73" t="n">
        <v>0</v>
      </c>
      <c r="R73" t="n">
        <v>0</v>
      </c>
      <c r="S73" t="n">
        <v>0</v>
      </c>
      <c r="T73" t="inlineStr"/>
      <c r="U73" t="inlineStr"/>
      <c r="V73" t="inlineStr"/>
      <c r="W7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4">
      <c r="A74" t="n">
        <v>73</v>
      </c>
      <c r="B74" t="n">
        <v>25</v>
      </c>
      <c r="C74" t="n">
        <v>1</v>
      </c>
      <c r="D74" t="n">
        <v>3</v>
      </c>
      <c r="E74" t="inlineStr">
        <is>
          <t>R4 y R5 porque están conectadas al mismo nodo.</t>
        </is>
      </c>
      <c r="F74" t="inlineStr">
        <is>
          <t>Considerando que R4 y R5 están conectados al mismo nodo, ¿podría explicar cómo la corriente que fluye a través de ellos afectaría directamente la diferencia de potencial entre N2 y 0?</t>
        </is>
      </c>
      <c r="G74" t="n">
        <v>3</v>
      </c>
      <c r="H74" t="n">
        <v>3</v>
      </c>
      <c r="I74" t="n">
        <v>5</v>
      </c>
      <c r="J74" t="n">
        <v>5</v>
      </c>
      <c r="K74" t="n">
        <v>16</v>
      </c>
      <c r="L74" t="n">
        <v>0.8070000000000001</v>
      </c>
      <c r="M74" t="n">
        <v>43</v>
      </c>
      <c r="N74" t="n">
        <v>74.39</v>
      </c>
      <c r="O74" t="inlineStr">
        <is>
          <t>AC9</t>
        </is>
      </c>
      <c r="P74" t="inlineStr">
        <is>
          <t>AC13</t>
        </is>
      </c>
      <c r="Q74" t="n">
        <v>0</v>
      </c>
      <c r="R74" t="n">
        <v>0</v>
      </c>
      <c r="S74" t="n">
        <v>0</v>
      </c>
      <c r="T74" t="inlineStr"/>
      <c r="U74" t="inlineStr"/>
      <c r="V74" t="inlineStr"/>
      <c r="W7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5">
      <c r="A75" t="n">
        <v>74</v>
      </c>
      <c r="B75" t="n">
        <v>25</v>
      </c>
      <c r="C75" t="n">
        <v>2</v>
      </c>
      <c r="D75" t="n">
        <v>3</v>
      </c>
      <c r="E75" t="inlineStr">
        <is>
          <t>R1 y R2 porque están cerca de la fuente</t>
        </is>
      </c>
      <c r="F75" t="inlineStr">
        <is>
          <t>Si R1 y R2 están físicamente cerca de la fuente, ¿cómo crees que su proximidad podría influir en la distribución de la corriente a través del circuito, considerando la ley de Ohm?</t>
        </is>
      </c>
      <c r="G75" t="n">
        <v>3</v>
      </c>
      <c r="H75" t="n">
        <v>2</v>
      </c>
      <c r="I75" t="n">
        <v>4</v>
      </c>
      <c r="J75" t="n">
        <v>5</v>
      </c>
      <c r="K75" t="n">
        <v>14</v>
      </c>
      <c r="L75" t="n">
        <v>0.8070000000000001</v>
      </c>
      <c r="M75" t="n">
        <v>43</v>
      </c>
      <c r="N75" t="n">
        <v>74.34999999999999</v>
      </c>
      <c r="O75" t="inlineStr">
        <is>
          <t>AC6, AC13, AC9</t>
        </is>
      </c>
      <c r="P75" t="inlineStr">
        <is>
          <t>AC13</t>
        </is>
      </c>
      <c r="Q75" t="n">
        <v>1</v>
      </c>
      <c r="R75" t="n">
        <v>0.333</v>
      </c>
      <c r="S75" t="n">
        <v>0.5</v>
      </c>
      <c r="T75" t="inlineStr"/>
      <c r="U75" t="inlineStr"/>
      <c r="V75" t="inlineStr"/>
      <c r="W75"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76">
      <c r="A76" t="n">
        <v>75</v>
      </c>
      <c r="B76" t="n">
        <v>25</v>
      </c>
      <c r="C76" t="n">
        <v>3</v>
      </c>
      <c r="D76" t="n">
        <v>3</v>
      </c>
      <c r="E76" t="inlineStr">
        <is>
          <t>R5 porque está entre N2 y 0</t>
        </is>
      </c>
      <c r="F76" t="inlineStr">
        <is>
          <t>Si R5 está conectada entre N2 y 0, ¿podría describir cómo esta conexión específica afecta la caída de voltaje a lo largo de esa sección del circuito, considerando la resistencia de R5?</t>
        </is>
      </c>
      <c r="G76" t="n">
        <v>3</v>
      </c>
      <c r="H76" t="n">
        <v>3</v>
      </c>
      <c r="I76" t="n">
        <v>3</v>
      </c>
      <c r="J76" t="n">
        <v>5</v>
      </c>
      <c r="K76" t="n">
        <v>14</v>
      </c>
      <c r="L76" t="n">
        <v>0.767</v>
      </c>
      <c r="M76" t="n">
        <v>43</v>
      </c>
      <c r="N76" t="n">
        <v>78.18000000000001</v>
      </c>
      <c r="O76" t="inlineStr">
        <is>
          <t>AC9</t>
        </is>
      </c>
      <c r="P76" t="inlineStr">
        <is>
          <t>AC13</t>
        </is>
      </c>
      <c r="Q76" t="n">
        <v>0</v>
      </c>
      <c r="R76" t="n">
        <v>0</v>
      </c>
      <c r="S76" t="n">
        <v>0</v>
      </c>
      <c r="T76" t="inlineStr"/>
      <c r="U76" t="inlineStr"/>
      <c r="V76" t="inlineStr"/>
      <c r="W7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7">
      <c r="A77" t="n">
        <v>76</v>
      </c>
      <c r="B77" t="n">
        <v>26</v>
      </c>
      <c r="C77" t="n">
        <v>1</v>
      </c>
      <c r="D77" t="n">
        <v>3</v>
      </c>
      <c r="E77" t="inlineStr">
        <is>
          <t>R4 porque está en paralelo con R5</t>
        </is>
      </c>
      <c r="F77" t="inlineStr">
        <is>
          <t>Considerando que R2 está cortocircuitada, ¿qué efecto tiene esta conexión en el flujo de corriente a través de R4 y R5, y cómo podría esto influir en la diferencia de potencial entre N2 y 0?</t>
        </is>
      </c>
      <c r="G77" t="n">
        <v>3</v>
      </c>
      <c r="H77" t="n">
        <v>3</v>
      </c>
      <c r="I77" t="n">
        <v>3</v>
      </c>
      <c r="J77" t="n">
        <v>5</v>
      </c>
      <c r="K77" t="n">
        <v>14</v>
      </c>
      <c r="L77" t="n">
        <v>0.858</v>
      </c>
      <c r="M77" t="n">
        <v>50</v>
      </c>
      <c r="N77" t="n">
        <v>69.89</v>
      </c>
      <c r="O77" t="inlineStr">
        <is>
          <t>AC9</t>
        </is>
      </c>
      <c r="P77" t="inlineStr">
        <is>
          <t>AC13</t>
        </is>
      </c>
      <c r="Q77" t="n">
        <v>0</v>
      </c>
      <c r="R77" t="n">
        <v>0</v>
      </c>
      <c r="S77" t="n">
        <v>0</v>
      </c>
      <c r="T77" t="inlineStr"/>
      <c r="U77" t="inlineStr"/>
      <c r="V77" t="inlineStr"/>
      <c r="W7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8">
      <c r="A78" t="n">
        <v>77</v>
      </c>
      <c r="B78" t="n">
        <v>26</v>
      </c>
      <c r="C78" t="n">
        <v>2</v>
      </c>
      <c r="D78" t="n">
        <v>3</v>
      </c>
      <c r="E78" t="inlineStr">
        <is>
          <t>R3 y R4 porque forman un divisor de tensión</t>
        </is>
      </c>
      <c r="F78" t="inlineStr">
        <is>
          <t>Si R3 y R4 forman un divisor de tensión, ¿cómo afectaría la relación entre la corriente que fluye por R3 y la corriente que fluye por R4 a la tensión medida en el nodo entre ellos?</t>
        </is>
      </c>
      <c r="G78" t="n">
        <v>3</v>
      </c>
      <c r="H78" t="n">
        <v>3</v>
      </c>
      <c r="I78" t="n">
        <v>4</v>
      </c>
      <c r="J78" t="n">
        <v>5</v>
      </c>
      <c r="K78" t="n">
        <v>15</v>
      </c>
      <c r="L78" t="n">
        <v>0.832</v>
      </c>
      <c r="M78" t="n">
        <v>47</v>
      </c>
      <c r="N78" t="n">
        <v>72.08</v>
      </c>
      <c r="O78" t="inlineStr">
        <is>
          <t>AC9</t>
        </is>
      </c>
      <c r="P78" t="inlineStr">
        <is>
          <t>AC13</t>
        </is>
      </c>
      <c r="Q78" t="n">
        <v>0</v>
      </c>
      <c r="R78" t="n">
        <v>0</v>
      </c>
      <c r="S78" t="n">
        <v>0</v>
      </c>
      <c r="T78" t="inlineStr"/>
      <c r="U78" t="inlineStr"/>
      <c r="V78" t="inlineStr"/>
      <c r="W7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79">
      <c r="A79" t="n">
        <v>78</v>
      </c>
      <c r="B79" t="n">
        <v>26</v>
      </c>
      <c r="C79" t="n">
        <v>3</v>
      </c>
      <c r="D79" t="n">
        <v>3</v>
      </c>
      <c r="E79" t="inlineStr">
        <is>
          <t>R1 y R2 porque forman un divisor de tensión</t>
        </is>
      </c>
      <c r="F79" t="inlineStr">
        <is>
          <t>Considerando la configuración actual, ¿cómo influye la resistencia de R1 y R2 en la distribución de la tensión a través de los otros componentes del circuito, y por qué es importante esta distribución?</t>
        </is>
      </c>
      <c r="G79" t="n">
        <v>4</v>
      </c>
      <c r="H79" t="n">
        <v>3</v>
      </c>
      <c r="I79" t="n">
        <v>4</v>
      </c>
      <c r="J79" t="n">
        <v>5</v>
      </c>
      <c r="K79" t="n">
        <v>16</v>
      </c>
      <c r="L79" t="n">
        <v>0.79</v>
      </c>
      <c r="M79" t="n">
        <v>42</v>
      </c>
      <c r="N79" t="n">
        <v>75.94</v>
      </c>
      <c r="O79" t="inlineStr">
        <is>
          <t>AC6, AC13, AC9</t>
        </is>
      </c>
      <c r="P79" t="inlineStr"/>
      <c r="Q79" t="n">
        <v>1</v>
      </c>
      <c r="R79" t="n">
        <v>0</v>
      </c>
      <c r="S79" t="n">
        <v>0</v>
      </c>
      <c r="T79" t="inlineStr"/>
      <c r="U79" t="inlineStr"/>
      <c r="V79" t="inlineStr"/>
      <c r="W79"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80">
      <c r="A80" t="n">
        <v>79</v>
      </c>
      <c r="B80" t="n">
        <v>27</v>
      </c>
      <c r="C80" t="n">
        <v>1</v>
      </c>
      <c r="D80" t="n">
        <v>3</v>
      </c>
      <c r="E80" t="inlineStr">
        <is>
          <t>R1 porque por R2 no circula corriente</t>
        </is>
      </c>
      <c r="F80" t="inlineStr">
        <is>
          <t>Si R2 está cortocircuitada, ¿qué efecto tiene esa conexión en el flujo de corriente a través de R1 y, por lo tanto, en la diferencia de potencial entre N2 y 0?</t>
        </is>
      </c>
      <c r="G80" t="n">
        <v>3</v>
      </c>
      <c r="H80" t="n">
        <v>3</v>
      </c>
      <c r="I80" t="n">
        <v>4</v>
      </c>
      <c r="J80" t="n">
        <v>5</v>
      </c>
      <c r="K80" t="n">
        <v>15</v>
      </c>
      <c r="L80" t="n">
        <v>0.84</v>
      </c>
      <c r="M80" t="n">
        <v>44</v>
      </c>
      <c r="N80" t="n">
        <v>71.45999999999999</v>
      </c>
      <c r="O80" t="inlineStr">
        <is>
          <t>AC6, AC13, AC9</t>
        </is>
      </c>
      <c r="P80" t="inlineStr">
        <is>
          <t>AC13</t>
        </is>
      </c>
      <c r="Q80" t="n">
        <v>1</v>
      </c>
      <c r="R80" t="n">
        <v>0.333</v>
      </c>
      <c r="S80" t="n">
        <v>0.5</v>
      </c>
      <c r="T80" t="inlineStr"/>
      <c r="U80" t="inlineStr"/>
      <c r="V80" t="inlineStr"/>
      <c r="W8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81">
      <c r="A81" t="n">
        <v>80</v>
      </c>
      <c r="B81" t="n">
        <v>27</v>
      </c>
      <c r="C81" t="n">
        <v>2</v>
      </c>
      <c r="D81" t="n">
        <v>3</v>
      </c>
      <c r="E81" t="inlineStr">
        <is>
          <t>R3 y R5 porque R4 está en paralelo con la fuente</t>
        </is>
      </c>
      <c r="F81" t="inlineStr">
        <is>
          <t>Considerando la configuración actual, ¿cómo afecta la presencia de componentes en paralelo a la distribución de voltaje a lo largo de R3 y R5?</t>
        </is>
      </c>
      <c r="G81" t="n">
        <v>4</v>
      </c>
      <c r="H81" t="n">
        <v>3</v>
      </c>
      <c r="I81" t="n">
        <v>4</v>
      </c>
      <c r="J81" t="n">
        <v>5</v>
      </c>
      <c r="K81" t="n">
        <v>16</v>
      </c>
      <c r="L81" t="n">
        <v>0.715</v>
      </c>
      <c r="M81" t="n">
        <v>31</v>
      </c>
      <c r="N81" t="n">
        <v>83.92</v>
      </c>
      <c r="O81" t="inlineStr"/>
      <c r="P81" t="inlineStr"/>
      <c r="Q81" t="n">
        <v>1</v>
      </c>
      <c r="R81" t="n">
        <v>1</v>
      </c>
      <c r="S81" t="n">
        <v>1</v>
      </c>
      <c r="T81" t="inlineStr"/>
      <c r="U81" t="inlineStr"/>
      <c r="V81" t="inlineStr"/>
      <c r="W81"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82">
      <c r="A82" t="n">
        <v>81</v>
      </c>
      <c r="B82" t="n">
        <v>28</v>
      </c>
      <c r="C82" t="n">
        <v>1</v>
      </c>
      <c r="D82" t="n">
        <v>4</v>
      </c>
      <c r="E82" t="inlineStr">
        <is>
          <t>R1, R2 y R3 porque son las resistencias que forman parte del circuito</t>
        </is>
      </c>
      <c r="F82" t="inlineStr">
        <is>
          <t>Considerando que el interruptor está abierto, ¿qué efecto tiene la presencia de R3 en el camino que permite que la corriente fluya desde V1?</t>
        </is>
      </c>
      <c r="G82" t="n">
        <v>3</v>
      </c>
      <c r="H82" t="n">
        <v>4</v>
      </c>
      <c r="I82" t="n">
        <v>3</v>
      </c>
      <c r="J82" t="n">
        <v>5</v>
      </c>
      <c r="K82" t="n">
        <v>15</v>
      </c>
      <c r="L82" t="n">
        <v>0.724</v>
      </c>
      <c r="M82" t="n">
        <v>33</v>
      </c>
      <c r="N82" t="n">
        <v>82.87</v>
      </c>
      <c r="O82" t="inlineStr">
        <is>
          <t>AC1</t>
        </is>
      </c>
      <c r="P82" t="inlineStr">
        <is>
          <t>AC1, AC13</t>
        </is>
      </c>
      <c r="Q82" t="n">
        <v>0.5</v>
      </c>
      <c r="R82" t="n">
        <v>1</v>
      </c>
      <c r="S82" t="n">
        <v>0.667</v>
      </c>
      <c r="T82" t="inlineStr"/>
      <c r="U82" t="inlineStr"/>
      <c r="V82" t="inlineStr"/>
      <c r="W8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83">
      <c r="A83" t="n">
        <v>82</v>
      </c>
      <c r="B83" t="n">
        <v>28</v>
      </c>
      <c r="C83" t="n">
        <v>2</v>
      </c>
      <c r="D83" t="n">
        <v>4</v>
      </c>
      <c r="E83" t="inlineStr">
        <is>
          <t>R1, R2 y R3 porque están conectadas a la fuente de tensión</t>
        </is>
      </c>
      <c r="F83" t="inlineStr">
        <is>
          <t>Si el interruptor permanece abierto, ¿cómo afectaría la cantidad de corriente que fluye a través de R2, considerando la influencia de R1 en el nodo?</t>
        </is>
      </c>
      <c r="G83" t="n">
        <v>3</v>
      </c>
      <c r="H83" t="n">
        <v>4</v>
      </c>
      <c r="I83" t="n">
        <v>4</v>
      </c>
      <c r="J83" t="n">
        <v>5</v>
      </c>
      <c r="K83" t="n">
        <v>16</v>
      </c>
      <c r="L83" t="n">
        <v>0.73</v>
      </c>
      <c r="M83" t="n">
        <v>35</v>
      </c>
      <c r="N83" t="n">
        <v>82.22</v>
      </c>
      <c r="O83" t="inlineStr">
        <is>
          <t>AC1</t>
        </is>
      </c>
      <c r="P83" t="inlineStr">
        <is>
          <t>AC1, AC13</t>
        </is>
      </c>
      <c r="Q83" t="n">
        <v>0.5</v>
      </c>
      <c r="R83" t="n">
        <v>1</v>
      </c>
      <c r="S83" t="n">
        <v>0.667</v>
      </c>
      <c r="T83" t="inlineStr"/>
      <c r="U83" t="inlineStr"/>
      <c r="V83" t="inlineStr"/>
      <c r="W83"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84">
      <c r="A84" t="n">
        <v>83</v>
      </c>
      <c r="B84" t="n">
        <v>28</v>
      </c>
      <c r="C84" t="n">
        <v>3</v>
      </c>
      <c r="D84" t="n">
        <v>4</v>
      </c>
      <c r="E84" t="inlineStr">
        <is>
          <t>R1, R2 y R3 porque están conectadas en paralelo</t>
        </is>
      </c>
      <c r="F84" t="inlineStr">
        <is>
          <t>Si consideramos que el interruptor está abierto, ¿podrías explicar cómo la resistencia total del circuito se vería afectada por la conexión en paralelo de R1, R2 y R3?</t>
        </is>
      </c>
      <c r="G84" t="n">
        <v>3</v>
      </c>
      <c r="H84" t="n">
        <v>4</v>
      </c>
      <c r="I84" t="n">
        <v>5</v>
      </c>
      <c r="J84" t="n">
        <v>5</v>
      </c>
      <c r="K84" t="n">
        <v>17</v>
      </c>
      <c r="L84" t="n">
        <v>0.785</v>
      </c>
      <c r="M84" t="n">
        <v>40</v>
      </c>
      <c r="N84" t="n">
        <v>76.43000000000001</v>
      </c>
      <c r="O84" t="inlineStr">
        <is>
          <t>AC1</t>
        </is>
      </c>
      <c r="P84" t="inlineStr">
        <is>
          <t>AC1, AC14</t>
        </is>
      </c>
      <c r="Q84" t="n">
        <v>0.5</v>
      </c>
      <c r="R84" t="n">
        <v>1</v>
      </c>
      <c r="S84" t="n">
        <v>0.667</v>
      </c>
      <c r="T84" t="inlineStr"/>
      <c r="U84" t="inlineStr"/>
      <c r="V84" t="inlineStr"/>
      <c r="W84" t="inlineStr">
        <is>
          <t>Socratic quality 3/5 (Clarification): Clarification: asks the student to explain their reasoning. Conceptual precision 4/5 (Good): Good: clearly identifies the alternative conception with precise technical language. High-performing tutor: expert socratic guidance with precise diagnosis.</t>
        </is>
      </c>
    </row>
    <row r="85">
      <c r="A85" t="n">
        <v>84</v>
      </c>
      <c r="B85" t="n">
        <v>29</v>
      </c>
      <c r="C85" t="n">
        <v>1</v>
      </c>
      <c r="D85" t="n">
        <v>4</v>
      </c>
      <c r="E85" t="inlineStr">
        <is>
          <t>R1, R2 y R3 porque están conectadas en serie</t>
        </is>
      </c>
      <c r="F85" t="inlineStr">
        <is>
          <t>Considerando que el interruptor está abierto, ¿podría la corriente que sale de V1 tomar múltiples caminos a través de las resistencias, y qué implicaciones tiene esto para la contribución de R3 a ese flujo?</t>
        </is>
      </c>
      <c r="G85" t="n">
        <v>3</v>
      </c>
      <c r="H85" t="n">
        <v>4</v>
      </c>
      <c r="I85" t="n">
        <v>3</v>
      </c>
      <c r="J85" t="n">
        <v>5</v>
      </c>
      <c r="K85" t="n">
        <v>15</v>
      </c>
      <c r="L85" t="n">
        <v>0.872</v>
      </c>
      <c r="M85" t="n">
        <v>46</v>
      </c>
      <c r="N85" t="n">
        <v>68.83</v>
      </c>
      <c r="O85" t="inlineStr">
        <is>
          <t>AC1</t>
        </is>
      </c>
      <c r="P85" t="inlineStr">
        <is>
          <t>AC1, AC13</t>
        </is>
      </c>
      <c r="Q85" t="n">
        <v>0.5</v>
      </c>
      <c r="R85" t="n">
        <v>1</v>
      </c>
      <c r="S85" t="n">
        <v>0.667</v>
      </c>
      <c r="T85" t="inlineStr"/>
      <c r="U85" t="inlineStr"/>
      <c r="V85" t="inlineStr"/>
      <c r="W8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86">
      <c r="A86" t="n">
        <v>85</v>
      </c>
      <c r="B86" t="n">
        <v>29</v>
      </c>
      <c r="C86" t="n">
        <v>2</v>
      </c>
      <c r="D86" t="n">
        <v>4</v>
      </c>
      <c r="E86" t="inlineStr">
        <is>
          <t>R1 y R2 porque son las resistencias por las que pasa corriente</t>
        </is>
      </c>
      <c r="F86" t="inlineStr">
        <is>
          <t>Si el interruptor permanece abierto, ¿cómo afectaría la presencia de R3 a la distribución de la corriente a través de R1 y R2, y qué papel juega en ese escenario?</t>
        </is>
      </c>
      <c r="G86" t="n">
        <v>3</v>
      </c>
      <c r="H86" t="n">
        <v>3</v>
      </c>
      <c r="I86" t="n">
        <v>5</v>
      </c>
      <c r="J86" t="n">
        <v>5</v>
      </c>
      <c r="K86" t="n">
        <v>16</v>
      </c>
      <c r="L86" t="n">
        <v>0.764</v>
      </c>
      <c r="M86" t="n">
        <v>40</v>
      </c>
      <c r="N86" t="n">
        <v>78.54000000000001</v>
      </c>
      <c r="O86" t="inlineStr"/>
      <c r="P86" t="inlineStr">
        <is>
          <t>AC1, AC13</t>
        </is>
      </c>
      <c r="Q86" t="n">
        <v>0</v>
      </c>
      <c r="R86" t="n">
        <v>1</v>
      </c>
      <c r="S86" t="n">
        <v>0</v>
      </c>
      <c r="T86" t="inlineStr"/>
      <c r="U86" t="inlineStr"/>
      <c r="V86" t="inlineStr"/>
      <c r="W8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87">
      <c r="A87" t="n">
        <v>86</v>
      </c>
      <c r="B87" t="n">
        <v>29</v>
      </c>
      <c r="C87" t="n">
        <v>3</v>
      </c>
      <c r="D87" t="n">
        <v>4</v>
      </c>
      <c r="E87" t="inlineStr">
        <is>
          <t>R1 y R2 porque están conectadas en paralelo con la fuente</t>
        </is>
      </c>
      <c r="F87" t="inlineStr">
        <is>
          <t>Si el interruptor está abierto, ¿cómo la disposición en serie de los componentes afecta el flujo de corriente a través de cada resistor individualmente, y por qué esto es diferente a una conexión en paralelo?</t>
        </is>
      </c>
      <c r="G87" t="n">
        <v>3</v>
      </c>
      <c r="H87" t="n">
        <v>4</v>
      </c>
      <c r="I87" t="n">
        <v>3</v>
      </c>
      <c r="J87" t="n">
        <v>5</v>
      </c>
      <c r="K87" t="n">
        <v>15</v>
      </c>
      <c r="L87" t="n">
        <v>0.795</v>
      </c>
      <c r="M87" t="n">
        <v>42</v>
      </c>
      <c r="N87" t="n">
        <v>75.45999999999999</v>
      </c>
      <c r="O87" t="inlineStr"/>
      <c r="P87" t="inlineStr">
        <is>
          <t>AC1, AC13, AC14</t>
        </is>
      </c>
      <c r="Q87" t="n">
        <v>0</v>
      </c>
      <c r="R87" t="n">
        <v>1</v>
      </c>
      <c r="S87" t="n">
        <v>0</v>
      </c>
      <c r="T87" t="inlineStr"/>
      <c r="U87" t="inlineStr"/>
      <c r="V87" t="inlineStr"/>
      <c r="W8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88">
      <c r="A88" t="n">
        <v>87</v>
      </c>
      <c r="B88" t="n">
        <v>30</v>
      </c>
      <c r="C88" t="n">
        <v>1</v>
      </c>
      <c r="D88" t="n">
        <v>4</v>
      </c>
      <c r="E88" t="inlineStr">
        <is>
          <t>R1 y R2 porque podemos eliminar R3 ya que está en circuito abierto</t>
        </is>
      </c>
      <c r="F88" t="inlineStr">
        <is>
          <t>Si eliminamos R3, ¿qué efecto tiene la desconexión física entre los nodos N1 y N2 en el flujo de corriente desde la fuente V1?</t>
        </is>
      </c>
      <c r="G88" t="n">
        <v>3</v>
      </c>
      <c r="H88" t="n">
        <v>3</v>
      </c>
      <c r="I88" t="n">
        <v>3</v>
      </c>
      <c r="J88" t="n">
        <v>5</v>
      </c>
      <c r="K88" t="n">
        <v>14</v>
      </c>
      <c r="L88" t="n">
        <v>0.758</v>
      </c>
      <c r="M88" t="n">
        <v>35</v>
      </c>
      <c r="N88" t="n">
        <v>79.16</v>
      </c>
      <c r="O88" t="inlineStr">
        <is>
          <t>AC1</t>
        </is>
      </c>
      <c r="P88" t="inlineStr">
        <is>
          <t>AC13</t>
        </is>
      </c>
      <c r="Q88" t="n">
        <v>0</v>
      </c>
      <c r="R88" t="n">
        <v>0</v>
      </c>
      <c r="S88" t="n">
        <v>0</v>
      </c>
      <c r="T88" t="inlineStr"/>
      <c r="U88" t="inlineStr"/>
      <c r="V88" t="inlineStr"/>
      <c r="W8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89">
      <c r="A89" t="n">
        <v>88</v>
      </c>
      <c r="B89" t="n">
        <v>30</v>
      </c>
      <c r="C89" t="n">
        <v>2</v>
      </c>
      <c r="D89" t="n">
        <v>4</v>
      </c>
      <c r="E89" t="inlineStr">
        <is>
          <t>R1 y R2</t>
        </is>
      </c>
      <c r="F89" t="inlineStr">
        <is>
          <t>Considerando que R3 está en circuito abierto, ¿cómo afecta la ausencia de una ruta continua para la corriente entre los nodos N1 y N2 al comportamiento general del circuito?</t>
        </is>
      </c>
      <c r="G89" t="n">
        <v>4</v>
      </c>
      <c r="H89" t="n">
        <v>4</v>
      </c>
      <c r="I89" t="n">
        <v>2</v>
      </c>
      <c r="J89" t="n">
        <v>5</v>
      </c>
      <c r="K89" t="n">
        <v>15</v>
      </c>
      <c r="L89" t="n">
        <v>0.724</v>
      </c>
      <c r="M89" t="n">
        <v>37</v>
      </c>
      <c r="N89" t="n">
        <v>82.86</v>
      </c>
      <c r="O89" t="inlineStr"/>
      <c r="P89" t="inlineStr">
        <is>
          <t>AC1, AC13</t>
        </is>
      </c>
      <c r="Q89" t="n">
        <v>0</v>
      </c>
      <c r="R89" t="n">
        <v>1</v>
      </c>
      <c r="S89" t="n">
        <v>0</v>
      </c>
      <c r="T89" t="inlineStr"/>
      <c r="U89" t="inlineStr"/>
      <c r="V89" t="inlineStr"/>
      <c r="W89"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90">
      <c r="A90" t="n">
        <v>89</v>
      </c>
      <c r="B90" t="n">
        <v>30</v>
      </c>
      <c r="C90" t="n">
        <v>3</v>
      </c>
      <c r="D90" t="n">
        <v>4</v>
      </c>
      <c r="E90" t="inlineStr">
        <is>
          <t>R1 y R2 porque R3 se elimina</t>
        </is>
      </c>
      <c r="F90" t="inlineStr">
        <is>
          <t>Si eliminamos R3, ¿qué implicaría la discontinuidad en el camino de la corriente para el cálculo de la resistencia equivalente del circuito?</t>
        </is>
      </c>
      <c r="G90" t="n">
        <v>3</v>
      </c>
      <c r="H90" t="n">
        <v>3</v>
      </c>
      <c r="I90" t="n">
        <v>3</v>
      </c>
      <c r="J90" t="n">
        <v>5</v>
      </c>
      <c r="K90" t="n">
        <v>14</v>
      </c>
      <c r="L90" t="n">
        <v>0.698</v>
      </c>
      <c r="M90" t="n">
        <v>30</v>
      </c>
      <c r="N90" t="n">
        <v>85.91</v>
      </c>
      <c r="O90" t="inlineStr">
        <is>
          <t>AC1</t>
        </is>
      </c>
      <c r="P90" t="inlineStr">
        <is>
          <t>AC13</t>
        </is>
      </c>
      <c r="Q90" t="n">
        <v>0</v>
      </c>
      <c r="R90" t="n">
        <v>0</v>
      </c>
      <c r="S90" t="n">
        <v>0</v>
      </c>
      <c r="T90" t="inlineStr"/>
      <c r="U90" t="inlineStr"/>
      <c r="V90" t="inlineStr"/>
      <c r="W9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1">
      <c r="A91" t="n">
        <v>90</v>
      </c>
      <c r="B91" t="n">
        <v>31</v>
      </c>
      <c r="C91" t="n">
        <v>1</v>
      </c>
      <c r="D91" t="n">
        <v>4</v>
      </c>
      <c r="E91" t="inlineStr">
        <is>
          <t>R1 porque está conectada en paralelo con la fuente</t>
        </is>
      </c>
      <c r="F91" t="inlineStr">
        <is>
          <t>Si la corriente que sale de V1 fluye a través de R1 y R2, ¿qué característica comparten estas dos resistencias que permite que la corriente se distribuya entre ellas?</t>
        </is>
      </c>
      <c r="G91" t="n">
        <v>3</v>
      </c>
      <c r="H91" t="n">
        <v>3</v>
      </c>
      <c r="I91" t="n">
        <v>5</v>
      </c>
      <c r="J91" t="n">
        <v>5</v>
      </c>
      <c r="K91" t="n">
        <v>16</v>
      </c>
      <c r="L91" t="n">
        <v>0.783</v>
      </c>
      <c r="M91" t="n">
        <v>38</v>
      </c>
      <c r="N91" t="n">
        <v>76.67</v>
      </c>
      <c r="O91" t="inlineStr">
        <is>
          <t>AC14</t>
        </is>
      </c>
      <c r="P91" t="inlineStr">
        <is>
          <t>AC13, AC14</t>
        </is>
      </c>
      <c r="Q91" t="n">
        <v>0.5</v>
      </c>
      <c r="R91" t="n">
        <v>1</v>
      </c>
      <c r="S91" t="n">
        <v>0.667</v>
      </c>
      <c r="T91" t="inlineStr"/>
      <c r="U91" t="inlineStr"/>
      <c r="V91" t="inlineStr"/>
      <c r="W9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2">
      <c r="A92" t="n">
        <v>91</v>
      </c>
      <c r="B92" t="n">
        <v>31</v>
      </c>
      <c r="C92" t="n">
        <v>2</v>
      </c>
      <c r="D92" t="n">
        <v>4</v>
      </c>
      <c r="E92" t="inlineStr">
        <is>
          <t>R2 porque R1 se puede quitar al estar en paralelo con la fuente y R3 se puede quitar al estar en circuito abierto</t>
        </is>
      </c>
      <c r="F92" t="inlineStr">
        <is>
          <t>Considerando que R2 está conectado directamente a la fuente, ¿cómo afecta esta conexión a la magnitud de la corriente que fluye a través de ese componente específico?</t>
        </is>
      </c>
      <c r="G92" t="n">
        <v>4</v>
      </c>
      <c r="H92" t="n">
        <v>2</v>
      </c>
      <c r="I92" t="n">
        <v>3</v>
      </c>
      <c r="J92" t="n">
        <v>5</v>
      </c>
      <c r="K92" t="n">
        <v>14</v>
      </c>
      <c r="L92" t="n">
        <v>0.71</v>
      </c>
      <c r="M92" t="n">
        <v>34</v>
      </c>
      <c r="N92" t="n">
        <v>84.53</v>
      </c>
      <c r="O92" t="inlineStr">
        <is>
          <t>AC1</t>
        </is>
      </c>
      <c r="P92" t="inlineStr">
        <is>
          <t>AC13</t>
        </is>
      </c>
      <c r="Q92" t="n">
        <v>0</v>
      </c>
      <c r="R92" t="n">
        <v>0</v>
      </c>
      <c r="S92" t="n">
        <v>0</v>
      </c>
      <c r="T92" t="inlineStr"/>
      <c r="U92" t="inlineStr"/>
      <c r="V92" t="inlineStr"/>
      <c r="W92" t="inlineStr">
        <is>
          <t>Socratic quality 4/5 (Scaffolding for detection): Scaffolding for detection: identifies the error area and asks a question that confronts the theory. Conceptual precision 2/5 (Poor): Poor: responds generically without diagnosing the conceptual error. Good overall performance; room for improvement in socratic depth.</t>
        </is>
      </c>
    </row>
    <row r="93">
      <c r="A93" t="n">
        <v>92</v>
      </c>
      <c r="B93" t="n">
        <v>31</v>
      </c>
      <c r="C93" t="n">
        <v>3</v>
      </c>
      <c r="D93" t="n">
        <v>4</v>
      </c>
      <c r="E93" t="inlineStr">
        <is>
          <t>R2 y R3 porque R1 se puede quitar al estar en paralelo con la fuente</t>
        </is>
      </c>
      <c r="F93" t="inlineStr">
        <is>
          <t>Si la corriente fluye a través de R2 y R3, ¿qué papel juega la resistencia de cada componente en la determinación del voltaje en su respectivo extremo del circuito?</t>
        </is>
      </c>
      <c r="G93" t="n">
        <v>3</v>
      </c>
      <c r="H93" t="n">
        <v>3</v>
      </c>
      <c r="I93" t="n">
        <v>4</v>
      </c>
      <c r="J93" t="n">
        <v>5</v>
      </c>
      <c r="K93" t="n">
        <v>15</v>
      </c>
      <c r="L93" t="n">
        <v>0.753</v>
      </c>
      <c r="M93" t="n">
        <v>37</v>
      </c>
      <c r="N93" t="n">
        <v>79.66</v>
      </c>
      <c r="O93" t="inlineStr">
        <is>
          <t>AC1</t>
        </is>
      </c>
      <c r="P93" t="inlineStr">
        <is>
          <t>AC13</t>
        </is>
      </c>
      <c r="Q93" t="n">
        <v>0</v>
      </c>
      <c r="R93" t="n">
        <v>0</v>
      </c>
      <c r="S93" t="n">
        <v>0</v>
      </c>
      <c r="T93" t="inlineStr"/>
      <c r="U93" t="inlineStr"/>
      <c r="V93" t="inlineStr"/>
      <c r="W9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4">
      <c r="A94" t="n">
        <v>93</v>
      </c>
      <c r="B94" t="n">
        <v>32</v>
      </c>
      <c r="C94" t="n">
        <v>1</v>
      </c>
      <c r="D94" t="n">
        <v>4</v>
      </c>
      <c r="E94" t="inlineStr">
        <is>
          <t>R3 porque R1 y R2 se pueden quitar al estar en paraleo con la fuente</t>
        </is>
      </c>
      <c r="F94" t="inlineStr">
        <is>
          <t>Considerando que el interruptor crea un circuito abierto entre los nodos N1 y N2, ¿podría el valor de R3 influir en la trayectoria de la corriente que sale de la fuente V1, y por qué?</t>
        </is>
      </c>
      <c r="G94" t="n">
        <v>3</v>
      </c>
      <c r="H94" t="n">
        <v>4</v>
      </c>
      <c r="I94" t="n">
        <v>3</v>
      </c>
      <c r="J94" t="n">
        <v>5</v>
      </c>
      <c r="K94" t="n">
        <v>15</v>
      </c>
      <c r="L94" t="n">
        <v>0.887</v>
      </c>
      <c r="M94" t="n">
        <v>48</v>
      </c>
      <c r="N94" t="n">
        <v>67.64</v>
      </c>
      <c r="O94" t="inlineStr">
        <is>
          <t>AC1</t>
        </is>
      </c>
      <c r="P94" t="inlineStr">
        <is>
          <t>AC1, AC13</t>
        </is>
      </c>
      <c r="Q94" t="n">
        <v>0.5</v>
      </c>
      <c r="R94" t="n">
        <v>1</v>
      </c>
      <c r="S94" t="n">
        <v>0.667</v>
      </c>
      <c r="T94" t="inlineStr"/>
      <c r="U94" t="inlineStr"/>
      <c r="V94" t="inlineStr"/>
      <c r="W9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95">
      <c r="A95" t="n">
        <v>94</v>
      </c>
      <c r="B95" t="n">
        <v>32</v>
      </c>
      <c r="C95" t="n">
        <v>2</v>
      </c>
      <c r="D95" t="n">
        <v>4</v>
      </c>
      <c r="E95" t="inlineStr">
        <is>
          <t>R1 y R2 porque están conectadas en serie con la fuente</t>
        </is>
      </c>
      <c r="F95" t="inlineStr">
        <is>
          <t>Si la corriente debe fluir a través de R3 para completar el circuito, ¿qué implicaría la eliminación de R1 y R2 en la configuración paralela?</t>
        </is>
      </c>
      <c r="G95" t="n">
        <v>3</v>
      </c>
      <c r="H95" t="n">
        <v>2</v>
      </c>
      <c r="I95" t="n">
        <v>5</v>
      </c>
      <c r="J95" t="n">
        <v>5</v>
      </c>
      <c r="K95" t="n">
        <v>15</v>
      </c>
      <c r="L95" t="n">
        <v>0.747</v>
      </c>
      <c r="M95" t="n">
        <v>35</v>
      </c>
      <c r="N95" t="n">
        <v>80.27</v>
      </c>
      <c r="O95" t="inlineStr"/>
      <c r="P95" t="inlineStr">
        <is>
          <t>AC13</t>
        </is>
      </c>
      <c r="Q95" t="n">
        <v>0</v>
      </c>
      <c r="R95" t="n">
        <v>1</v>
      </c>
      <c r="S95" t="n">
        <v>0</v>
      </c>
      <c r="T95" t="inlineStr"/>
      <c r="U95" t="inlineStr"/>
      <c r="V95" t="inlineStr"/>
      <c r="W95"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96">
      <c r="A96" t="n">
        <v>95</v>
      </c>
      <c r="B96" t="n">
        <v>32</v>
      </c>
      <c r="C96" t="n">
        <v>3</v>
      </c>
      <c r="D96" t="n">
        <v>4</v>
      </c>
      <c r="E96" t="inlineStr">
        <is>
          <t>No</t>
        </is>
      </c>
      <c r="F96" t="inlineStr">
        <is>
          <t>Dado que la eliminación de R1 y R2 crea una conexión en paralelo con la fuente, ¿cómo crees que esto afecta la distribución de la corriente a través del circuito, y por qué es importante considerar los nodos en este caso?</t>
        </is>
      </c>
      <c r="G96" t="n">
        <v>3</v>
      </c>
      <c r="H96" t="n">
        <v>4</v>
      </c>
      <c r="I96" t="n">
        <v>2</v>
      </c>
      <c r="J96" t="n">
        <v>5</v>
      </c>
      <c r="K96" t="n">
        <v>14</v>
      </c>
      <c r="L96" t="n">
        <v>0.837</v>
      </c>
      <c r="M96" t="n">
        <v>49</v>
      </c>
      <c r="N96" t="n">
        <v>71.70999999999999</v>
      </c>
      <c r="O96" t="inlineStr">
        <is>
          <t>AC14</t>
        </is>
      </c>
      <c r="P96" t="inlineStr">
        <is>
          <t>AC13, AC14</t>
        </is>
      </c>
      <c r="Q96" t="n">
        <v>0.5</v>
      </c>
      <c r="R96" t="n">
        <v>1</v>
      </c>
      <c r="S96" t="n">
        <v>0.667</v>
      </c>
      <c r="T96" t="inlineStr"/>
      <c r="U96" t="inlineStr"/>
      <c r="V96" t="inlineStr"/>
      <c r="W9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97">
      <c r="A97" t="n">
        <v>96</v>
      </c>
      <c r="B97" t="n">
        <v>33</v>
      </c>
      <c r="C97" t="n">
        <v>1</v>
      </c>
      <c r="D97" t="n">
        <v>4</v>
      </c>
      <c r="E97" t="inlineStr">
        <is>
          <t>Sí</t>
        </is>
      </c>
      <c r="F97" t="inlineStr">
        <is>
          <t>Si el interruptor abierto entre N1 y N2 impide el flujo de corriente a través de R3, ¿qué efecto tiene esto en la forma en que la tensión de V1 se distribuye entre las resistencias R1 y R2?</t>
        </is>
      </c>
      <c r="G97" t="n">
        <v>3</v>
      </c>
      <c r="H97" t="n">
        <v>3</v>
      </c>
      <c r="I97" t="n">
        <v>2</v>
      </c>
      <c r="J97" t="n">
        <v>5</v>
      </c>
      <c r="K97" t="n">
        <v>13</v>
      </c>
      <c r="L97" t="n">
        <v>0.85</v>
      </c>
      <c r="M97" t="n">
        <v>50</v>
      </c>
      <c r="N97" t="n">
        <v>70.63</v>
      </c>
      <c r="O97" t="inlineStr">
        <is>
          <t>AC14</t>
        </is>
      </c>
      <c r="P97" t="inlineStr">
        <is>
          <t>AC1, AC13</t>
        </is>
      </c>
      <c r="Q97" t="n">
        <v>0</v>
      </c>
      <c r="R97" t="n">
        <v>0</v>
      </c>
      <c r="S97" t="n">
        <v>0</v>
      </c>
      <c r="T97" t="inlineStr"/>
      <c r="U97" t="inlineStr"/>
      <c r="V97" t="inlineStr"/>
      <c r="W9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8">
      <c r="A98" t="n">
        <v>97</v>
      </c>
      <c r="B98" t="n">
        <v>33</v>
      </c>
      <c r="C98" t="n">
        <v>2</v>
      </c>
      <c r="D98" t="n">
        <v>4</v>
      </c>
      <c r="E98" t="inlineStr">
        <is>
          <t>R3 está en circuito abierto</t>
        </is>
      </c>
      <c r="F98" t="inlineStr">
        <is>
          <t>Si la corriente fluye desde V1 a través de R1, ¿cómo se relaciona la magnitud de esa corriente con la caída de tensión en R1, considerando la ley de Ohm?</t>
        </is>
      </c>
      <c r="G98" t="n">
        <v>3</v>
      </c>
      <c r="H98" t="n">
        <v>3</v>
      </c>
      <c r="I98" t="n">
        <v>2</v>
      </c>
      <c r="J98" t="n">
        <v>5</v>
      </c>
      <c r="K98" t="n">
        <v>13</v>
      </c>
      <c r="L98" t="n">
        <v>0.735</v>
      </c>
      <c r="M98" t="n">
        <v>39</v>
      </c>
      <c r="N98" t="n">
        <v>81.64</v>
      </c>
      <c r="O98" t="inlineStr">
        <is>
          <t>AC1, AC14</t>
        </is>
      </c>
      <c r="P98" t="inlineStr">
        <is>
          <t>AC13</t>
        </is>
      </c>
      <c r="Q98" t="n">
        <v>0</v>
      </c>
      <c r="R98" t="n">
        <v>0</v>
      </c>
      <c r="S98" t="n">
        <v>0</v>
      </c>
      <c r="T98" t="inlineStr"/>
      <c r="U98" t="inlineStr"/>
      <c r="V98" t="inlineStr"/>
      <c r="W9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99">
      <c r="A99" t="n">
        <v>98</v>
      </c>
      <c r="B99" t="n">
        <v>33</v>
      </c>
      <c r="C99" t="n">
        <v>3</v>
      </c>
      <c r="D99" t="n">
        <v>4</v>
      </c>
      <c r="E99" t="inlineStr">
        <is>
          <t>Por R3 no pasa corriente</t>
        </is>
      </c>
      <c r="F99" t="inlineStr">
        <is>
          <t>Si la corriente fluye a través de R1, ¿qué componente del circuito, además de R1, contribuye a determinar la magnitud de esa corriente, según la ley de Ohm?</t>
        </is>
      </c>
      <c r="G99" t="n">
        <v>3</v>
      </c>
      <c r="H99" t="n">
        <v>2</v>
      </c>
      <c r="I99" t="n">
        <v>2</v>
      </c>
      <c r="J99" t="n">
        <v>5</v>
      </c>
      <c r="K99" t="n">
        <v>12</v>
      </c>
      <c r="L99" t="n">
        <v>0.763</v>
      </c>
      <c r="M99" t="n">
        <v>39</v>
      </c>
      <c r="N99" t="n">
        <v>78.63</v>
      </c>
      <c r="O99" t="inlineStr">
        <is>
          <t>AC1, AC14</t>
        </is>
      </c>
      <c r="P99" t="inlineStr">
        <is>
          <t>AC13</t>
        </is>
      </c>
      <c r="Q99" t="n">
        <v>0</v>
      </c>
      <c r="R99" t="n">
        <v>0</v>
      </c>
      <c r="S99" t="n">
        <v>0</v>
      </c>
      <c r="T99" t="inlineStr"/>
      <c r="U99" t="inlineStr"/>
      <c r="V99" t="inlineStr"/>
      <c r="W99" t="inlineStr">
        <is>
          <t>Socratic quality 3/5 (Clarification): Generic question: asks for clarification without attacking the root error. Conceptual precision 2/5 (Poor): Poor: responds generically without diagnosing the conceptual error. Acceptable performance; needs to improve precision or socratic methodology.</t>
        </is>
      </c>
    </row>
    <row r="100">
      <c r="A100" t="n">
        <v>99</v>
      </c>
      <c r="B100" t="n">
        <v>34</v>
      </c>
      <c r="C100" t="n">
        <v>1</v>
      </c>
      <c r="D100" t="n">
        <v>4</v>
      </c>
      <c r="E100" t="inlineStr">
        <is>
          <t>R1 porque está más cerca de la fuente</t>
        </is>
      </c>
      <c r="F100" t="inlineStr">
        <is>
          <t>Considerando que R1 y R2 están conectados en paralelo, ¿podría la proximidad de R1 a la fuente de tensión V1 realmente influir en la corriente que sale del circuito, o es la configuración de la conexión en paralelo la que determina el comportamiento?</t>
        </is>
      </c>
      <c r="G100" t="n">
        <v>3</v>
      </c>
      <c r="H100" t="n">
        <v>4</v>
      </c>
      <c r="I100" t="n">
        <v>3</v>
      </c>
      <c r="J100" t="n">
        <v>5</v>
      </c>
      <c r="K100" t="n">
        <v>15</v>
      </c>
      <c r="L100" t="n">
        <v>0.907</v>
      </c>
      <c r="M100" t="n">
        <v>56</v>
      </c>
      <c r="N100" t="n">
        <v>66.16</v>
      </c>
      <c r="O100" t="inlineStr">
        <is>
          <t>AC14</t>
        </is>
      </c>
      <c r="P100" t="inlineStr">
        <is>
          <t>AC13, AC14</t>
        </is>
      </c>
      <c r="Q100" t="n">
        <v>0.5</v>
      </c>
      <c r="R100" t="n">
        <v>1</v>
      </c>
      <c r="S100" t="n">
        <v>0.667</v>
      </c>
      <c r="T100" t="inlineStr"/>
      <c r="U100" t="inlineStr"/>
      <c r="V100" t="inlineStr"/>
      <c r="W10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01">
      <c r="A101" t="n">
        <v>100</v>
      </c>
      <c r="B101" t="n">
        <v>34</v>
      </c>
      <c r="C101" t="n">
        <v>2</v>
      </c>
      <c r="D101" t="n">
        <v>4</v>
      </c>
      <c r="E101" t="inlineStr">
        <is>
          <t>R1 y R2 porque están conectadas a la fuente</t>
        </is>
      </c>
      <c r="F101" t="inlineStr">
        <is>
          <t>Si ambas resistencias están directamente conectadas a la fuente, ¿cómo crees que la tensión se distribuirá entre ellas, y qué efecto tendría esto en la corriente total que fluye a través del circuito?</t>
        </is>
      </c>
      <c r="G101" t="n">
        <v>3</v>
      </c>
      <c r="H101" t="n">
        <v>4</v>
      </c>
      <c r="I101" t="n">
        <v>3</v>
      </c>
      <c r="J101" t="n">
        <v>5</v>
      </c>
      <c r="K101" t="n">
        <v>15</v>
      </c>
      <c r="L101" t="n">
        <v>0.907</v>
      </c>
      <c r="M101" t="n">
        <v>42</v>
      </c>
      <c r="N101" t="n">
        <v>66.14</v>
      </c>
      <c r="O101" t="inlineStr"/>
      <c r="P101" t="inlineStr">
        <is>
          <t>AC13</t>
        </is>
      </c>
      <c r="Q101" t="n">
        <v>0</v>
      </c>
      <c r="R101" t="n">
        <v>1</v>
      </c>
      <c r="S101" t="n">
        <v>0</v>
      </c>
      <c r="T101" t="inlineStr"/>
      <c r="U101" t="inlineStr"/>
      <c r="V101" t="inlineStr"/>
      <c r="W10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02">
      <c r="A102" t="n">
        <v>101</v>
      </c>
      <c r="B102" t="n">
        <v>34</v>
      </c>
      <c r="C102" t="n">
        <v>3</v>
      </c>
      <c r="D102" t="n">
        <v>4</v>
      </c>
      <c r="E102" t="inlineStr">
        <is>
          <t>R1 y R3 porque están conectadas a la fuente</t>
        </is>
      </c>
      <c r="F102" t="inlineStr">
        <is>
          <t>Si R1 y R3 están conectados directamente a la fuente, ¿cómo afectaría esta conexión a la polaridad de la tensión que experimenta cada resistencia, y qué implicaciones tendría esto para el flujo de corriente?</t>
        </is>
      </c>
      <c r="G102" t="n">
        <v>3</v>
      </c>
      <c r="H102" t="n">
        <v>3</v>
      </c>
      <c r="I102" t="n">
        <v>4</v>
      </c>
      <c r="J102" t="n">
        <v>5</v>
      </c>
      <c r="K102" t="n">
        <v>15</v>
      </c>
      <c r="L102" t="n">
        <v>0.794</v>
      </c>
      <c r="M102" t="n">
        <v>45</v>
      </c>
      <c r="N102" t="n">
        <v>75.55</v>
      </c>
      <c r="O102" t="inlineStr">
        <is>
          <t>AC1, AC14</t>
        </is>
      </c>
      <c r="P102" t="inlineStr">
        <is>
          <t>AC13</t>
        </is>
      </c>
      <c r="Q102" t="n">
        <v>0</v>
      </c>
      <c r="R102" t="n">
        <v>0</v>
      </c>
      <c r="S102" t="n">
        <v>0</v>
      </c>
      <c r="T102" t="inlineStr"/>
      <c r="U102" t="inlineStr"/>
      <c r="V102" t="inlineStr"/>
      <c r="W10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3">
      <c r="A103" t="n">
        <v>102</v>
      </c>
      <c r="B103" t="n">
        <v>35</v>
      </c>
      <c r="C103" t="n">
        <v>1</v>
      </c>
      <c r="D103" t="n">
        <v>4</v>
      </c>
      <c r="E103" t="inlineStr">
        <is>
          <t>R2 porque está conectada directamente a la fuente</t>
        </is>
      </c>
      <c r="F103" t="inlineStr">
        <is>
          <t>Si la corriente que sale de V1 fluye a través de R2, ¿no implicaría eso que todas las demás resistencias en el circuito no están afectando el flujo de esa corriente específica, considerando el interruptor abierto en N1-N2?</t>
        </is>
      </c>
      <c r="G103" t="n">
        <v>3</v>
      </c>
      <c r="H103" t="n">
        <v>3</v>
      </c>
      <c r="I103" t="n">
        <v>3</v>
      </c>
      <c r="J103" t="n">
        <v>5</v>
      </c>
      <c r="K103" t="n">
        <v>14</v>
      </c>
      <c r="L103" t="n">
        <v>0.863</v>
      </c>
      <c r="M103" t="n">
        <v>53</v>
      </c>
      <c r="N103" t="n">
        <v>69.52</v>
      </c>
      <c r="O103" t="inlineStr">
        <is>
          <t>AC14</t>
        </is>
      </c>
      <c r="P103" t="inlineStr">
        <is>
          <t>AC1, AC13</t>
        </is>
      </c>
      <c r="Q103" t="n">
        <v>0</v>
      </c>
      <c r="R103" t="n">
        <v>0</v>
      </c>
      <c r="S103" t="n">
        <v>0</v>
      </c>
      <c r="T103" t="inlineStr"/>
      <c r="U103" t="inlineStr"/>
      <c r="V103" t="inlineStr"/>
      <c r="W10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4">
      <c r="A104" t="n">
        <v>103</v>
      </c>
      <c r="B104" t="n">
        <v>35</v>
      </c>
      <c r="C104" t="n">
        <v>2</v>
      </c>
      <c r="D104" t="n">
        <v>4</v>
      </c>
      <c r="E104" t="inlineStr">
        <is>
          <t>R2 porque está más cerca del nodo común</t>
        </is>
      </c>
      <c r="F104" t="inlineStr">
        <is>
          <t>Considerando que el flujo de corriente debe seguir el camino de menor resistencia, ¿podría explicar qué factores, además de la proximidad física, influyen en la determinación del camino de menor resistencia en un circuito?</t>
        </is>
      </c>
      <c r="G104" t="n">
        <v>3</v>
      </c>
      <c r="H104" t="n">
        <v>3</v>
      </c>
      <c r="I104" t="n">
        <v>2</v>
      </c>
      <c r="J104" t="n">
        <v>5</v>
      </c>
      <c r="K104" t="n">
        <v>13</v>
      </c>
      <c r="L104" t="n">
        <v>0.801</v>
      </c>
      <c r="M104" t="n">
        <v>44</v>
      </c>
      <c r="N104" t="n">
        <v>74.94</v>
      </c>
      <c r="O104" t="inlineStr">
        <is>
          <t>AC14</t>
        </is>
      </c>
      <c r="P104" t="inlineStr">
        <is>
          <t>AC13</t>
        </is>
      </c>
      <c r="Q104" t="n">
        <v>0</v>
      </c>
      <c r="R104" t="n">
        <v>0</v>
      </c>
      <c r="S104" t="n">
        <v>0</v>
      </c>
      <c r="T104" t="inlineStr"/>
      <c r="U104" t="inlineStr"/>
      <c r="V104" t="inlineStr"/>
      <c r="W10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5">
      <c r="A105" t="n">
        <v>104</v>
      </c>
      <c r="B105" t="n">
        <v>35</v>
      </c>
      <c r="C105" t="n">
        <v>3</v>
      </c>
      <c r="D105" t="n">
        <v>4</v>
      </c>
      <c r="E105" t="inlineStr">
        <is>
          <t>R2 y R3 porque están en paralelo.</t>
        </is>
      </c>
      <c r="F105" t="inlineStr">
        <is>
          <t>Si ambos resistores R2 y R3 están en paralelo con la fuente, ¿cómo crees que la corriente se distribuirá entre ellos, y qué efecto tendría esto en la caída de voltaje en cada uno?</t>
        </is>
      </c>
      <c r="G105" t="n">
        <v>3</v>
      </c>
      <c r="H105" t="n">
        <v>4</v>
      </c>
      <c r="I105" t="n">
        <v>3</v>
      </c>
      <c r="J105" t="n">
        <v>5</v>
      </c>
      <c r="K105" t="n">
        <v>15</v>
      </c>
      <c r="L105" t="n">
        <v>0.79</v>
      </c>
      <c r="M105" t="n">
        <v>44</v>
      </c>
      <c r="N105" t="n">
        <v>75.91</v>
      </c>
      <c r="O105" t="inlineStr">
        <is>
          <t>AC1, AC14</t>
        </is>
      </c>
      <c r="P105" t="inlineStr">
        <is>
          <t>AC13, AC14</t>
        </is>
      </c>
      <c r="Q105" t="n">
        <v>0.5</v>
      </c>
      <c r="R105" t="n">
        <v>0.5</v>
      </c>
      <c r="S105" t="n">
        <v>0.5</v>
      </c>
      <c r="T105" t="inlineStr"/>
      <c r="U105" t="inlineStr"/>
      <c r="V105" t="inlineStr"/>
      <c r="W10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06">
      <c r="A106" t="n">
        <v>105</v>
      </c>
      <c r="B106" t="n">
        <v>36</v>
      </c>
      <c r="C106" t="n">
        <v>1</v>
      </c>
      <c r="D106" t="n">
        <v>4</v>
      </c>
      <c r="E106" t="inlineStr">
        <is>
          <t>R3 porque está más cerca del nodo N1</t>
        </is>
      </c>
      <c r="F106" t="inlineStr">
        <is>
          <t>Considerando que el interruptor crea un circuito abierto entre N1 y N2, ¿podría la influencia de R3 en la corriente afectar el camino que la corriente toma para salir de la fuente V1, y por qué?</t>
        </is>
      </c>
      <c r="G106" t="n">
        <v>3</v>
      </c>
      <c r="H106" t="n">
        <v>4</v>
      </c>
      <c r="I106" t="n">
        <v>4</v>
      </c>
      <c r="J106" t="n">
        <v>5</v>
      </c>
      <c r="K106" t="n">
        <v>16</v>
      </c>
      <c r="L106" t="n">
        <v>0.826</v>
      </c>
      <c r="M106" t="n">
        <v>48</v>
      </c>
      <c r="N106" t="n">
        <v>72.61</v>
      </c>
      <c r="O106" t="inlineStr">
        <is>
          <t>AC1, AC14</t>
        </is>
      </c>
      <c r="P106" t="inlineStr">
        <is>
          <t>AC1, AC13</t>
        </is>
      </c>
      <c r="Q106" t="n">
        <v>0.5</v>
      </c>
      <c r="R106" t="n">
        <v>0.5</v>
      </c>
      <c r="S106" t="n">
        <v>0.5</v>
      </c>
      <c r="T106" t="inlineStr"/>
      <c r="U106" t="inlineStr"/>
      <c r="V106" t="inlineStr"/>
      <c r="W10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07">
      <c r="A107" t="n">
        <v>106</v>
      </c>
      <c r="B107" t="n">
        <v>36</v>
      </c>
      <c r="C107" t="n">
        <v>2</v>
      </c>
      <c r="D107" t="n">
        <v>4</v>
      </c>
      <c r="E107" t="inlineStr">
        <is>
          <t>Depende de todas las resistencias porque todas están en el circuito</t>
        </is>
      </c>
      <c r="F107" t="inlineStr">
        <is>
          <t>Si elimináramos R3 del circuito, ¿cambiaría la magnitud de la corriente que fluye desde la fuente V1 hacia el nodo N1 y, en caso afirmativo, por qué?</t>
        </is>
      </c>
      <c r="G107" t="n">
        <v>3</v>
      </c>
      <c r="H107" t="n">
        <v>3</v>
      </c>
      <c r="I107" t="n">
        <v>4</v>
      </c>
      <c r="J107" t="n">
        <v>5</v>
      </c>
      <c r="K107" t="n">
        <v>15</v>
      </c>
      <c r="L107" t="n">
        <v>0.796</v>
      </c>
      <c r="M107" t="n">
        <v>43</v>
      </c>
      <c r="N107" t="n">
        <v>75.42</v>
      </c>
      <c r="O107" t="inlineStr">
        <is>
          <t>AC14</t>
        </is>
      </c>
      <c r="P107" t="inlineStr">
        <is>
          <t>AC13</t>
        </is>
      </c>
      <c r="Q107" t="n">
        <v>0</v>
      </c>
      <c r="R107" t="n">
        <v>0</v>
      </c>
      <c r="S107" t="n">
        <v>0</v>
      </c>
      <c r="T107" t="inlineStr"/>
      <c r="U107" t="inlineStr"/>
      <c r="V107" t="inlineStr"/>
      <c r="W10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08">
      <c r="A108" t="n">
        <v>107</v>
      </c>
      <c r="B108" t="n">
        <v>36</v>
      </c>
      <c r="C108" t="n">
        <v>3</v>
      </c>
      <c r="D108" t="n">
        <v>4</v>
      </c>
      <c r="E108" t="inlineStr">
        <is>
          <t>R2 porque está en serie con la fuente</t>
        </is>
      </c>
      <c r="F108" t="inlineStr">
        <is>
          <t>Si la corriente debe encontrar un camino desde la fuente hacia el nodo N1, ¿qué propiedad de las resistencias en serie podría estar influyendo en la distribución de la corriente en este circuito, específicamente en relación a R2?</t>
        </is>
      </c>
      <c r="G108" t="n">
        <v>3</v>
      </c>
      <c r="H108" t="n">
        <v>5</v>
      </c>
      <c r="I108" t="n">
        <v>3</v>
      </c>
      <c r="J108" t="n">
        <v>5</v>
      </c>
      <c r="K108" t="n">
        <v>16</v>
      </c>
      <c r="L108" t="n">
        <v>0.8139999999999999</v>
      </c>
      <c r="M108" t="n">
        <v>46</v>
      </c>
      <c r="N108" t="n">
        <v>73.68000000000001</v>
      </c>
      <c r="O108" t="inlineStr">
        <is>
          <t>AC14</t>
        </is>
      </c>
      <c r="P108" t="inlineStr">
        <is>
          <t>AC13, AC14</t>
        </is>
      </c>
      <c r="Q108" t="n">
        <v>0.5</v>
      </c>
      <c r="R108" t="n">
        <v>1</v>
      </c>
      <c r="S108" t="n">
        <v>0.667</v>
      </c>
      <c r="T108" t="inlineStr"/>
      <c r="U108" t="inlineStr"/>
      <c r="V108" t="inlineStr"/>
      <c r="W108"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109">
      <c r="A109" t="n">
        <v>108</v>
      </c>
      <c r="B109" t="n">
        <v>37</v>
      </c>
      <c r="C109" t="n">
        <v>1</v>
      </c>
      <c r="D109" t="n">
        <v>4</v>
      </c>
      <c r="E109" t="inlineStr">
        <is>
          <t>R2 y R3 porque están conectadas directamente al nodo N1</t>
        </is>
      </c>
      <c r="F109" t="inlineStr">
        <is>
          <t>Considerando que el interruptor está abierto, ¿cómo afecta la interrupción de la rama N1-N2 a la contribución de R3 al flujo de corriente desde V1?</t>
        </is>
      </c>
      <c r="G109" t="n">
        <v>4</v>
      </c>
      <c r="H109" t="n">
        <v>3</v>
      </c>
      <c r="I109" t="n">
        <v>4</v>
      </c>
      <c r="J109" t="n">
        <v>5</v>
      </c>
      <c r="K109" t="n">
        <v>16</v>
      </c>
      <c r="L109" t="n">
        <v>0.8179999999999999</v>
      </c>
      <c r="M109" t="n">
        <v>39</v>
      </c>
      <c r="N109" t="n">
        <v>73.39</v>
      </c>
      <c r="O109" t="inlineStr">
        <is>
          <t>AC1, AC14</t>
        </is>
      </c>
      <c r="P109" t="inlineStr">
        <is>
          <t>AC1, AC13</t>
        </is>
      </c>
      <c r="Q109" t="n">
        <v>0.5</v>
      </c>
      <c r="R109" t="n">
        <v>0.5</v>
      </c>
      <c r="S109" t="n">
        <v>0.5</v>
      </c>
      <c r="T109" t="inlineStr"/>
      <c r="U109" t="inlineStr"/>
      <c r="V109" t="inlineStr"/>
      <c r="W109"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10">
      <c r="A110" t="n">
        <v>109</v>
      </c>
      <c r="B110" t="n">
        <v>37</v>
      </c>
      <c r="C110" t="n">
        <v>2</v>
      </c>
      <c r="D110" t="n">
        <v>4</v>
      </c>
      <c r="E110" t="inlineStr">
        <is>
          <t>R1 porque está conectada directamente al nodo N1</t>
        </is>
      </c>
      <c r="F110" t="inlineStr">
        <is>
          <t>Si el interruptor permanece abierto, ¿podrías explicar cómo la resistencia de R2, en paralelo con R3, aún podría influir en el potencial en el nodo N1?</t>
        </is>
      </c>
      <c r="G110" t="n">
        <v>3</v>
      </c>
      <c r="H110" t="n">
        <v>5</v>
      </c>
      <c r="I110" t="n">
        <v>3</v>
      </c>
      <c r="J110" t="n">
        <v>5</v>
      </c>
      <c r="K110" t="n">
        <v>16</v>
      </c>
      <c r="L110" t="n">
        <v>0.778</v>
      </c>
      <c r="M110" t="n">
        <v>39</v>
      </c>
      <c r="N110" t="n">
        <v>77.08</v>
      </c>
      <c r="O110" t="inlineStr">
        <is>
          <t>AC14</t>
        </is>
      </c>
      <c r="P110" t="inlineStr">
        <is>
          <t>AC1, AC14</t>
        </is>
      </c>
      <c r="Q110" t="n">
        <v>0.5</v>
      </c>
      <c r="R110" t="n">
        <v>1</v>
      </c>
      <c r="S110" t="n">
        <v>0.667</v>
      </c>
      <c r="T110" t="inlineStr"/>
      <c r="U110" t="inlineStr"/>
      <c r="V110" t="inlineStr"/>
      <c r="W110" t="inlineStr">
        <is>
          <t>Socratic quality 3/5 (Clarification): Clarification: asks the student to explain their reasoning. Conceptual precision 5/5 (Excellent): Excellent: identifies the specific alternative conception and connects it with the circuit topology. Good overall performance; room for improvement in socratic depth.</t>
        </is>
      </c>
    </row>
    <row r="111">
      <c r="A111" t="n">
        <v>110</v>
      </c>
      <c r="B111" t="n">
        <v>37</v>
      </c>
      <c r="C111" t="n">
        <v>3</v>
      </c>
      <c r="D111" t="n">
        <v>4</v>
      </c>
      <c r="E111" t="inlineStr">
        <is>
          <t>R1 y R3 porque están en paralelo</t>
        </is>
      </c>
      <c r="F111" t="inlineStr">
        <is>
          <t>Si consideramos la corriente que fluye a través de R1 y R3, ¿cómo crees que su relación de resistencia afecta la distribución de voltaje en el nodo N1?</t>
        </is>
      </c>
      <c r="G111" t="n">
        <v>3</v>
      </c>
      <c r="H111" t="n">
        <v>3</v>
      </c>
      <c r="I111" t="n">
        <v>4</v>
      </c>
      <c r="J111" t="n">
        <v>5</v>
      </c>
      <c r="K111" t="n">
        <v>15</v>
      </c>
      <c r="L111" t="n">
        <v>0.824</v>
      </c>
      <c r="M111" t="n">
        <v>37</v>
      </c>
      <c r="N111" t="n">
        <v>72.77</v>
      </c>
      <c r="O111" t="inlineStr">
        <is>
          <t>AC1, AC14</t>
        </is>
      </c>
      <c r="P111" t="inlineStr">
        <is>
          <t>AC13</t>
        </is>
      </c>
      <c r="Q111" t="n">
        <v>0</v>
      </c>
      <c r="R111" t="n">
        <v>0</v>
      </c>
      <c r="S111" t="n">
        <v>0</v>
      </c>
      <c r="T111" t="inlineStr"/>
      <c r="U111" t="inlineStr"/>
      <c r="V111" t="inlineStr"/>
      <c r="W11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12">
      <c r="A112" t="n">
        <v>111</v>
      </c>
      <c r="B112" t="n">
        <v>38</v>
      </c>
      <c r="C112" t="n">
        <v>1</v>
      </c>
      <c r="D112" t="n">
        <v>4</v>
      </c>
      <c r="E112" t="inlineStr">
        <is>
          <t>R3 porque está más lejos de la fuente.</t>
        </is>
      </c>
      <c r="F112" t="inlineStr">
        <is>
          <t>Considerando que el interruptor está abierto, ¿cómo afecta la ausencia de conexión en el nodo N2 a la trayectoria que la corriente debe tomar para salir de la fuente V1, y por qué eso podría influir en la dependencia de la corriente respecto a las resistencias R1 y R2?</t>
        </is>
      </c>
      <c r="G112" t="n">
        <v>4</v>
      </c>
      <c r="H112" t="n">
        <v>4</v>
      </c>
      <c r="I112" t="n">
        <v>2</v>
      </c>
      <c r="J112" t="n">
        <v>5</v>
      </c>
      <c r="K112" t="n">
        <v>15</v>
      </c>
      <c r="L112" t="n">
        <v>0.952</v>
      </c>
      <c r="M112" t="n">
        <v>61</v>
      </c>
      <c r="N112" t="n">
        <v>63.01</v>
      </c>
      <c r="O112" t="inlineStr">
        <is>
          <t>AC1, AC14</t>
        </is>
      </c>
      <c r="P112" t="inlineStr">
        <is>
          <t>AC1, AC13</t>
        </is>
      </c>
      <c r="Q112" t="n">
        <v>0.5</v>
      </c>
      <c r="R112" t="n">
        <v>0.5</v>
      </c>
      <c r="S112" t="n">
        <v>0.5</v>
      </c>
      <c r="T112" t="inlineStr"/>
      <c r="U112" t="inlineStr"/>
      <c r="V112" t="inlineStr"/>
      <c r="W112"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113">
      <c r="A113" t="n">
        <v>112</v>
      </c>
      <c r="B113" t="n">
        <v>38</v>
      </c>
      <c r="C113" t="n">
        <v>2</v>
      </c>
      <c r="D113" t="n">
        <v>4</v>
      </c>
      <c r="E113" t="inlineStr">
        <is>
          <t>Depende de todas porque todas tienen resistencia</t>
        </is>
      </c>
      <c r="F113" t="inlineStr">
        <is>
          <t>Si ignoramos temporalmente la presencia del interruptor, ¿qué factores determinarían la magnitud de la caída de tensión en cada resistor, y cómo se relacionaría esto con la ley de Ohm?</t>
        </is>
      </c>
      <c r="G113" t="n">
        <v>3</v>
      </c>
      <c r="H113" t="n">
        <v>3</v>
      </c>
      <c r="I113" t="n">
        <v>4</v>
      </c>
      <c r="J113" t="n">
        <v>5</v>
      </c>
      <c r="K113" t="n">
        <v>15</v>
      </c>
      <c r="L113" t="n">
        <v>0.785</v>
      </c>
      <c r="M113" t="n">
        <v>40</v>
      </c>
      <c r="N113" t="n">
        <v>76.41</v>
      </c>
      <c r="O113" t="inlineStr">
        <is>
          <t>AC14</t>
        </is>
      </c>
      <c r="P113" t="inlineStr">
        <is>
          <t>AC1</t>
        </is>
      </c>
      <c r="Q113" t="n">
        <v>0</v>
      </c>
      <c r="R113" t="n">
        <v>0</v>
      </c>
      <c r="S113" t="n">
        <v>0</v>
      </c>
      <c r="T113" t="inlineStr"/>
      <c r="U113" t="inlineStr"/>
      <c r="V113" t="inlineStr"/>
      <c r="W11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14">
      <c r="A114" t="n">
        <v>113</v>
      </c>
      <c r="B114" t="n">
        <v>38</v>
      </c>
      <c r="C114" t="n">
        <v>3</v>
      </c>
      <c r="D114" t="n">
        <v>4</v>
      </c>
      <c r="E114" t="inlineStr">
        <is>
          <t>Depende de R1 y R2 porque son las más importantes</t>
        </is>
      </c>
      <c r="F114" t="inlineStr">
        <is>
          <t>Si la corriente fluye a través de R3, ¿cómo se relaciona la resistencia de R3 con la cantidad de corriente que pasa por ella, considerando que todos los componentes están conectados en serie?</t>
        </is>
      </c>
      <c r="G114" t="n">
        <v>3</v>
      </c>
      <c r="H114" t="n">
        <v>4</v>
      </c>
      <c r="I114" t="n">
        <v>3</v>
      </c>
      <c r="J114" t="n">
        <v>5</v>
      </c>
      <c r="K114" t="n">
        <v>15</v>
      </c>
      <c r="L114" t="n">
        <v>0.749</v>
      </c>
      <c r="M114" t="n">
        <v>41</v>
      </c>
      <c r="N114" t="n">
        <v>80.09</v>
      </c>
      <c r="O114" t="inlineStr"/>
      <c r="P114" t="inlineStr">
        <is>
          <t>AC13, AC14</t>
        </is>
      </c>
      <c r="Q114" t="n">
        <v>0</v>
      </c>
      <c r="R114" t="n">
        <v>1</v>
      </c>
      <c r="S114" t="n">
        <v>0</v>
      </c>
      <c r="T114" t="inlineStr"/>
      <c r="U114" t="inlineStr"/>
      <c r="V114" t="inlineStr"/>
      <c r="W11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15">
      <c r="A115" t="n">
        <v>114</v>
      </c>
      <c r="B115" t="n">
        <v>39</v>
      </c>
      <c r="C115" t="n">
        <v>1</v>
      </c>
      <c r="D115" t="n">
        <v>5</v>
      </c>
      <c r="E115" t="inlineStr">
        <is>
          <t>R1 y R2 porque están conectadas en serie con la fuente</t>
        </is>
      </c>
      <c r="F115" t="inlineStr">
        <is>
          <t>Considerando que el interruptor entre N3 y N4 está abierto, ¿cómo afecta esta condición a la capacidad de la corriente para fluir a través de las resistencias R1 y R2, y qué papel juega el nodo N4 en este flujo, considerando que está aislado?</t>
        </is>
      </c>
      <c r="G115" t="n">
        <v>4</v>
      </c>
      <c r="H115" t="n">
        <v>3</v>
      </c>
      <c r="I115" t="n">
        <v>4</v>
      </c>
      <c r="J115" t="n">
        <v>5</v>
      </c>
      <c r="K115" t="n">
        <v>16</v>
      </c>
      <c r="L115" t="n">
        <v>0.887</v>
      </c>
      <c r="M115" t="n">
        <v>58</v>
      </c>
      <c r="N115" t="n">
        <v>67.67</v>
      </c>
      <c r="O115" t="inlineStr">
        <is>
          <t>AC14</t>
        </is>
      </c>
      <c r="P115" t="inlineStr">
        <is>
          <t>AC1</t>
        </is>
      </c>
      <c r="Q115" t="n">
        <v>0</v>
      </c>
      <c r="R115" t="n">
        <v>0</v>
      </c>
      <c r="S115" t="n">
        <v>0</v>
      </c>
      <c r="T115" t="inlineStr"/>
      <c r="U115" t="inlineStr"/>
      <c r="V115" t="inlineStr"/>
      <c r="W115"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16">
      <c r="A116" t="n">
        <v>115</v>
      </c>
      <c r="B116" t="n">
        <v>39</v>
      </c>
      <c r="C116" t="n">
        <v>2</v>
      </c>
      <c r="D116" t="n">
        <v>5</v>
      </c>
      <c r="E116" t="inlineStr">
        <is>
          <t>R1 y R2 porque están conectadas en paralelo con la fuente</t>
        </is>
      </c>
      <c r="F116" t="inlineStr">
        <is>
          <t>Si el interruptor en N3 y N4 permanece abierto, ¿qué implicaría que las resistencias R1 y R2 estén físicamente conectadas en serie, y cómo esto influiría en la distribución de la corriente en comparación con una conexión en paralelo?</t>
        </is>
      </c>
      <c r="G116" t="n">
        <v>3</v>
      </c>
      <c r="H116" t="n">
        <v>4</v>
      </c>
      <c r="I116" t="n">
        <v>4</v>
      </c>
      <c r="J116" t="n">
        <v>5</v>
      </c>
      <c r="K116" t="n">
        <v>16</v>
      </c>
      <c r="L116" t="n">
        <v>0.8179999999999999</v>
      </c>
      <c r="M116" t="n">
        <v>54</v>
      </c>
      <c r="N116" t="n">
        <v>73.34999999999999</v>
      </c>
      <c r="O116" t="inlineStr">
        <is>
          <t>AC14</t>
        </is>
      </c>
      <c r="P116" t="inlineStr">
        <is>
          <t>AC1, AC14</t>
        </is>
      </c>
      <c r="Q116" t="n">
        <v>0.5</v>
      </c>
      <c r="R116" t="n">
        <v>1</v>
      </c>
      <c r="S116" t="n">
        <v>0.667</v>
      </c>
      <c r="T116" t="inlineStr"/>
      <c r="U116" t="inlineStr"/>
      <c r="V116" t="inlineStr"/>
      <c r="W11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17">
      <c r="A117" t="n">
        <v>116</v>
      </c>
      <c r="B117" t="n">
        <v>39</v>
      </c>
      <c r="C117" t="n">
        <v>3</v>
      </c>
      <c r="D117" t="n">
        <v>5</v>
      </c>
      <c r="E117" t="inlineStr">
        <is>
          <t>R1, R2, y R4 porque están conectadas en serie con la fuente</t>
        </is>
      </c>
      <c r="F117" t="inlineStr">
        <is>
          <t>Si el interruptor en N3 y N4 sigue estando abierto, ¿cómo crees que la presencia de R4 altera la relación entre la tensión aplicada y la corriente que fluye a través de los componentes conectados, y por qué es importante considerar la resistencia total en un circuito en serie?</t>
        </is>
      </c>
      <c r="G117" t="n">
        <v>3</v>
      </c>
      <c r="H117" t="n">
        <v>4</v>
      </c>
      <c r="I117" t="n">
        <v>3</v>
      </c>
      <c r="J117" t="n">
        <v>5</v>
      </c>
      <c r="K117" t="n">
        <v>15</v>
      </c>
      <c r="L117" t="n">
        <v>0.871</v>
      </c>
      <c r="M117" t="n">
        <v>60</v>
      </c>
      <c r="N117" t="n">
        <v>68.92</v>
      </c>
      <c r="O117" t="inlineStr"/>
      <c r="P117" t="inlineStr">
        <is>
          <t>AC1, AC14</t>
        </is>
      </c>
      <c r="Q117" t="n">
        <v>0</v>
      </c>
      <c r="R117" t="n">
        <v>1</v>
      </c>
      <c r="S117" t="n">
        <v>0</v>
      </c>
      <c r="T117" t="inlineStr"/>
      <c r="U117" t="inlineStr"/>
      <c r="V117" t="inlineStr"/>
      <c r="W11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18">
      <c r="A118" t="n">
        <v>117</v>
      </c>
      <c r="B118" t="n">
        <v>40</v>
      </c>
      <c r="C118" t="n">
        <v>1</v>
      </c>
      <c r="D118" t="n">
        <v>5</v>
      </c>
      <c r="E118" t="inlineStr">
        <is>
          <t>R1, R2 y R4 porque por R3 no pasa corriente</t>
        </is>
      </c>
      <c r="F118" t="inlineStr">
        <is>
          <t>Considerando que el interruptor entre N3 y N4 está abierto, ¿podría la corriente que sale de V1 seguir un camino alternativo que involucre a R3, o es su ausencia la que determina el flujo de corriente?</t>
        </is>
      </c>
      <c r="G118" t="n">
        <v>3</v>
      </c>
      <c r="H118" t="n">
        <v>5</v>
      </c>
      <c r="I118" t="n">
        <v>3</v>
      </c>
      <c r="J118" t="n">
        <v>5</v>
      </c>
      <c r="K118" t="n">
        <v>16</v>
      </c>
      <c r="L118" t="n">
        <v>0.877</v>
      </c>
      <c r="M118" t="n">
        <v>51</v>
      </c>
      <c r="N118" t="n">
        <v>68.43000000000001</v>
      </c>
      <c r="O118" t="inlineStr">
        <is>
          <t>AC1</t>
        </is>
      </c>
      <c r="P118" t="inlineStr">
        <is>
          <t>AC1, AC13</t>
        </is>
      </c>
      <c r="Q118" t="n">
        <v>0.5</v>
      </c>
      <c r="R118" t="n">
        <v>1</v>
      </c>
      <c r="S118" t="n">
        <v>0.667</v>
      </c>
      <c r="T118" t="inlineStr"/>
      <c r="U118" t="inlineStr"/>
      <c r="V118" t="inlineStr"/>
      <c r="W118" t="inlineStr">
        <is>
          <t>Socratic quality 3/5 (Clarification): Generic question: asks for clarification without attacking the root error. Conceptual precision 5/5 (Excellent): Excellent: identifies the specific alternative conception and connects it with the circuit topology. Good overall performance; room for improvement in socratic depth.</t>
        </is>
      </c>
    </row>
    <row r="119">
      <c r="A119" t="n">
        <v>118</v>
      </c>
      <c r="B119" t="n">
        <v>40</v>
      </c>
      <c r="C119" t="n">
        <v>2</v>
      </c>
      <c r="D119" t="n">
        <v>5</v>
      </c>
      <c r="E119" t="inlineStr">
        <is>
          <t>R1, R2 y R4 porque R3 está en circuito abierto</t>
        </is>
      </c>
      <c r="F119" t="inlineStr">
        <is>
          <t>Si el interruptor entre N3 y N4 bloquea el flujo de corriente a través de R3, ¿qué factor podría estar permitiendo que la corriente fluya a través de R1, R2 y R4?</t>
        </is>
      </c>
      <c r="G119" t="n">
        <v>3</v>
      </c>
      <c r="H119" t="n">
        <v>5</v>
      </c>
      <c r="I119" t="n">
        <v>5</v>
      </c>
      <c r="J119" t="n">
        <v>5</v>
      </c>
      <c r="K119" t="n">
        <v>18</v>
      </c>
      <c r="L119" t="n">
        <v>0.8129999999999999</v>
      </c>
      <c r="M119" t="n">
        <v>47</v>
      </c>
      <c r="N119" t="n">
        <v>73.76000000000001</v>
      </c>
      <c r="O119" t="inlineStr">
        <is>
          <t>AC1</t>
        </is>
      </c>
      <c r="P119" t="inlineStr">
        <is>
          <t>AC1</t>
        </is>
      </c>
      <c r="Q119" t="n">
        <v>1</v>
      </c>
      <c r="R119" t="n">
        <v>1</v>
      </c>
      <c r="S119" t="n">
        <v>1</v>
      </c>
      <c r="T119" t="inlineStr"/>
      <c r="U119" t="inlineStr"/>
      <c r="V119" t="inlineStr"/>
      <c r="W119" t="inlineStr">
        <is>
          <t>Socratic quality 3/5 (Clarification): Generic question: asks for clarification without attacking the root error. Conceptual precision 5/5 (Excellent): Excellent: identifies the specific alternative conception and connects it with the circuit topology. High-performing tutor: expert socratic guidance with precise diagnosis.</t>
        </is>
      </c>
    </row>
    <row r="120">
      <c r="A120" t="n">
        <v>119</v>
      </c>
      <c r="B120" t="n">
        <v>40</v>
      </c>
      <c r="C120" t="n">
        <v>3</v>
      </c>
      <c r="D120" t="n">
        <v>5</v>
      </c>
      <c r="E120" t="inlineStr">
        <is>
          <t>R1, R2, R3 y R4 porque son las resistencias que forman parte del circuito</t>
        </is>
      </c>
      <c r="F120" t="inlineStr">
        <is>
          <t>Si todas estas resistencias están conectadas, ¿qué componente específico está proporcionando el único camino para que la corriente fluya desde la fuente hacia el nodo N4?</t>
        </is>
      </c>
      <c r="G120" t="n">
        <v>3</v>
      </c>
      <c r="H120" t="n">
        <v>3</v>
      </c>
      <c r="I120" t="n">
        <v>3</v>
      </c>
      <c r="J120" t="n">
        <v>5</v>
      </c>
      <c r="K120" t="n">
        <v>14</v>
      </c>
      <c r="L120" t="n">
        <v>0.773</v>
      </c>
      <c r="M120" t="n">
        <v>34</v>
      </c>
      <c r="N120" t="n">
        <v>77.65000000000001</v>
      </c>
      <c r="O120" t="inlineStr">
        <is>
          <t>AC1</t>
        </is>
      </c>
      <c r="P120" t="inlineStr">
        <is>
          <t>AC13, AC14</t>
        </is>
      </c>
      <c r="Q120" t="n">
        <v>0</v>
      </c>
      <c r="R120" t="n">
        <v>0</v>
      </c>
      <c r="S120" t="n">
        <v>0</v>
      </c>
      <c r="T120" t="inlineStr"/>
      <c r="U120" t="inlineStr"/>
      <c r="V120" t="inlineStr"/>
      <c r="W12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1">
      <c r="A121" t="n">
        <v>120</v>
      </c>
      <c r="B121" t="n">
        <v>41</v>
      </c>
      <c r="C121" t="n">
        <v>1</v>
      </c>
      <c r="D121" t="n">
        <v>5</v>
      </c>
      <c r="E121" t="inlineStr">
        <is>
          <t>R1, R2, R3 y R4 porque todas están conectadas al circuito</t>
        </is>
      </c>
      <c r="F121" t="inlineStr">
        <is>
          <t>Considerando que el interruptor entre los nodos N3 y N4 está abierto, ¿qué efecto tiene esta condición en la capacidad de la corriente para fluir a través de la resistencia R3?</t>
        </is>
      </c>
      <c r="G121" t="n">
        <v>3</v>
      </c>
      <c r="H121" t="n">
        <v>4</v>
      </c>
      <c r="I121" t="n">
        <v>3</v>
      </c>
      <c r="J121" t="n">
        <v>5</v>
      </c>
      <c r="K121" t="n">
        <v>15</v>
      </c>
      <c r="L121" t="n">
        <v>0.833</v>
      </c>
      <c r="M121" t="n">
        <v>41</v>
      </c>
      <c r="N121" t="n">
        <v>72.06</v>
      </c>
      <c r="O121" t="inlineStr">
        <is>
          <t>AC1</t>
        </is>
      </c>
      <c r="P121" t="inlineStr">
        <is>
          <t>AC1</t>
        </is>
      </c>
      <c r="Q121" t="n">
        <v>1</v>
      </c>
      <c r="R121" t="n">
        <v>1</v>
      </c>
      <c r="S121" t="n">
        <v>1</v>
      </c>
      <c r="T121" t="inlineStr"/>
      <c r="U121" t="inlineStr"/>
      <c r="V121" t="inlineStr"/>
      <c r="W12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2">
      <c r="A122" t="n">
        <v>121</v>
      </c>
      <c r="B122" t="n">
        <v>41</v>
      </c>
      <c r="C122" t="n">
        <v>2</v>
      </c>
      <c r="D122" t="n">
        <v>5</v>
      </c>
      <c r="E122" t="inlineStr">
        <is>
          <t>R3 porque R1 y R2 se pueden despreciar al estar en serie con la fuente</t>
        </is>
      </c>
      <c r="F122" t="inlineStr">
        <is>
          <t>Si el interruptor en N3 y N4 estuviera cerrado, ¿cambiaría tu razonamiento sobre la influencia de R3 en la corriente total del circuito, considerando la resistencia de R1 y R2?</t>
        </is>
      </c>
      <c r="G122" t="n">
        <v>3</v>
      </c>
      <c r="H122" t="n">
        <v>4</v>
      </c>
      <c r="I122" t="n">
        <v>5</v>
      </c>
      <c r="J122" t="n">
        <v>5</v>
      </c>
      <c r="K122" t="n">
        <v>17</v>
      </c>
      <c r="L122" t="n">
        <v>0.82</v>
      </c>
      <c r="M122" t="n">
        <v>45</v>
      </c>
      <c r="N122" t="n">
        <v>73.19</v>
      </c>
      <c r="O122" t="inlineStr">
        <is>
          <t>AC1, AC14</t>
        </is>
      </c>
      <c r="P122" t="inlineStr">
        <is>
          <t>AC1</t>
        </is>
      </c>
      <c r="Q122" t="n">
        <v>1</v>
      </c>
      <c r="R122" t="n">
        <v>0.5</v>
      </c>
      <c r="S122" t="n">
        <v>0.667</v>
      </c>
      <c r="T122" t="inlineStr"/>
      <c r="U122" t="inlineStr"/>
      <c r="V122" t="inlineStr"/>
      <c r="W122" t="inlineStr">
        <is>
          <t>Socratic quality 3/5 (Clarification): Generic question: asks for clarification without attacking the root error. Conceptual precision 4/5 (Good): Good: clearly identifies the alternative conception with precise technical language. High-performing tutor: expert socratic guidance with precise diagnosis.</t>
        </is>
      </c>
    </row>
    <row r="123">
      <c r="A123" t="n">
        <v>122</v>
      </c>
      <c r="B123" t="n">
        <v>41</v>
      </c>
      <c r="C123" t="n">
        <v>3</v>
      </c>
      <c r="D123" t="n">
        <v>5</v>
      </c>
      <c r="E123" t="inlineStr">
        <is>
          <t>R1 y R2 porque R3 está en circuito abierto y R4 está en paralelo con la fuente</t>
        </is>
      </c>
      <c r="F123" t="inlineStr">
        <is>
          <t>Dado que R3 está efectivamente desconectado del circuito, ¿cómo crees que la presencia de R4, conectado en paralelo a la fuente, afectaría la distribución de la corriente a través de los componentes conectados a R3?</t>
        </is>
      </c>
      <c r="G123" t="n">
        <v>3</v>
      </c>
      <c r="H123" t="n">
        <v>3</v>
      </c>
      <c r="I123" t="n">
        <v>4</v>
      </c>
      <c r="J123" t="n">
        <v>5</v>
      </c>
      <c r="K123" t="n">
        <v>15</v>
      </c>
      <c r="L123" t="n">
        <v>0.9370000000000001</v>
      </c>
      <c r="M123" t="n">
        <v>48</v>
      </c>
      <c r="N123" t="n">
        <v>64.02</v>
      </c>
      <c r="O123" t="inlineStr">
        <is>
          <t>AC1</t>
        </is>
      </c>
      <c r="P123" t="inlineStr">
        <is>
          <t>AC1, AC14</t>
        </is>
      </c>
      <c r="Q123" t="n">
        <v>0.5</v>
      </c>
      <c r="R123" t="n">
        <v>1</v>
      </c>
      <c r="S123" t="n">
        <v>0.667</v>
      </c>
      <c r="T123" t="inlineStr"/>
      <c r="U123" t="inlineStr"/>
      <c r="V123" t="inlineStr"/>
      <c r="W12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4">
      <c r="A124" t="n">
        <v>123</v>
      </c>
      <c r="B124" t="n">
        <v>42</v>
      </c>
      <c r="C124" t="n">
        <v>1</v>
      </c>
      <c r="D124" t="n">
        <v>5</v>
      </c>
      <c r="E124" t="inlineStr">
        <is>
          <t>R4 porque R1 y R2 se pueden despreciar al estar en serie con la fuente y R3 está en circuito abierto</t>
        </is>
      </c>
      <c r="F124" t="inlineStr">
        <is>
          <t>Considerando que el interruptor entre N3 y N4 crea un circuito abierto, ¿podría la corriente que sale de V1 fluir únicamente a través de las resistencias que forman un camino continuo desde la fuente hasta el nodo de salida, y en ese caso, ¿qué resistencias serían cruciales para determinar esa corriente?</t>
        </is>
      </c>
      <c r="G124" t="n">
        <v>3</v>
      </c>
      <c r="H124" t="n">
        <v>4</v>
      </c>
      <c r="I124" t="n">
        <v>3</v>
      </c>
      <c r="J124" t="n">
        <v>5</v>
      </c>
      <c r="K124" t="n">
        <v>15</v>
      </c>
      <c r="L124" t="n">
        <v>0.971</v>
      </c>
      <c r="M124" t="n">
        <v>66</v>
      </c>
      <c r="N124" t="n">
        <v>61.82</v>
      </c>
      <c r="O124" t="inlineStr">
        <is>
          <t>AC1</t>
        </is>
      </c>
      <c r="P124" t="inlineStr">
        <is>
          <t>AC1, AC13, AC14</t>
        </is>
      </c>
      <c r="Q124" t="n">
        <v>0.333</v>
      </c>
      <c r="R124" t="n">
        <v>1</v>
      </c>
      <c r="S124" t="n">
        <v>0.5</v>
      </c>
      <c r="T124" t="inlineStr"/>
      <c r="U124" t="inlineStr"/>
      <c r="V124" t="inlineStr"/>
      <c r="W12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5">
      <c r="A125" t="n">
        <v>124</v>
      </c>
      <c r="B125" t="n">
        <v>42</v>
      </c>
      <c r="C125" t="n">
        <v>2</v>
      </c>
      <c r="D125" t="n">
        <v>5</v>
      </c>
      <c r="E125" t="inlineStr">
        <is>
          <t>R1 y R2 porque R3 se puede quitar y R4 está en paralelo con la fuente</t>
        </is>
      </c>
      <c r="F125" t="inlineStr">
        <is>
          <t>Si el circuito se simplifica al considerar solo las corrientes que fluyen a través de R1, R2 y la fuente, ¿qué efecto tendría el hecho de que R3 esté físicamente desconectada en el circuito sobre la distribución de la corriente?</t>
        </is>
      </c>
      <c r="G125" t="n">
        <v>3</v>
      </c>
      <c r="H125" t="n">
        <v>2</v>
      </c>
      <c r="I125" t="n">
        <v>4</v>
      </c>
      <c r="J125" t="n">
        <v>5</v>
      </c>
      <c r="K125" t="n">
        <v>14</v>
      </c>
      <c r="L125" t="n">
        <v>0.883</v>
      </c>
      <c r="M125" t="n">
        <v>53</v>
      </c>
      <c r="N125" t="n">
        <v>67.98</v>
      </c>
      <c r="O125" t="inlineStr">
        <is>
          <t>AC1</t>
        </is>
      </c>
      <c r="P125" t="inlineStr">
        <is>
          <t>AC1</t>
        </is>
      </c>
      <c r="Q125" t="n">
        <v>1</v>
      </c>
      <c r="R125" t="n">
        <v>1</v>
      </c>
      <c r="S125" t="n">
        <v>1</v>
      </c>
      <c r="T125" t="inlineStr"/>
      <c r="U125" t="inlineStr"/>
      <c r="V125" t="inlineStr"/>
      <c r="W125"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26">
      <c r="A126" t="n">
        <v>125</v>
      </c>
      <c r="B126" t="n">
        <v>42</v>
      </c>
      <c r="C126" t="n">
        <v>3</v>
      </c>
      <c r="D126" t="n">
        <v>5</v>
      </c>
      <c r="E126" t="inlineStr">
        <is>
          <t>Todas porque todas están conectadas al circuito</t>
        </is>
      </c>
      <c r="F126" t="inlineStr">
        <is>
          <t>Si todas las resistencias están en camino hacia el nodo de salida, ¿qué aspecto de la corriente, como su magnitud o dirección, podría verse afectado por la presencia de un componente que bloquea completamente el flujo en un camino específico?</t>
        </is>
      </c>
      <c r="G126" t="n">
        <v>3</v>
      </c>
      <c r="H126" t="n">
        <v>3</v>
      </c>
      <c r="I126" t="n">
        <v>3</v>
      </c>
      <c r="J126" t="n">
        <v>5</v>
      </c>
      <c r="K126" t="n">
        <v>14</v>
      </c>
      <c r="L126" t="n">
        <v>0.792</v>
      </c>
      <c r="M126" t="n">
        <v>47</v>
      </c>
      <c r="N126" t="n">
        <v>75.79000000000001</v>
      </c>
      <c r="O126" t="inlineStr">
        <is>
          <t>AC14</t>
        </is>
      </c>
      <c r="P126" t="inlineStr">
        <is>
          <t>AC13, AC14</t>
        </is>
      </c>
      <c r="Q126" t="n">
        <v>0.5</v>
      </c>
      <c r="R126" t="n">
        <v>1</v>
      </c>
      <c r="S126" t="n">
        <v>0.667</v>
      </c>
      <c r="T126" t="inlineStr"/>
      <c r="U126" t="inlineStr"/>
      <c r="V126" t="inlineStr"/>
      <c r="W126"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27">
      <c r="A127" t="n">
        <v>126</v>
      </c>
      <c r="B127" t="n">
        <v>43</v>
      </c>
      <c r="C127" t="n">
        <v>1</v>
      </c>
      <c r="D127" t="n">
        <v>5</v>
      </c>
      <c r="E127" t="inlineStr">
        <is>
          <t>R1 y R2 porque forman un divisor de tensión</t>
        </is>
      </c>
      <c r="F127" t="inlineStr">
        <is>
          <t>Considerando que el interruptor entre N3 y N4 crea un circuito abierto, ¿podría la corriente que sale de V1 tomar diferentes caminos a través de los componentes en serie, y cómo afecta esto a la relación entre el voltaje y la corriente en esas ramas específicas?</t>
        </is>
      </c>
      <c r="G127" t="n">
        <v>3</v>
      </c>
      <c r="H127" t="n">
        <v>4</v>
      </c>
      <c r="I127" t="n">
        <v>2</v>
      </c>
      <c r="J127" t="n">
        <v>5</v>
      </c>
      <c r="K127" t="n">
        <v>14</v>
      </c>
      <c r="L127" t="n">
        <v>0.958</v>
      </c>
      <c r="M127" t="n">
        <v>57</v>
      </c>
      <c r="N127" t="n">
        <v>62.66</v>
      </c>
      <c r="O127" t="inlineStr">
        <is>
          <t>AC14</t>
        </is>
      </c>
      <c r="P127" t="inlineStr">
        <is>
          <t>AC1, AC13, AC14</t>
        </is>
      </c>
      <c r="Q127" t="n">
        <v>0.333</v>
      </c>
      <c r="R127" t="n">
        <v>1</v>
      </c>
      <c r="S127" t="n">
        <v>0.5</v>
      </c>
      <c r="T127" t="inlineStr"/>
      <c r="U127" t="inlineStr"/>
      <c r="V127" t="inlineStr"/>
      <c r="W12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8">
      <c r="A128" t="n">
        <v>127</v>
      </c>
      <c r="B128" t="n">
        <v>43</v>
      </c>
      <c r="C128" t="n">
        <v>2</v>
      </c>
      <c r="D128" t="n">
        <v>5</v>
      </c>
      <c r="E128" t="inlineStr">
        <is>
          <t>R1, R2 y R4 porque forman un divisor de tension</t>
        </is>
      </c>
      <c r="F128" t="inlineStr">
        <is>
          <t>Si el interruptor en N3 y N4 estuviera cerrado, ¿cómo cambiaría el flujo de corriente a través de R2 y R4, y qué papel juega esta alteración en la distribución del voltaje?</t>
        </is>
      </c>
      <c r="G128" t="n">
        <v>3</v>
      </c>
      <c r="H128" t="n">
        <v>4</v>
      </c>
      <c r="I128" t="n">
        <v>4</v>
      </c>
      <c r="J128" t="n">
        <v>5</v>
      </c>
      <c r="K128" t="n">
        <v>16</v>
      </c>
      <c r="L128" t="n">
        <v>0.8</v>
      </c>
      <c r="M128" t="n">
        <v>45</v>
      </c>
      <c r="N128" t="n">
        <v>74.95999999999999</v>
      </c>
      <c r="O128" t="inlineStr"/>
      <c r="P128" t="inlineStr">
        <is>
          <t>AC1</t>
        </is>
      </c>
      <c r="Q128" t="n">
        <v>0</v>
      </c>
      <c r="R128" t="n">
        <v>1</v>
      </c>
      <c r="S128" t="n">
        <v>0</v>
      </c>
      <c r="T128" t="inlineStr"/>
      <c r="U128" t="inlineStr"/>
      <c r="V128" t="inlineStr"/>
      <c r="W12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29">
      <c r="A129" t="n">
        <v>128</v>
      </c>
      <c r="B129" t="n">
        <v>43</v>
      </c>
      <c r="C129" t="n">
        <v>3</v>
      </c>
      <c r="D129" t="n">
        <v>5</v>
      </c>
      <c r="E129" t="inlineStr">
        <is>
          <t>R1 y R2 porque forman un divisor de corriente</t>
        </is>
      </c>
      <c r="F129" t="inlineStr">
        <is>
          <t>Si la corriente total que sale de la fuente es conocida, ¿cómo la distribución de corriente a través de R1 y R2, influenciada por su resistencia, afectaría la tensión medida en cada punto?</t>
        </is>
      </c>
      <c r="G129" t="n">
        <v>3</v>
      </c>
      <c r="H129" t="n">
        <v>3</v>
      </c>
      <c r="I129" t="n">
        <v>4</v>
      </c>
      <c r="J129" t="n">
        <v>5</v>
      </c>
      <c r="K129" t="n">
        <v>15</v>
      </c>
      <c r="L129" t="n">
        <v>0.79</v>
      </c>
      <c r="M129" t="n">
        <v>44</v>
      </c>
      <c r="N129" t="n">
        <v>75.98</v>
      </c>
      <c r="O129" t="inlineStr">
        <is>
          <t>AC14</t>
        </is>
      </c>
      <c r="P129" t="inlineStr"/>
      <c r="Q129" t="n">
        <v>1</v>
      </c>
      <c r="R129" t="n">
        <v>0</v>
      </c>
      <c r="S129" t="n">
        <v>0</v>
      </c>
      <c r="T129" t="inlineStr"/>
      <c r="U129" t="inlineStr"/>
      <c r="V129" t="inlineStr"/>
      <c r="W12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0">
      <c r="A130" t="n">
        <v>129</v>
      </c>
      <c r="B130" t="n">
        <v>44</v>
      </c>
      <c r="C130" t="n">
        <v>1</v>
      </c>
      <c r="D130" t="n">
        <v>5</v>
      </c>
      <c r="E130" t="inlineStr">
        <is>
          <t>Sí</t>
        </is>
      </c>
      <c r="F130" t="inlineStr">
        <is>
          <t>Considerando que el interruptor entre los nodos N3 y N4 está abierto, ¿podría la corriente que sale de V1 tomar únicamente los caminos a través de R1, R2 y R4, o hay alguna otra ruta que influya en su valor?</t>
        </is>
      </c>
      <c r="G130" t="n">
        <v>3</v>
      </c>
      <c r="H130" t="n">
        <v>3</v>
      </c>
      <c r="I130" t="n">
        <v>2</v>
      </c>
      <c r="J130" t="n">
        <v>5</v>
      </c>
      <c r="K130" t="n">
        <v>13</v>
      </c>
      <c r="L130" t="n">
        <v>0.878</v>
      </c>
      <c r="M130" t="n">
        <v>56</v>
      </c>
      <c r="N130" t="n">
        <v>68.31</v>
      </c>
      <c r="O130" t="inlineStr">
        <is>
          <t>AC14</t>
        </is>
      </c>
      <c r="P130" t="inlineStr">
        <is>
          <t>AC1, AC13</t>
        </is>
      </c>
      <c r="Q130" t="n">
        <v>0</v>
      </c>
      <c r="R130" t="n">
        <v>0</v>
      </c>
      <c r="S130" t="n">
        <v>0</v>
      </c>
      <c r="T130" t="inlineStr"/>
      <c r="U130" t="inlineStr"/>
      <c r="V130" t="inlineStr"/>
      <c r="W13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1">
      <c r="A131" t="n">
        <v>130</v>
      </c>
      <c r="B131" t="n">
        <v>44</v>
      </c>
      <c r="C131" t="n">
        <v>2</v>
      </c>
      <c r="D131" t="n">
        <v>5</v>
      </c>
      <c r="E131" t="inlineStr">
        <is>
          <t>No</t>
        </is>
      </c>
      <c r="F131" t="inlineStr">
        <is>
          <t>Si la corriente fluye a través de R1 y R2, ¿qué factores podrían afectar la magnitud de esa corriente, considerando la resistencia de cada componente?</t>
        </is>
      </c>
      <c r="G131" t="n">
        <v>3</v>
      </c>
      <c r="H131" t="n">
        <v>3</v>
      </c>
      <c r="I131" t="n">
        <v>2</v>
      </c>
      <c r="J131" t="n">
        <v>5</v>
      </c>
      <c r="K131" t="n">
        <v>13</v>
      </c>
      <c r="L131" t="n">
        <v>0.751</v>
      </c>
      <c r="M131" t="n">
        <v>33</v>
      </c>
      <c r="N131" t="n">
        <v>79.87</v>
      </c>
      <c r="O131" t="inlineStr">
        <is>
          <t>AC14</t>
        </is>
      </c>
      <c r="P131" t="inlineStr"/>
      <c r="Q131" t="n">
        <v>1</v>
      </c>
      <c r="R131" t="n">
        <v>0</v>
      </c>
      <c r="S131" t="n">
        <v>0</v>
      </c>
      <c r="T131" t="inlineStr"/>
      <c r="U131" t="inlineStr"/>
      <c r="V131" t="inlineStr"/>
      <c r="W131"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2">
      <c r="A132" t="n">
        <v>131</v>
      </c>
      <c r="B132" t="n">
        <v>44</v>
      </c>
      <c r="C132" t="n">
        <v>3</v>
      </c>
      <c r="D132" t="n">
        <v>5</v>
      </c>
      <c r="E132" t="inlineStr">
        <is>
          <t>Puede ser</t>
        </is>
      </c>
      <c r="F132" t="inlineStr">
        <is>
          <t>Si la corriente fluye a través de R1 y R2, ¿cómo crees que la resistencia de cada componente individualmente impactaría la distribución total de la corriente en el circuito?</t>
        </is>
      </c>
      <c r="G132" t="n">
        <v>3</v>
      </c>
      <c r="H132" t="n">
        <v>3</v>
      </c>
      <c r="I132" t="n">
        <v>2</v>
      </c>
      <c r="J132" t="n">
        <v>5</v>
      </c>
      <c r="K132" t="n">
        <v>13</v>
      </c>
      <c r="L132" t="n">
        <v>0.75</v>
      </c>
      <c r="M132" t="n">
        <v>39</v>
      </c>
      <c r="N132" t="n">
        <v>79.97</v>
      </c>
      <c r="O132" t="inlineStr">
        <is>
          <t>AC14</t>
        </is>
      </c>
      <c r="P132" t="inlineStr"/>
      <c r="Q132" t="n">
        <v>1</v>
      </c>
      <c r="R132" t="n">
        <v>0</v>
      </c>
      <c r="S132" t="n">
        <v>0</v>
      </c>
      <c r="T132" t="inlineStr"/>
      <c r="U132" t="inlineStr"/>
      <c r="V132" t="inlineStr"/>
      <c r="W13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3">
      <c r="A133" t="n">
        <v>132</v>
      </c>
      <c r="B133" t="n">
        <v>45</v>
      </c>
      <c r="C133" t="n">
        <v>1</v>
      </c>
      <c r="D133" t="n">
        <v>5</v>
      </c>
      <c r="E133" t="inlineStr">
        <is>
          <t>R1 porque está conectada a la fuente</t>
        </is>
      </c>
      <c r="F133" t="inlineStr">
        <is>
          <t>Si la corriente sale de la fuente V1, ¿qué otras resistencias, además de la fuente misma, están en el camino de esa corriente, considerando el interruptor abierto entre N3 y N4?</t>
        </is>
      </c>
      <c r="G133" t="n">
        <v>3</v>
      </c>
      <c r="H133" t="n">
        <v>3</v>
      </c>
      <c r="I133" t="n">
        <v>2</v>
      </c>
      <c r="J133" t="n">
        <v>5</v>
      </c>
      <c r="K133" t="n">
        <v>13</v>
      </c>
      <c r="L133" t="n">
        <v>0.82</v>
      </c>
      <c r="M133" t="n">
        <v>42</v>
      </c>
      <c r="N133" t="n">
        <v>73.19</v>
      </c>
      <c r="O133" t="inlineStr">
        <is>
          <t>AC14</t>
        </is>
      </c>
      <c r="P133" t="inlineStr">
        <is>
          <t>AC1, AC13, AC14</t>
        </is>
      </c>
      <c r="Q133" t="n">
        <v>0.333</v>
      </c>
      <c r="R133" t="n">
        <v>1</v>
      </c>
      <c r="S133" t="n">
        <v>0.5</v>
      </c>
      <c r="T133" t="inlineStr"/>
      <c r="U133" t="inlineStr"/>
      <c r="V133" t="inlineStr"/>
      <c r="W13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4">
      <c r="A134" t="n">
        <v>133</v>
      </c>
      <c r="B134" t="n">
        <v>45</v>
      </c>
      <c r="C134" t="n">
        <v>2</v>
      </c>
      <c r="D134" t="n">
        <v>5</v>
      </c>
      <c r="E134" t="inlineStr">
        <is>
          <t>R2 porque es la última resistencia conectada</t>
        </is>
      </c>
      <c r="F134" t="inlineStr">
        <is>
          <t>Considerando que la corriente debe fluir a través de todas las resistencias en serie, ¿qué papel juega la posición del interruptor en relación con la continuidad del circuito y, por lo tanto, el flujo de corriente?</t>
        </is>
      </c>
      <c r="G134" t="n">
        <v>3</v>
      </c>
      <c r="H134" t="n">
        <v>4</v>
      </c>
      <c r="I134" t="n">
        <v>2</v>
      </c>
      <c r="J134" t="n">
        <v>5</v>
      </c>
      <c r="K134" t="n">
        <v>14</v>
      </c>
      <c r="L134" t="n">
        <v>0.894</v>
      </c>
      <c r="M134" t="n">
        <v>45</v>
      </c>
      <c r="N134" t="n">
        <v>67.11</v>
      </c>
      <c r="O134" t="inlineStr">
        <is>
          <t>AC14</t>
        </is>
      </c>
      <c r="P134" t="inlineStr">
        <is>
          <t>AC1, AC14</t>
        </is>
      </c>
      <c r="Q134" t="n">
        <v>0.5</v>
      </c>
      <c r="R134" t="n">
        <v>1</v>
      </c>
      <c r="S134" t="n">
        <v>0.667</v>
      </c>
      <c r="T134" t="inlineStr"/>
      <c r="U134" t="inlineStr"/>
      <c r="V134" t="inlineStr"/>
      <c r="W13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35">
      <c r="A135" t="n">
        <v>134</v>
      </c>
      <c r="B135" t="n">
        <v>45</v>
      </c>
      <c r="C135" t="n">
        <v>3</v>
      </c>
      <c r="D135" t="n">
        <v>5</v>
      </c>
      <c r="E135" t="inlineStr">
        <is>
          <t>R3 porque está en paralelo con la fuente</t>
        </is>
      </c>
      <c r="F135" t="inlineStr">
        <is>
          <t>Si la corriente tiene múltiples caminos disponibles para fluir a través del circuito, ¿cómo afecta la presencia de una resistencia en paralelo a la forma en que se distribuye la corriente en comparación con una conexión en serie?</t>
        </is>
      </c>
      <c r="G135" t="n">
        <v>4</v>
      </c>
      <c r="H135" t="n">
        <v>4</v>
      </c>
      <c r="I135" t="n">
        <v>2</v>
      </c>
      <c r="J135" t="n">
        <v>5</v>
      </c>
      <c r="K135" t="n">
        <v>15</v>
      </c>
      <c r="L135" t="n">
        <v>0.871</v>
      </c>
      <c r="M135" t="n">
        <v>44</v>
      </c>
      <c r="N135" t="n">
        <v>68.88</v>
      </c>
      <c r="O135" t="inlineStr">
        <is>
          <t>AC1, AC14</t>
        </is>
      </c>
      <c r="P135" t="inlineStr">
        <is>
          <t>AC13, AC14</t>
        </is>
      </c>
      <c r="Q135" t="n">
        <v>0.5</v>
      </c>
      <c r="R135" t="n">
        <v>0.5</v>
      </c>
      <c r="S135" t="n">
        <v>0.5</v>
      </c>
      <c r="T135" t="inlineStr"/>
      <c r="U135" t="inlineStr"/>
      <c r="V135" t="inlineStr"/>
      <c r="W135" t="inlineStr">
        <is>
          <t>Socratic quality 4/5 (Scaffolding for detection): Scaffolding for detection: identifies the error area and asks a question that confronts the theory. Conceptual precision 4/5 (Good): Good: clearly identifies the alternative conception with precise technical language. Good overall performance; room for improvement in socratic depth.</t>
        </is>
      </c>
    </row>
    <row r="136">
      <c r="A136" t="n">
        <v>135</v>
      </c>
      <c r="B136" t="n">
        <v>46</v>
      </c>
      <c r="C136" t="n">
        <v>1</v>
      </c>
      <c r="D136" t="n">
        <v>5</v>
      </c>
      <c r="E136" t="inlineStr">
        <is>
          <t>R4 porque está en paralelo con la fuente</t>
        </is>
      </c>
      <c r="F136" t="inlineStr">
        <is>
          <t>Considerando que el interruptor entre N3 y N4 crea un circuito abierto, ¿podría la corriente que sale de V1 fluir únicamente a través de las resistencias que forman un camino continuo desde la fuente hasta el nodo de salida, sin incluir R4 en ese camino, ¿no es así?</t>
        </is>
      </c>
      <c r="G136" t="n">
        <v>2</v>
      </c>
      <c r="H136" t="n">
        <v>3</v>
      </c>
      <c r="I136" t="n">
        <v>3</v>
      </c>
      <c r="J136" t="n">
        <v>5</v>
      </c>
      <c r="K136" t="n">
        <v>13</v>
      </c>
      <c r="L136" t="n">
        <v>0.952</v>
      </c>
      <c r="M136" t="n">
        <v>63</v>
      </c>
      <c r="N136" t="n">
        <v>63.01</v>
      </c>
      <c r="O136" t="inlineStr">
        <is>
          <t>AC14</t>
        </is>
      </c>
      <c r="P136" t="inlineStr">
        <is>
          <t>AC1, AC13, AC14</t>
        </is>
      </c>
      <c r="Q136" t="n">
        <v>0.333</v>
      </c>
      <c r="R136" t="n">
        <v>1</v>
      </c>
      <c r="S136" t="n">
        <v>0.5</v>
      </c>
      <c r="T136" t="inlineStr"/>
      <c r="U136" t="inlineStr"/>
      <c r="V136" t="inlineStr"/>
      <c r="W136" t="inlineStr">
        <is>
          <t>Socratic quality 2/5 (Closed questions): Closed question: the answer is already implicit in the question. Conceptual precision 3/5 (Sufficient): Sufficient: identifies that there is an error and uses correct concepts, but the diagnosis is somewhat vague. Good overall performance; room for improvement in socratic depth.</t>
        </is>
      </c>
    </row>
    <row r="137">
      <c r="A137" t="n">
        <v>136</v>
      </c>
      <c r="B137" t="n">
        <v>46</v>
      </c>
      <c r="C137" t="n">
        <v>2</v>
      </c>
      <c r="D137" t="n">
        <v>5</v>
      </c>
      <c r="E137" t="inlineStr">
        <is>
          <t>R4 porque está en serie con la fuente</t>
        </is>
      </c>
      <c r="F137" t="inlineStr">
        <is>
          <t>Si la corriente fluye a través de R4, ¿no debería la resistencia total del circuito aumentar en comparación con la resistencia de R4 sola, afectando así la caída de voltaje en la fuente, ¿no es cierto?</t>
        </is>
      </c>
      <c r="G137" t="n">
        <v>2</v>
      </c>
      <c r="H137" t="n">
        <v>3</v>
      </c>
      <c r="I137" t="n">
        <v>4</v>
      </c>
      <c r="J137" t="n">
        <v>5</v>
      </c>
      <c r="K137" t="n">
        <v>14</v>
      </c>
      <c r="L137" t="n">
        <v>0.856</v>
      </c>
      <c r="M137" t="n">
        <v>47</v>
      </c>
      <c r="N137" t="n">
        <v>70.12</v>
      </c>
      <c r="O137" t="inlineStr">
        <is>
          <t>AC14</t>
        </is>
      </c>
      <c r="P137" t="inlineStr"/>
      <c r="Q137" t="n">
        <v>1</v>
      </c>
      <c r="R137" t="n">
        <v>0</v>
      </c>
      <c r="S137" t="n">
        <v>0</v>
      </c>
      <c r="T137" t="inlineStr"/>
      <c r="U137" t="inlineStr"/>
      <c r="V137" t="inlineStr"/>
      <c r="W137" t="inlineStr">
        <is>
          <t>Socratic quality 2/5 (Closed questions): Closed question: the answer is already implicit in the question. Conceptual precision 3/5 (Sufficient): Sufficient: identifies that there is an error and uses correct concepts, but the diagnosis is somewhat vague. Good overall performance; room for improvement in socratic depth.</t>
        </is>
      </c>
    </row>
    <row r="138">
      <c r="A138" t="n">
        <v>137</v>
      </c>
      <c r="B138" t="n">
        <v>46</v>
      </c>
      <c r="C138" t="n">
        <v>3</v>
      </c>
      <c r="D138" t="n">
        <v>5</v>
      </c>
      <c r="E138" t="inlineStr">
        <is>
          <t>R1</t>
        </is>
      </c>
      <c r="F138" t="inlineStr">
        <is>
          <t>Si R1 es el componente que limita el flujo de corriente a través del circuito, ¿cómo afectaría su valor a la relación entre el voltaje de la fuente y la corriente que fluye a través de él, en efecto?</t>
        </is>
      </c>
      <c r="G138" t="n">
        <v>3</v>
      </c>
      <c r="H138" t="n">
        <v>3</v>
      </c>
      <c r="I138" t="n">
        <v>2</v>
      </c>
      <c r="J138" t="n">
        <v>5</v>
      </c>
      <c r="K138" t="n">
        <v>13</v>
      </c>
      <c r="L138" t="n">
        <v>0.8120000000000001</v>
      </c>
      <c r="M138" t="n">
        <v>47</v>
      </c>
      <c r="N138" t="n">
        <v>73.84999999999999</v>
      </c>
      <c r="O138" t="inlineStr">
        <is>
          <t>AC14</t>
        </is>
      </c>
      <c r="P138" t="inlineStr">
        <is>
          <t>AC1</t>
        </is>
      </c>
      <c r="Q138" t="n">
        <v>0</v>
      </c>
      <c r="R138" t="n">
        <v>0</v>
      </c>
      <c r="S138" t="n">
        <v>0</v>
      </c>
      <c r="T138" t="inlineStr"/>
      <c r="U138" t="inlineStr"/>
      <c r="V138" t="inlineStr"/>
      <c r="W13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39">
      <c r="A139" t="n">
        <v>138</v>
      </c>
      <c r="B139" t="n">
        <v>47</v>
      </c>
      <c r="C139" t="n">
        <v>1</v>
      </c>
      <c r="D139" t="n">
        <v>5</v>
      </c>
      <c r="E139" t="inlineStr">
        <is>
          <t>R2</t>
        </is>
      </c>
      <c r="F139" t="inlineStr">
        <is>
          <t>Considerando que el interruptor entre N3 y N4 crea un circuito abierto, ¿podría la corriente que sale de V1 fluir únicamente a través de las resistencias que forman un camino continuo desde la fuente hasta el nodo de salida?</t>
        </is>
      </c>
      <c r="G139" t="n">
        <v>3</v>
      </c>
      <c r="H139" t="n">
        <v>3</v>
      </c>
      <c r="I139" t="n">
        <v>2</v>
      </c>
      <c r="J139" t="n">
        <v>5</v>
      </c>
      <c r="K139" t="n">
        <v>13</v>
      </c>
      <c r="L139" t="n">
        <v>0.85</v>
      </c>
      <c r="M139" t="n">
        <v>50</v>
      </c>
      <c r="N139" t="n">
        <v>70.56</v>
      </c>
      <c r="O139" t="inlineStr">
        <is>
          <t>AC14</t>
        </is>
      </c>
      <c r="P139" t="inlineStr">
        <is>
          <t>AC1, AC13, AC14</t>
        </is>
      </c>
      <c r="Q139" t="n">
        <v>0.333</v>
      </c>
      <c r="R139" t="n">
        <v>1</v>
      </c>
      <c r="S139" t="n">
        <v>0.5</v>
      </c>
      <c r="T139" t="inlineStr"/>
      <c r="U139" t="inlineStr"/>
      <c r="V139" t="inlineStr"/>
      <c r="W13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0">
      <c r="A140" t="n">
        <v>139</v>
      </c>
      <c r="B140" t="n">
        <v>47</v>
      </c>
      <c r="C140" t="n">
        <v>2</v>
      </c>
      <c r="D140" t="n">
        <v>5</v>
      </c>
      <c r="E140" t="inlineStr">
        <is>
          <t>R3</t>
        </is>
      </c>
      <c r="F140" t="inlineStr">
        <is>
          <t>Si la corriente fluye a través de R3, ¿qué efecto crees que tendría la presencia de R3 en la relación entre el voltaje en N1 y la corriente que sale del nodo de salida?</t>
        </is>
      </c>
      <c r="G140" t="n">
        <v>3</v>
      </c>
      <c r="H140" t="n">
        <v>3</v>
      </c>
      <c r="I140" t="n">
        <v>2</v>
      </c>
      <c r="J140" t="n">
        <v>5</v>
      </c>
      <c r="K140" t="n">
        <v>13</v>
      </c>
      <c r="L140" t="n">
        <v>0.787</v>
      </c>
      <c r="M140" t="n">
        <v>43</v>
      </c>
      <c r="N140" t="n">
        <v>76.23</v>
      </c>
      <c r="O140" t="inlineStr">
        <is>
          <t>AC1, AC14</t>
        </is>
      </c>
      <c r="P140" t="inlineStr">
        <is>
          <t>AC1</t>
        </is>
      </c>
      <c r="Q140" t="n">
        <v>1</v>
      </c>
      <c r="R140" t="n">
        <v>0.5</v>
      </c>
      <c r="S140" t="n">
        <v>0.667</v>
      </c>
      <c r="T140" t="inlineStr"/>
      <c r="U140" t="inlineStr"/>
      <c r="V140" t="inlineStr"/>
      <c r="W14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1">
      <c r="A141" t="n">
        <v>140</v>
      </c>
      <c r="B141" t="n">
        <v>47</v>
      </c>
      <c r="C141" t="n">
        <v>3</v>
      </c>
      <c r="D141" t="n">
        <v>5</v>
      </c>
      <c r="E141" t="inlineStr">
        <is>
          <t>R4</t>
        </is>
      </c>
      <c r="F141" t="inlineStr">
        <is>
          <t>Dado que R4 está conectado en paralelo con R3, ¿cómo crees que su resistencia adicional afectaría la distribución de la corriente a través del circuito?</t>
        </is>
      </c>
      <c r="G141" t="n">
        <v>3</v>
      </c>
      <c r="H141" t="n">
        <v>4</v>
      </c>
      <c r="I141" t="n">
        <v>2</v>
      </c>
      <c r="J141" t="n">
        <v>5</v>
      </c>
      <c r="K141" t="n">
        <v>14</v>
      </c>
      <c r="L141" t="n">
        <v>0.761</v>
      </c>
      <c r="M141" t="n">
        <v>33</v>
      </c>
      <c r="N141" t="n">
        <v>78.81</v>
      </c>
      <c r="O141" t="inlineStr">
        <is>
          <t>AC14</t>
        </is>
      </c>
      <c r="P141" t="inlineStr">
        <is>
          <t>AC14</t>
        </is>
      </c>
      <c r="Q141" t="n">
        <v>1</v>
      </c>
      <c r="R141" t="n">
        <v>1</v>
      </c>
      <c r="S141" t="n">
        <v>1</v>
      </c>
      <c r="T141" t="inlineStr"/>
      <c r="U141" t="inlineStr"/>
      <c r="V141" t="inlineStr"/>
      <c r="W14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2">
      <c r="A142" t="n">
        <v>141</v>
      </c>
      <c r="B142" t="n">
        <v>48</v>
      </c>
      <c r="C142" t="n">
        <v>1</v>
      </c>
      <c r="D142" t="n">
        <v>5</v>
      </c>
      <c r="E142" t="inlineStr">
        <is>
          <t>No lo sé</t>
        </is>
      </c>
      <c r="F142" t="inlineStr">
        <is>
          <t>Considerando que el interruptor entre N3 y N4 está abierto, ¿podría la corriente que sale de V1 fluir únicamente a través de las resistencias R1 y R2, y cómo afectaría esto al cálculo de la corriente total?</t>
        </is>
      </c>
      <c r="G142" t="n">
        <v>3</v>
      </c>
      <c r="H142" t="n">
        <v>3</v>
      </c>
      <c r="I142" t="n">
        <v>2</v>
      </c>
      <c r="J142" t="n">
        <v>5</v>
      </c>
      <c r="K142" t="n">
        <v>13</v>
      </c>
      <c r="L142" t="n">
        <v>0.884</v>
      </c>
      <c r="M142" t="n">
        <v>52</v>
      </c>
      <c r="N142" t="n">
        <v>67.84999999999999</v>
      </c>
      <c r="O142" t="inlineStr">
        <is>
          <t>AC14</t>
        </is>
      </c>
      <c r="P142" t="inlineStr">
        <is>
          <t>AC1</t>
        </is>
      </c>
      <c r="Q142" t="n">
        <v>0</v>
      </c>
      <c r="R142" t="n">
        <v>0</v>
      </c>
      <c r="S142" t="n">
        <v>0</v>
      </c>
      <c r="T142" t="inlineStr"/>
      <c r="U142" t="inlineStr"/>
      <c r="V142" t="inlineStr"/>
      <c r="W14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43">
      <c r="A143" t="n">
        <v>142</v>
      </c>
      <c r="B143" t="n">
        <v>48</v>
      </c>
      <c r="C143" t="n">
        <v>2</v>
      </c>
      <c r="D143" t="n">
        <v>5</v>
      </c>
      <c r="E143" t="inlineStr">
        <is>
          <t>R1 y R2 están conectadas en serie</t>
        </is>
      </c>
      <c r="F143" t="inlineStr">
        <is>
          <t>Si ambas resistencias R1 y R2 están en serie, ¿cómo cambiaría la distribución de la corriente a través de ellas con la adición de un segundo voltaje en el nodo N3?</t>
        </is>
      </c>
      <c r="G143" t="n">
        <v>3</v>
      </c>
      <c r="H143" t="n">
        <v>5</v>
      </c>
      <c r="I143" t="n">
        <v>4</v>
      </c>
      <c r="J143" t="n">
        <v>5</v>
      </c>
      <c r="K143" t="n">
        <v>17</v>
      </c>
      <c r="L143" t="n">
        <v>0.794</v>
      </c>
      <c r="M143" t="n">
        <v>40</v>
      </c>
      <c r="N143" t="n">
        <v>75.59</v>
      </c>
      <c r="O143" t="inlineStr">
        <is>
          <t>AC14</t>
        </is>
      </c>
      <c r="P143" t="inlineStr">
        <is>
          <t>AC14</t>
        </is>
      </c>
      <c r="Q143" t="n">
        <v>1</v>
      </c>
      <c r="R143" t="n">
        <v>1</v>
      </c>
      <c r="S143" t="n">
        <v>1</v>
      </c>
      <c r="T143" t="inlineStr"/>
      <c r="U143" t="inlineStr"/>
      <c r="V143" t="inlineStr"/>
      <c r="W143" t="inlineStr">
        <is>
          <t>Socratic quality 3/5 (Clarification): Generic question: asks for clarification without attacking the root error. Conceptual precision 5/5 (Excellent): Excellent: identifies the specific alternative conception and connects it with the circuit topology. High-performing tutor: expert socratic guidance with precise diagnosis.</t>
        </is>
      </c>
    </row>
    <row r="144">
      <c r="A144" t="n">
        <v>143</v>
      </c>
      <c r="B144" t="n">
        <v>49</v>
      </c>
      <c r="C144" t="n">
        <v>1</v>
      </c>
      <c r="D144" t="n">
        <v>6</v>
      </c>
      <c r="E144" t="inlineStr">
        <is>
          <t>Por ninguna, todas las resistencias poseen la misma corriente ya que están conectadas en serie</t>
        </is>
      </c>
      <c r="F144" t="inlineStr">
        <is>
          <t>Considerando que todas las resistencias están conectadas en una única cadena, ¿no crees que la corriente debe ser constante a lo largo de toda la serie, independientemente de su ubicación?</t>
        </is>
      </c>
      <c r="G144" t="n">
        <v>2</v>
      </c>
      <c r="H144" t="n">
        <v>4</v>
      </c>
      <c r="I144" t="n">
        <v>4</v>
      </c>
      <c r="J144" t="n">
        <v>5</v>
      </c>
      <c r="K144" t="n">
        <v>15</v>
      </c>
      <c r="L144" t="n">
        <v>1.629</v>
      </c>
      <c r="M144" t="n">
        <v>39</v>
      </c>
      <c r="N144" t="n">
        <v>36.83</v>
      </c>
      <c r="O144" t="inlineStr"/>
      <c r="P144" t="inlineStr">
        <is>
          <t>AC2, AC14</t>
        </is>
      </c>
      <c r="Q144" t="n">
        <v>0</v>
      </c>
      <c r="R144" t="n">
        <v>1</v>
      </c>
      <c r="S144" t="n">
        <v>0</v>
      </c>
      <c r="T144" t="inlineStr"/>
      <c r="U144" t="inlineStr"/>
      <c r="V144" t="inlineStr"/>
      <c r="W144" t="inlineStr">
        <is>
          <t>Socratic quality 2/5 (Closed questions): Closed question: the answer is already implicit in the question. Conceptual precision 4/5 (Good): Good: clearly identifies the alternative conception with precise technical language. Good overall performance; room for improvement in socratic depth.</t>
        </is>
      </c>
    </row>
    <row r="145">
      <c r="A145" t="n">
        <v>144</v>
      </c>
      <c r="B145" t="n">
        <v>49</v>
      </c>
      <c r="C145" t="n">
        <v>2</v>
      </c>
      <c r="D145" t="n">
        <v>6</v>
      </c>
      <c r="E145" t="inlineStr">
        <is>
          <t>En ninguna</t>
        </is>
      </c>
      <c r="F145" t="inlineStr">
        <is>
          <t>Si la corriente es constante en toda la serie, ¿cómo crees que la tensión se distribuirá entre las diferentes resistencias, considerando que cada una tiene una resistencia diferente?</t>
        </is>
      </c>
      <c r="G145" t="n">
        <v>3</v>
      </c>
      <c r="H145" t="n">
        <v>4</v>
      </c>
      <c r="I145" t="n">
        <v>2</v>
      </c>
      <c r="J145" t="n">
        <v>5</v>
      </c>
      <c r="K145" t="n">
        <v>14</v>
      </c>
      <c r="L145" t="n">
        <v>0.769</v>
      </c>
      <c r="M145" t="n">
        <v>35</v>
      </c>
      <c r="N145" t="n">
        <v>78.06</v>
      </c>
      <c r="O145" t="inlineStr"/>
      <c r="P145" t="inlineStr">
        <is>
          <t>AC2, AC14</t>
        </is>
      </c>
      <c r="Q145" t="n">
        <v>0</v>
      </c>
      <c r="R145" t="n">
        <v>1</v>
      </c>
      <c r="S145" t="n">
        <v>0</v>
      </c>
      <c r="T145" t="inlineStr"/>
      <c r="U145" t="inlineStr"/>
      <c r="V145" t="inlineStr"/>
      <c r="W14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6">
      <c r="A146" t="n">
        <v>145</v>
      </c>
      <c r="B146" t="n">
        <v>49</v>
      </c>
      <c r="C146" t="n">
        <v>3</v>
      </c>
      <c r="D146" t="n">
        <v>6</v>
      </c>
      <c r="E146" t="inlineStr">
        <is>
          <t>La corriente es la misma en todas las resistencias porque es un circuito serie</t>
        </is>
      </c>
      <c r="F146" t="inlineStr">
        <is>
          <t>Si la corriente fluye de manera uniforme a través de cada resistencia en un circuito serie, ¿cómo afectaría esto a la tensión total medida a través del circuito, considerando las diferentes resistencias presentes?</t>
        </is>
      </c>
      <c r="G146" t="n">
        <v>3</v>
      </c>
      <c r="H146" t="n">
        <v>4</v>
      </c>
      <c r="I146" t="n">
        <v>4</v>
      </c>
      <c r="J146" t="n">
        <v>5</v>
      </c>
      <c r="K146" t="n">
        <v>16</v>
      </c>
      <c r="L146" t="n">
        <v>0.803</v>
      </c>
      <c r="M146" t="n">
        <v>40</v>
      </c>
      <c r="N146" t="n">
        <v>74.69</v>
      </c>
      <c r="O146" t="inlineStr"/>
      <c r="P146" t="inlineStr">
        <is>
          <t>AC2, AC14</t>
        </is>
      </c>
      <c r="Q146" t="n">
        <v>0</v>
      </c>
      <c r="R146" t="n">
        <v>1</v>
      </c>
      <c r="S146" t="n">
        <v>0</v>
      </c>
      <c r="T146" t="inlineStr"/>
      <c r="U146" t="inlineStr"/>
      <c r="V146" t="inlineStr"/>
      <c r="W14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7">
      <c r="A147" t="n">
        <v>146</v>
      </c>
      <c r="B147" t="n">
        <v>50</v>
      </c>
      <c r="C147" t="n">
        <v>1</v>
      </c>
      <c r="D147" t="n">
        <v>6</v>
      </c>
      <c r="E147" t="inlineStr">
        <is>
          <t>En R1 ya que es la primera resistencia</t>
        </is>
      </c>
      <c r="F147" t="inlineStr">
        <is>
          <t>Considerando que todas las resistencias están conectadas en serie, ¿qué implicaría que la corriente fluye a través de una única trayectoria para todos los componentes del circuito, y por qué eso afectaría la magnitud de la corriente en cada resistencia individual?</t>
        </is>
      </c>
      <c r="G147" t="n">
        <v>3</v>
      </c>
      <c r="H147" t="n">
        <v>4</v>
      </c>
      <c r="I147" t="n">
        <v>2</v>
      </c>
      <c r="J147" t="n">
        <v>5</v>
      </c>
      <c r="K147" t="n">
        <v>14</v>
      </c>
      <c r="L147" t="n">
        <v>0.853</v>
      </c>
      <c r="M147" t="n">
        <v>51</v>
      </c>
      <c r="N147" t="n">
        <v>70.3</v>
      </c>
      <c r="O147" t="inlineStr">
        <is>
          <t>AC2, AC14</t>
        </is>
      </c>
      <c r="P147" t="inlineStr">
        <is>
          <t>AC2, AC14</t>
        </is>
      </c>
      <c r="Q147" t="n">
        <v>1</v>
      </c>
      <c r="R147" t="n">
        <v>1</v>
      </c>
      <c r="S147" t="n">
        <v>1</v>
      </c>
      <c r="T147" t="inlineStr"/>
      <c r="U147" t="inlineStr"/>
      <c r="V147" t="inlineStr"/>
      <c r="W14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8">
      <c r="A148" t="n">
        <v>147</v>
      </c>
      <c r="B148" t="n">
        <v>50</v>
      </c>
      <c r="C148" t="n">
        <v>2</v>
      </c>
      <c r="D148" t="n">
        <v>6</v>
      </c>
      <c r="E148" t="inlineStr">
        <is>
          <t>En R1 ya que la corriente se va consumiendo en las resistencias</t>
        </is>
      </c>
      <c r="F148" t="inlineStr">
        <is>
          <t>Si la corriente "se consume" en las resistencias, ¿cómo afectaría la resistencia de cada componente a la cantidad de corriente que fluye a través de ella, y por qué es importante considerar esta relación en un circuito en serie?</t>
        </is>
      </c>
      <c r="G148" t="n">
        <v>3</v>
      </c>
      <c r="H148" t="n">
        <v>4</v>
      </c>
      <c r="I148" t="n">
        <v>3</v>
      </c>
      <c r="J148" t="n">
        <v>5</v>
      </c>
      <c r="K148" t="n">
        <v>15</v>
      </c>
      <c r="L148" t="n">
        <v>0.801</v>
      </c>
      <c r="M148" t="n">
        <v>48</v>
      </c>
      <c r="N148" t="n">
        <v>74.93000000000001</v>
      </c>
      <c r="O148" t="inlineStr">
        <is>
          <t>AC2, AC14</t>
        </is>
      </c>
      <c r="P148" t="inlineStr">
        <is>
          <t>AC2, AC14</t>
        </is>
      </c>
      <c r="Q148" t="n">
        <v>1</v>
      </c>
      <c r="R148" t="n">
        <v>1</v>
      </c>
      <c r="S148" t="n">
        <v>1</v>
      </c>
      <c r="T148" t="inlineStr"/>
      <c r="U148" t="inlineStr"/>
      <c r="V148" t="inlineStr"/>
      <c r="W14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49">
      <c r="A149" t="n">
        <v>148</v>
      </c>
      <c r="B149" t="n">
        <v>50</v>
      </c>
      <c r="C149" t="n">
        <v>3</v>
      </c>
      <c r="D149" t="n">
        <v>6</v>
      </c>
      <c r="E149" t="inlineStr">
        <is>
          <t>En R1 ya que es la resistencia que está conectada a la fuente</t>
        </is>
      </c>
      <c r="F149" t="inlineStr">
        <is>
          <t>Si la fuente de voltaje suministra energía al circuito, ¿cómo influye la resistencia en la capacidad de una componente para restringir o permitir el flujo de esa energía, y por qué es crucial entender esta interacción para el comportamiento del circuito?</t>
        </is>
      </c>
      <c r="G149" t="n">
        <v>3</v>
      </c>
      <c r="H149" t="n">
        <v>3</v>
      </c>
      <c r="I149" t="n">
        <v>3</v>
      </c>
      <c r="J149" t="n">
        <v>5</v>
      </c>
      <c r="K149" t="n">
        <v>14</v>
      </c>
      <c r="L149" t="n">
        <v>0.84</v>
      </c>
      <c r="M149" t="n">
        <v>49</v>
      </c>
      <c r="N149" t="n">
        <v>71.41</v>
      </c>
      <c r="O149" t="inlineStr">
        <is>
          <t>AC2, AC14</t>
        </is>
      </c>
      <c r="P149" t="inlineStr">
        <is>
          <t>AC2</t>
        </is>
      </c>
      <c r="Q149" t="n">
        <v>1</v>
      </c>
      <c r="R149" t="n">
        <v>0.5</v>
      </c>
      <c r="S149" t="n">
        <v>0.667</v>
      </c>
      <c r="T149" t="inlineStr"/>
      <c r="U149" t="inlineStr"/>
      <c r="V149" t="inlineStr"/>
      <c r="W14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50">
      <c r="A150" t="n">
        <v>149</v>
      </c>
      <c r="B150" t="n">
        <v>51</v>
      </c>
      <c r="C150" t="n">
        <v>1</v>
      </c>
      <c r="D150" t="n">
        <v>6</v>
      </c>
      <c r="E150" t="inlineStr">
        <is>
          <t>En R6 ya que es la resistencia que está conectada a la fuente</t>
        </is>
      </c>
      <c r="F150" t="inlineStr">
        <is>
          <t>Si todas las resistencias están conectadas en serie, ¿no significa eso que cada componente del circuito comparte la misma corriente a través de sí mismo, independientemente de su posición en la cadena ?</t>
        </is>
      </c>
      <c r="G150" t="n">
        <v>3</v>
      </c>
      <c r="H150" t="n">
        <v>4</v>
      </c>
      <c r="I150" t="n">
        <v>3</v>
      </c>
      <c r="J150" t="n">
        <v>5</v>
      </c>
      <c r="K150" t="n">
        <v>15</v>
      </c>
      <c r="L150" t="n">
        <v>0.825</v>
      </c>
      <c r="M150" t="n">
        <v>39</v>
      </c>
      <c r="N150" t="n">
        <v>72.73999999999999</v>
      </c>
      <c r="O150" t="inlineStr">
        <is>
          <t>AC2, AC14</t>
        </is>
      </c>
      <c r="P150" t="inlineStr">
        <is>
          <t>AC2, AC14</t>
        </is>
      </c>
      <c r="Q150" t="n">
        <v>1</v>
      </c>
      <c r="R150" t="n">
        <v>1</v>
      </c>
      <c r="S150" t="n">
        <v>1</v>
      </c>
      <c r="T150" t="inlineStr"/>
      <c r="U150" t="inlineStr"/>
      <c r="V150" t="inlineStr"/>
      <c r="W15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1">
      <c r="A151" t="n">
        <v>150</v>
      </c>
      <c r="B151" t="n">
        <v>51</v>
      </c>
      <c r="C151" t="n">
        <v>2</v>
      </c>
      <c r="D151" t="n">
        <v>6</v>
      </c>
      <c r="E151" t="inlineStr">
        <is>
          <t>En R2 porque es una de las primeras resistencias</t>
        </is>
      </c>
      <c r="F151" t="inlineStr">
        <is>
          <t>Si consideramos que la corriente debe fluir a través de cada componente para completar el circuito, ¿no es lógico que la resistencia que ofrece mayor oposición al flujo de corriente sea la que limite esa corriente en ese nodo específico ?</t>
        </is>
      </c>
      <c r="G151" t="n">
        <v>2</v>
      </c>
      <c r="H151" t="n">
        <v>3</v>
      </c>
      <c r="I151" t="n">
        <v>2</v>
      </c>
      <c r="J151" t="n">
        <v>5</v>
      </c>
      <c r="K151" t="n">
        <v>12</v>
      </c>
      <c r="L151" t="n">
        <v>0.8179999999999999</v>
      </c>
      <c r="M151" t="n">
        <v>45</v>
      </c>
      <c r="N151" t="n">
        <v>73.38</v>
      </c>
      <c r="O151" t="inlineStr">
        <is>
          <t>AC2, AC14</t>
        </is>
      </c>
      <c r="P151" t="inlineStr">
        <is>
          <t>AC2</t>
        </is>
      </c>
      <c r="Q151" t="n">
        <v>1</v>
      </c>
      <c r="R151" t="n">
        <v>0.5</v>
      </c>
      <c r="S151" t="n">
        <v>0.667</v>
      </c>
      <c r="T151" t="inlineStr"/>
      <c r="U151" t="inlineStr"/>
      <c r="V151" t="inlineStr"/>
      <c r="W151" t="inlineStr">
        <is>
          <t>Socratic quality 2/5 (Closed questions): Closed question: the answer is already implicit in the question. Conceptual precision 3/5 (Sufficient): Sufficient: identifies that there is an error and uses correct concepts, but the diagnosis is somewhat vague. Acceptable performance; needs to improve precision or socratic methodology.</t>
        </is>
      </c>
    </row>
    <row r="152">
      <c r="A152" t="n">
        <v>151</v>
      </c>
      <c r="B152" t="n">
        <v>51</v>
      </c>
      <c r="C152" t="n">
        <v>3</v>
      </c>
      <c r="D152" t="n">
        <v>6</v>
      </c>
      <c r="E152" t="inlineStr">
        <is>
          <t>En R1 porque todas las resistencias están conectadas en serie</t>
        </is>
      </c>
      <c r="F152" t="inlineStr">
        <is>
          <t>Considerando que la corriente debe ser constante en un circuito en serie, ¿no es la resistencia la característica que determina la magnitud de esa corriente, y cómo se relaciona eso con la ley de Ohm ?</t>
        </is>
      </c>
      <c r="G152" t="n">
        <v>2</v>
      </c>
      <c r="H152" t="n">
        <v>4</v>
      </c>
      <c r="I152" t="n">
        <v>3</v>
      </c>
      <c r="J152" t="n">
        <v>5</v>
      </c>
      <c r="K152" t="n">
        <v>14</v>
      </c>
      <c r="L152" t="n">
        <v>0.8159999999999999</v>
      </c>
      <c r="M152" t="n">
        <v>41</v>
      </c>
      <c r="N152" t="n">
        <v>73.5</v>
      </c>
      <c r="O152" t="inlineStr">
        <is>
          <t>AC2, AC14</t>
        </is>
      </c>
      <c r="P152" t="inlineStr">
        <is>
          <t>AC2, AC14</t>
        </is>
      </c>
      <c r="Q152" t="n">
        <v>1</v>
      </c>
      <c r="R152" t="n">
        <v>1</v>
      </c>
      <c r="S152" t="n">
        <v>1</v>
      </c>
      <c r="T152" t="inlineStr"/>
      <c r="U152" t="inlineStr"/>
      <c r="V152" t="inlineStr"/>
      <c r="W152" t="inlineStr">
        <is>
          <t>Socratic quality 2/5 (Closed questions): Closed question: the answer is already implicit in the question. Conceptual precision 4/5 (Good): Good: clearly identifies the alternative conception with precise technical language. Good overall performance; room for improvement in socratic depth.</t>
        </is>
      </c>
    </row>
    <row r="153">
      <c r="A153" t="n">
        <v>152</v>
      </c>
      <c r="B153" t="n">
        <v>52</v>
      </c>
      <c r="C153" t="n">
        <v>1</v>
      </c>
      <c r="D153" t="n">
        <v>6</v>
      </c>
      <c r="E153" t="inlineStr">
        <is>
          <t>En R1 porque todas las resistencias están conectadas en paralelo</t>
        </is>
      </c>
      <c r="F153" t="inlineStr">
        <is>
          <t>Considerando que todas las resistencias están conectadas en serie, ¿podría explicar cómo la corriente fluye a través de cada componente en una cadena en serie?</t>
        </is>
      </c>
      <c r="G153" t="n">
        <v>3</v>
      </c>
      <c r="H153" t="n">
        <v>4</v>
      </c>
      <c r="I153" t="n">
        <v>3</v>
      </c>
      <c r="J153" t="n">
        <v>5</v>
      </c>
      <c r="K153" t="n">
        <v>15</v>
      </c>
      <c r="L153" t="n">
        <v>0.762</v>
      </c>
      <c r="M153" t="n">
        <v>33</v>
      </c>
      <c r="N153" t="n">
        <v>78.75</v>
      </c>
      <c r="O153" t="inlineStr">
        <is>
          <t>AC2, AC14</t>
        </is>
      </c>
      <c r="P153" t="inlineStr">
        <is>
          <t>AC2, AC14</t>
        </is>
      </c>
      <c r="Q153" t="n">
        <v>1</v>
      </c>
      <c r="R153" t="n">
        <v>1</v>
      </c>
      <c r="S153" t="n">
        <v>1</v>
      </c>
      <c r="T153" t="inlineStr"/>
      <c r="U153" t="inlineStr"/>
      <c r="V153" t="inlineStr"/>
      <c r="W153"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4">
      <c r="A154" t="n">
        <v>153</v>
      </c>
      <c r="B154" t="n">
        <v>52</v>
      </c>
      <c r="C154" t="n">
        <v>2</v>
      </c>
      <c r="D154" t="n">
        <v>6</v>
      </c>
      <c r="E154" t="inlineStr">
        <is>
          <t>En R6 porque es la última resistencia</t>
        </is>
      </c>
      <c r="F154" t="inlineStr">
        <is>
          <t>Si la corriente debe fluir a través de cada resistencia en serie, ¿qué efecto tiene la resistencia de R6 en comparación con las resistencias que están antes en la cadena?</t>
        </is>
      </c>
      <c r="G154" t="n">
        <v>3</v>
      </c>
      <c r="H154" t="n">
        <v>4</v>
      </c>
      <c r="I154" t="n">
        <v>4</v>
      </c>
      <c r="J154" t="n">
        <v>5</v>
      </c>
      <c r="K154" t="n">
        <v>16</v>
      </c>
      <c r="L154" t="n">
        <v>0.73</v>
      </c>
      <c r="M154" t="n">
        <v>36</v>
      </c>
      <c r="N154" t="n">
        <v>82.25</v>
      </c>
      <c r="O154" t="inlineStr">
        <is>
          <t>AC2, AC14</t>
        </is>
      </c>
      <c r="P154" t="inlineStr">
        <is>
          <t>AC2, AC14</t>
        </is>
      </c>
      <c r="Q154" t="n">
        <v>1</v>
      </c>
      <c r="R154" t="n">
        <v>1</v>
      </c>
      <c r="S154" t="n">
        <v>1</v>
      </c>
      <c r="T154" t="inlineStr"/>
      <c r="U154" t="inlineStr"/>
      <c r="V154" t="inlineStr"/>
      <c r="W15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5">
      <c r="A155" t="n">
        <v>154</v>
      </c>
      <c r="B155" t="n">
        <v>52</v>
      </c>
      <c r="C155" t="n">
        <v>3</v>
      </c>
      <c r="D155" t="n">
        <v>6</v>
      </c>
      <c r="E155" t="inlineStr">
        <is>
          <t>En R3</t>
        </is>
      </c>
      <c r="F155" t="inlineStr">
        <is>
          <t>Si consideramos el flujo de corriente a través de cada componente en serie, ¿cómo afectaría el valor de la resistencia de R3 al total de la resistencia en el circuito?</t>
        </is>
      </c>
      <c r="G155" t="n">
        <v>3</v>
      </c>
      <c r="H155" t="n">
        <v>4</v>
      </c>
      <c r="I155" t="n">
        <v>2</v>
      </c>
      <c r="J155" t="n">
        <v>2</v>
      </c>
      <c r="K155" t="n">
        <v>11</v>
      </c>
      <c r="L155" t="n">
        <v>0.737</v>
      </c>
      <c r="M155" t="n">
        <v>36</v>
      </c>
      <c r="N155" t="n">
        <v>81.44</v>
      </c>
      <c r="O155" t="inlineStr">
        <is>
          <t>AC2, AC14</t>
        </is>
      </c>
      <c r="P155" t="inlineStr">
        <is>
          <t>AC2, AC14</t>
        </is>
      </c>
      <c r="Q155" t="n">
        <v>1</v>
      </c>
      <c r="R155" t="n">
        <v>1</v>
      </c>
      <c r="S155" t="n">
        <v>1</v>
      </c>
      <c r="T155" t="inlineStr"/>
      <c r="U155" t="inlineStr"/>
      <c r="V155" t="inlineStr"/>
      <c r="W155" t="inlineStr">
        <is>
          <t>Socratic quality 3/5 (Clarification): Generic question: asks for clarification without attacking the root error. Conceptual precision 4/5 (Good): Good: clearly identifies the alternative conception with precise technical language. Acceptable performance; needs to improve precision or socratic methodology.</t>
        </is>
      </c>
    </row>
    <row r="156">
      <c r="A156" t="n">
        <v>155</v>
      </c>
      <c r="B156" t="n">
        <v>53</v>
      </c>
      <c r="C156" t="n">
        <v>1</v>
      </c>
      <c r="D156" t="n">
        <v>6</v>
      </c>
      <c r="E156" t="inlineStr">
        <is>
          <t>En R4</t>
        </is>
      </c>
      <c r="F156" t="inlineStr">
        <is>
          <t>Considerando que todas las resistencias están conectadas en serie, ¿qué implicaría la presencia de una única trayectoria para la corriente a través de cada componente?</t>
        </is>
      </c>
      <c r="G156" t="n">
        <v>3</v>
      </c>
      <c r="H156" t="n">
        <v>4</v>
      </c>
      <c r="I156" t="n">
        <v>2</v>
      </c>
      <c r="J156" t="n">
        <v>5</v>
      </c>
      <c r="K156" t="n">
        <v>14</v>
      </c>
      <c r="L156" t="n">
        <v>0.703</v>
      </c>
      <c r="M156" t="n">
        <v>32</v>
      </c>
      <c r="N156" t="n">
        <v>85.41</v>
      </c>
      <c r="O156" t="inlineStr">
        <is>
          <t>AC2, AC14</t>
        </is>
      </c>
      <c r="P156" t="inlineStr">
        <is>
          <t>AC2, AC14</t>
        </is>
      </c>
      <c r="Q156" t="n">
        <v>1</v>
      </c>
      <c r="R156" t="n">
        <v>1</v>
      </c>
      <c r="S156" t="n">
        <v>1</v>
      </c>
      <c r="T156" t="inlineStr"/>
      <c r="U156" t="inlineStr"/>
      <c r="V156" t="inlineStr"/>
      <c r="W15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57">
      <c r="A157" t="n">
        <v>156</v>
      </c>
      <c r="B157" t="n">
        <v>53</v>
      </c>
      <c r="C157" t="n">
        <v>2</v>
      </c>
      <c r="D157" t="n">
        <v>6</v>
      </c>
      <c r="E157" t="inlineStr">
        <is>
          <t>En R5</t>
        </is>
      </c>
      <c r="F157" t="inlineStr">
        <is>
          <t>Si la corriente fluye a través de R5, ¿cómo crees que afectaría eso al flujo de corriente a través de los nodos conectados a R4?</t>
        </is>
      </c>
      <c r="G157" t="n">
        <v>3</v>
      </c>
      <c r="H157" t="n">
        <v>3</v>
      </c>
      <c r="I157" t="n">
        <v>2</v>
      </c>
      <c r="J157" t="n">
        <v>1</v>
      </c>
      <c r="K157" t="n">
        <v>9</v>
      </c>
      <c r="L157" t="n">
        <v>0.744</v>
      </c>
      <c r="M157" t="n">
        <v>34</v>
      </c>
      <c r="N157" t="n">
        <v>80.62</v>
      </c>
      <c r="O157" t="inlineStr">
        <is>
          <t>AC2, AC14</t>
        </is>
      </c>
      <c r="P157" t="inlineStr">
        <is>
          <t>AC2</t>
        </is>
      </c>
      <c r="Q157" t="n">
        <v>1</v>
      </c>
      <c r="R157" t="n">
        <v>0.5</v>
      </c>
      <c r="S157" t="n">
        <v>0.667</v>
      </c>
      <c r="T157" t="inlineStr"/>
      <c r="U157" t="inlineStr"/>
      <c r="V157" t="inlineStr"/>
      <c r="W157" t="inlineStr">
        <is>
          <t>Socratic quality 3/5 (Clarification): Generic question: asks for clarification without attacking the root error. Conceptual precision 3/5 (Sufficient): Sufficient: identifies that there is an error and uses correct concepts, but the diagnosis is somewhat vague. Acceptable performance; needs to improve precision or socratic methodology.</t>
        </is>
      </c>
    </row>
    <row r="158">
      <c r="A158" t="n">
        <v>157</v>
      </c>
      <c r="B158" t="n">
        <v>53</v>
      </c>
      <c r="C158" t="n">
        <v>3</v>
      </c>
      <c r="D158" t="n">
        <v>6</v>
      </c>
      <c r="E158" t="inlineStr">
        <is>
          <t>En R1</t>
        </is>
      </c>
      <c r="F158" t="inlineStr">
        <is>
          <t>Considerando que la corriente debe seguir un camino desde la fuente hasta la carga, ¿cómo se relaciona la resistencia de R1 con la cantidad de corriente que fluye a través del circuito?</t>
        </is>
      </c>
      <c r="G158" t="n">
        <v>3</v>
      </c>
      <c r="H158" t="n">
        <v>3</v>
      </c>
      <c r="I158" t="n">
        <v>2</v>
      </c>
      <c r="J158" t="n">
        <v>5</v>
      </c>
      <c r="K158" t="n">
        <v>13</v>
      </c>
      <c r="L158" t="n">
        <v>0.723</v>
      </c>
      <c r="M158" t="n">
        <v>39</v>
      </c>
      <c r="N158" t="n">
        <v>83.04000000000001</v>
      </c>
      <c r="O158" t="inlineStr">
        <is>
          <t>AC2, AC14</t>
        </is>
      </c>
      <c r="P158" t="inlineStr">
        <is>
          <t>AC2</t>
        </is>
      </c>
      <c r="Q158" t="n">
        <v>1</v>
      </c>
      <c r="R158" t="n">
        <v>0.5</v>
      </c>
      <c r="S158" t="n">
        <v>0.667</v>
      </c>
      <c r="T158" t="inlineStr"/>
      <c r="U158" t="inlineStr"/>
      <c r="V158" t="inlineStr"/>
      <c r="W158"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59">
      <c r="A159" t="n">
        <v>158</v>
      </c>
      <c r="B159" t="n">
        <v>54</v>
      </c>
      <c r="C159" t="n">
        <v>1</v>
      </c>
      <c r="D159" t="n">
        <v>6</v>
      </c>
      <c r="E159" t="inlineStr">
        <is>
          <t>En R2</t>
        </is>
      </c>
      <c r="F159" t="inlineStr">
        <is>
          <t>Considerando que todas las resistencias están conectadas en serie, ¿qué implicaría que la corriente fluye a través de una sola ruta en el circuito para llegar a la carga?</t>
        </is>
      </c>
      <c r="G159" t="n">
        <v>3</v>
      </c>
      <c r="H159" t="n">
        <v>4</v>
      </c>
      <c r="I159" t="n">
        <v>2</v>
      </c>
      <c r="J159" t="n">
        <v>5</v>
      </c>
      <c r="K159" t="n">
        <v>14</v>
      </c>
      <c r="L159" t="n">
        <v>0.754</v>
      </c>
      <c r="M159" t="n">
        <v>37</v>
      </c>
      <c r="N159" t="n">
        <v>79.54000000000001</v>
      </c>
      <c r="O159" t="inlineStr">
        <is>
          <t>AC2, AC14</t>
        </is>
      </c>
      <c r="P159" t="inlineStr">
        <is>
          <t>AC2, AC14</t>
        </is>
      </c>
      <c r="Q159" t="n">
        <v>1</v>
      </c>
      <c r="R159" t="n">
        <v>1</v>
      </c>
      <c r="S159" t="n">
        <v>1</v>
      </c>
      <c r="T159" t="inlineStr"/>
      <c r="U159" t="inlineStr"/>
      <c r="V159" t="inlineStr"/>
      <c r="W15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0">
      <c r="A160" t="n">
        <v>159</v>
      </c>
      <c r="B160" t="n">
        <v>54</v>
      </c>
      <c r="C160" t="n">
        <v>2</v>
      </c>
      <c r="D160" t="n">
        <v>6</v>
      </c>
      <c r="E160" t="inlineStr">
        <is>
          <t>En R1 y R2 pasa más corriente que en el resto</t>
        </is>
      </c>
      <c r="F160" t="inlineStr">
        <is>
          <t>Si la corriente es la misma en todos los componentes en serie, ¿qué característica de la resistencia afectaría directamente la cantidad de corriente que fluye a través de R2?</t>
        </is>
      </c>
      <c r="G160" t="n">
        <v>3</v>
      </c>
      <c r="H160" t="n">
        <v>4</v>
      </c>
      <c r="I160" t="n">
        <v>4</v>
      </c>
      <c r="J160" t="n">
        <v>2</v>
      </c>
      <c r="K160" t="n">
        <v>13</v>
      </c>
      <c r="L160" t="n">
        <v>0.74</v>
      </c>
      <c r="M160" t="n">
        <v>36</v>
      </c>
      <c r="N160" t="n">
        <v>81.09</v>
      </c>
      <c r="O160" t="inlineStr">
        <is>
          <t>AC2, AC14</t>
        </is>
      </c>
      <c r="P160" t="inlineStr">
        <is>
          <t>AC2, AC14</t>
        </is>
      </c>
      <c r="Q160" t="n">
        <v>1</v>
      </c>
      <c r="R160" t="n">
        <v>1</v>
      </c>
      <c r="S160" t="n">
        <v>1</v>
      </c>
      <c r="T160" t="inlineStr"/>
      <c r="U160" t="inlineStr"/>
      <c r="V160" t="inlineStr"/>
      <c r="W16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1">
      <c r="A161" t="n">
        <v>160</v>
      </c>
      <c r="B161" t="n">
        <v>54</v>
      </c>
      <c r="C161" t="n">
        <v>3</v>
      </c>
      <c r="D161" t="n">
        <v>6</v>
      </c>
      <c r="E161" t="inlineStr">
        <is>
          <t>En R2 y R3 pasa más corriente que en el resto</t>
        </is>
      </c>
      <c r="F161" t="inlineStr">
        <is>
          <t>Si la Ley de Ohm establece una relación directa entre voltaje y corriente, ¿qué factor podría estar causando que la corriente sea mayor a través de R2 y R3 en comparación con R1?</t>
        </is>
      </c>
      <c r="G161" t="n">
        <v>3</v>
      </c>
      <c r="H161" t="n">
        <v>3</v>
      </c>
      <c r="I161" t="n">
        <v>5</v>
      </c>
      <c r="J161" t="n">
        <v>1</v>
      </c>
      <c r="K161" t="n">
        <v>12</v>
      </c>
      <c r="L161" t="n">
        <v>0.739</v>
      </c>
      <c r="M161" t="n">
        <v>40</v>
      </c>
      <c r="N161" t="n">
        <v>81.23999999999999</v>
      </c>
      <c r="O161" t="inlineStr">
        <is>
          <t>AC2, AC14</t>
        </is>
      </c>
      <c r="P161" t="inlineStr">
        <is>
          <t>AC2</t>
        </is>
      </c>
      <c r="Q161" t="n">
        <v>1</v>
      </c>
      <c r="R161" t="n">
        <v>0.5</v>
      </c>
      <c r="S161" t="n">
        <v>0.667</v>
      </c>
      <c r="T161" t="inlineStr"/>
      <c r="U161" t="inlineStr"/>
      <c r="V161" t="inlineStr"/>
      <c r="W161" t="inlineStr">
        <is>
          <t>Socratic quality 3/5 (Clarification): Generic question: asks for clarification without attacking the root error. Conceptual precision 3/5 (Sufficient): Sufficient: identifies that there is an error and uses correct concepts, but the diagnosis is somewhat vague. Acceptable performance; needs to improve precision or socratic methodology.</t>
        </is>
      </c>
    </row>
    <row r="162">
      <c r="A162" t="n">
        <v>161</v>
      </c>
      <c r="B162" t="n">
        <v>55</v>
      </c>
      <c r="C162" t="n">
        <v>1</v>
      </c>
      <c r="D162" t="n">
        <v>6</v>
      </c>
      <c r="E162" t="inlineStr">
        <is>
          <t>En R3 y R4 pasa más corriente que en el resto</t>
        </is>
      </c>
      <c r="F162" t="inlineStr">
        <is>
          <t>Considerando que todas las resistencias están conectadas en serie, ¿comparten todos los nodos el mismo potencial eléctrico y, por lo tanto, la misma corriente?</t>
        </is>
      </c>
      <c r="G162" t="n">
        <v>3</v>
      </c>
      <c r="H162" t="n">
        <v>4</v>
      </c>
      <c r="I162" t="n">
        <v>3</v>
      </c>
      <c r="J162" t="n">
        <v>5</v>
      </c>
      <c r="K162" t="n">
        <v>15</v>
      </c>
      <c r="L162" t="n">
        <v>0.721</v>
      </c>
      <c r="M162" t="n">
        <v>33</v>
      </c>
      <c r="N162" t="n">
        <v>83.19</v>
      </c>
      <c r="O162" t="inlineStr">
        <is>
          <t>AC2, AC14</t>
        </is>
      </c>
      <c r="P162" t="inlineStr">
        <is>
          <t>AC2, AC14</t>
        </is>
      </c>
      <c r="Q162" t="n">
        <v>1</v>
      </c>
      <c r="R162" t="n">
        <v>1</v>
      </c>
      <c r="S162" t="n">
        <v>1</v>
      </c>
      <c r="T162" t="inlineStr"/>
      <c r="U162" t="inlineStr"/>
      <c r="V162" t="inlineStr"/>
      <c r="W16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3">
      <c r="A163" t="n">
        <v>162</v>
      </c>
      <c r="B163" t="n">
        <v>55</v>
      </c>
      <c r="C163" t="n">
        <v>2</v>
      </c>
      <c r="D163" t="n">
        <v>6</v>
      </c>
      <c r="E163" t="inlineStr">
        <is>
          <t>En R4 y R5 pasa más corriente que en el resto</t>
        </is>
      </c>
      <c r="F163" t="inlineStr">
        <is>
          <t>Si todas las resistencias en un circuito en serie comparten el mismo flujo de electrones, ¿qué factor podría estar causando que R4 y R5 experimenten un aumento en la corriente en comparación con las otras resistencias?</t>
        </is>
      </c>
      <c r="G163" t="n">
        <v>3</v>
      </c>
      <c r="H163" t="n">
        <v>4</v>
      </c>
      <c r="I163" t="n">
        <v>5</v>
      </c>
      <c r="J163" t="n">
        <v>1</v>
      </c>
      <c r="K163" t="n">
        <v>13</v>
      </c>
      <c r="L163" t="n">
        <v>0.8139999999999999</v>
      </c>
      <c r="M163" t="n">
        <v>44</v>
      </c>
      <c r="N163" t="n">
        <v>73.75</v>
      </c>
      <c r="O163" t="inlineStr">
        <is>
          <t>AC2, AC14</t>
        </is>
      </c>
      <c r="P163" t="inlineStr">
        <is>
          <t>AC2, AC14</t>
        </is>
      </c>
      <c r="Q163" t="n">
        <v>1</v>
      </c>
      <c r="R163" t="n">
        <v>1</v>
      </c>
      <c r="S163" t="n">
        <v>1</v>
      </c>
      <c r="T163" t="inlineStr"/>
      <c r="U163" t="inlineStr"/>
      <c r="V163" t="inlineStr"/>
      <c r="W163"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4">
      <c r="A164" t="n">
        <v>163</v>
      </c>
      <c r="B164" t="n">
        <v>55</v>
      </c>
      <c r="C164" t="n">
        <v>3</v>
      </c>
      <c r="D164" t="n">
        <v>6</v>
      </c>
      <c r="E164" t="inlineStr">
        <is>
          <t>En R5 y R6 pasa más corriente que en el resto</t>
        </is>
      </c>
      <c r="F164" t="inlineStr">
        <is>
          <t>Considerando que la corriente debe fluir a través de cada componente en serie, ¿podría haber alguna diferencia en la resistencia que esté afectando la distribución de la corriente en este segmento del circuito?</t>
        </is>
      </c>
      <c r="G164" t="n">
        <v>3</v>
      </c>
      <c r="H164" t="n">
        <v>4</v>
      </c>
      <c r="I164" t="n">
        <v>3</v>
      </c>
      <c r="J164" t="n">
        <v>5</v>
      </c>
      <c r="K164" t="n">
        <v>15</v>
      </c>
      <c r="L164" t="n">
        <v>0.742</v>
      </c>
      <c r="M164" t="n">
        <v>41</v>
      </c>
      <c r="N164" t="n">
        <v>80.81999999999999</v>
      </c>
      <c r="O164" t="inlineStr">
        <is>
          <t>AC2, AC14</t>
        </is>
      </c>
      <c r="P164" t="inlineStr">
        <is>
          <t>AC2, AC14</t>
        </is>
      </c>
      <c r="Q164" t="n">
        <v>1</v>
      </c>
      <c r="R164" t="n">
        <v>1</v>
      </c>
      <c r="S164" t="n">
        <v>1</v>
      </c>
      <c r="T164" t="inlineStr"/>
      <c r="U164" t="inlineStr"/>
      <c r="V164" t="inlineStr"/>
      <c r="W16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5">
      <c r="A165" t="n">
        <v>164</v>
      </c>
      <c r="B165" t="n">
        <v>56</v>
      </c>
      <c r="C165" t="n">
        <v>1</v>
      </c>
      <c r="D165" t="n">
        <v>6</v>
      </c>
      <c r="E165" t="inlineStr">
        <is>
          <t>Todas las resistencias forman un divisor de corriente</t>
        </is>
      </c>
      <c r="F165" t="inlineStr">
        <is>
          <t>Considerando que todas las resistencias están interconectadas en serie, ¿qué implicaría que un divisor de corriente está presente en este circuito?</t>
        </is>
      </c>
      <c r="G165" t="n">
        <v>3</v>
      </c>
      <c r="H165" t="n">
        <v>4</v>
      </c>
      <c r="I165" t="n">
        <v>4</v>
      </c>
      <c r="J165" t="n">
        <v>5</v>
      </c>
      <c r="K165" t="n">
        <v>16</v>
      </c>
      <c r="L165" t="n">
        <v>0.702</v>
      </c>
      <c r="M165" t="n">
        <v>29</v>
      </c>
      <c r="N165" t="n">
        <v>85.47</v>
      </c>
      <c r="O165" t="inlineStr"/>
      <c r="P165" t="inlineStr">
        <is>
          <t>AC2, AC14</t>
        </is>
      </c>
      <c r="Q165" t="n">
        <v>0</v>
      </c>
      <c r="R165" t="n">
        <v>1</v>
      </c>
      <c r="S165" t="n">
        <v>0</v>
      </c>
      <c r="T165" t="inlineStr"/>
      <c r="U165" t="inlineStr"/>
      <c r="V165" t="inlineStr"/>
      <c r="W165"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6">
      <c r="A166" t="n">
        <v>165</v>
      </c>
      <c r="B166" t="n">
        <v>56</v>
      </c>
      <c r="C166" t="n">
        <v>2</v>
      </c>
      <c r="D166" t="n">
        <v>6</v>
      </c>
      <c r="E166" t="inlineStr">
        <is>
          <t>Todas las resistencias formar un divisor de tensión</t>
        </is>
      </c>
      <c r="F166" t="inlineStr">
        <is>
          <t>Si las resistencias están en serie, ¿cómo afectaría la distribución del voltaje a través de cada una de ellas, y podría esto ser diferente a un divisor de corriente?</t>
        </is>
      </c>
      <c r="G166" t="n">
        <v>3</v>
      </c>
      <c r="H166" t="n">
        <v>4</v>
      </c>
      <c r="I166" t="n">
        <v>4</v>
      </c>
      <c r="J166" t="n">
        <v>5</v>
      </c>
      <c r="K166" t="n">
        <v>16</v>
      </c>
      <c r="L166" t="n">
        <v>0.702</v>
      </c>
      <c r="M166" t="n">
        <v>35</v>
      </c>
      <c r="N166" t="n">
        <v>85.48</v>
      </c>
      <c r="O166" t="inlineStr"/>
      <c r="P166" t="inlineStr">
        <is>
          <t>AC2, AC14</t>
        </is>
      </c>
      <c r="Q166" t="n">
        <v>0</v>
      </c>
      <c r="R166" t="n">
        <v>1</v>
      </c>
      <c r="S166" t="n">
        <v>0</v>
      </c>
      <c r="T166" t="inlineStr"/>
      <c r="U166" t="inlineStr"/>
      <c r="V166" t="inlineStr"/>
      <c r="W16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7">
      <c r="A167" t="n">
        <v>166</v>
      </c>
      <c r="B167" t="n">
        <v>56</v>
      </c>
      <c r="C167" t="n">
        <v>3</v>
      </c>
      <c r="D167" t="n">
        <v>6</v>
      </c>
      <c r="E167" t="inlineStr">
        <is>
          <t>Todas las resistencias están conectadas en paralelo</t>
        </is>
      </c>
      <c r="F167" t="inlineStr">
        <is>
          <t>Si las resistencias estuvieran conectadas en paralelo, ¿cómo cambiaría la relación entre la corriente que fluye a través de cada una y la tensión que se aplica a ellas, considerando que todas están en serie?</t>
        </is>
      </c>
      <c r="G167" t="n">
        <v>3</v>
      </c>
      <c r="H167" t="n">
        <v>4</v>
      </c>
      <c r="I167" t="n">
        <v>3</v>
      </c>
      <c r="J167" t="n">
        <v>5</v>
      </c>
      <c r="K167" t="n">
        <v>15</v>
      </c>
      <c r="L167" t="n">
        <v>0.8080000000000001</v>
      </c>
      <c r="M167" t="n">
        <v>44</v>
      </c>
      <c r="N167" t="n">
        <v>74.22</v>
      </c>
      <c r="O167" t="inlineStr"/>
      <c r="P167" t="inlineStr">
        <is>
          <t>AC2, AC14</t>
        </is>
      </c>
      <c r="Q167" t="n">
        <v>0</v>
      </c>
      <c r="R167" t="n">
        <v>1</v>
      </c>
      <c r="S167" t="n">
        <v>0</v>
      </c>
      <c r="T167" t="inlineStr"/>
      <c r="U167" t="inlineStr"/>
      <c r="V167" t="inlineStr"/>
      <c r="W16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8">
      <c r="A168" t="n">
        <v>167</v>
      </c>
      <c r="B168" t="n">
        <v>57</v>
      </c>
      <c r="C168" t="n">
        <v>1</v>
      </c>
      <c r="D168" t="n">
        <v>6</v>
      </c>
      <c r="E168" t="inlineStr">
        <is>
          <t>Todas las resistencias están conectadas en serie</t>
        </is>
      </c>
      <c r="F168" t="inlineStr">
        <is>
          <t>Si tienes dos resistencias conectadas en serie, ¿comparten los mismos dos puntos de conexión o tienen nodos separados que permiten flujos de corriente distintos?</t>
        </is>
      </c>
      <c r="G168" t="n">
        <v>3</v>
      </c>
      <c r="H168" t="n">
        <v>4</v>
      </c>
      <c r="I168" t="n">
        <v>4</v>
      </c>
      <c r="J168" t="n">
        <v>5</v>
      </c>
      <c r="K168" t="n">
        <v>16</v>
      </c>
      <c r="L168" t="n">
        <v>0.726</v>
      </c>
      <c r="M168" t="n">
        <v>31</v>
      </c>
      <c r="N168" t="n">
        <v>82.64</v>
      </c>
      <c r="O168" t="inlineStr"/>
      <c r="P168" t="inlineStr">
        <is>
          <t>AC2, AC14</t>
        </is>
      </c>
      <c r="Q168" t="n">
        <v>0</v>
      </c>
      <c r="R168" t="n">
        <v>1</v>
      </c>
      <c r="S168" t="n">
        <v>0</v>
      </c>
      <c r="T168" t="inlineStr"/>
      <c r="U168" t="inlineStr"/>
      <c r="V168" t="inlineStr"/>
      <c r="W16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69">
      <c r="A169" t="n">
        <v>168</v>
      </c>
      <c r="B169" t="n">
        <v>57</v>
      </c>
      <c r="C169" t="n">
        <v>2</v>
      </c>
      <c r="D169" t="n">
        <v>6</v>
      </c>
      <c r="E169" t="inlineStr">
        <is>
          <t>La corriente irá disminuyendo conforme atraviesa las resistencias</t>
        </is>
      </c>
      <c r="F169" t="inlineStr">
        <is>
          <t>Considerando que la corriente debe fluir a través de cada componente en un circuito en serie, ¿cómo crees que la presencia de resistencias diferentes afectaría la cantidad total de corriente que fluye a través del circuito?</t>
        </is>
      </c>
      <c r="G169" t="n">
        <v>3</v>
      </c>
      <c r="H169" t="n">
        <v>4</v>
      </c>
      <c r="I169" t="n">
        <v>4</v>
      </c>
      <c r="J169" t="n">
        <v>5</v>
      </c>
      <c r="K169" t="n">
        <v>16</v>
      </c>
      <c r="L169" t="n">
        <v>0.819</v>
      </c>
      <c r="M169" t="n">
        <v>45</v>
      </c>
      <c r="N169" t="n">
        <v>73.28</v>
      </c>
      <c r="O169" t="inlineStr"/>
      <c r="P169" t="inlineStr">
        <is>
          <t>AC2, AC14</t>
        </is>
      </c>
      <c r="Q169" t="n">
        <v>0</v>
      </c>
      <c r="R169" t="n">
        <v>1</v>
      </c>
      <c r="S169" t="n">
        <v>0</v>
      </c>
      <c r="T169" t="inlineStr"/>
      <c r="U169" t="inlineStr"/>
      <c r="V169" t="inlineStr"/>
      <c r="W16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70">
      <c r="A170" t="n">
        <v>169</v>
      </c>
      <c r="B170" t="n">
        <v>58</v>
      </c>
      <c r="C170" t="n">
        <v>1</v>
      </c>
      <c r="D170" t="n">
        <v>7</v>
      </c>
      <c r="E170" t="inlineStr">
        <is>
          <t>Por R1 ya que es la primera resistencia</t>
        </is>
      </c>
      <c r="F170" t="inlineStr">
        <is>
          <t>¿Considera que, al ser todas las resistencias iguales, la diferencia de potencial entre los nodos conectados a R1, R2 y R3 debe ser la misma, y si es así, ¿qué implicaría eso para la corriente que fluye a través de cada una?</t>
        </is>
      </c>
      <c r="G170" t="n">
        <v>3</v>
      </c>
      <c r="H170" t="n">
        <v>3</v>
      </c>
      <c r="I170" t="n">
        <v>3</v>
      </c>
      <c r="J170" t="n">
        <v>5</v>
      </c>
      <c r="K170" t="n">
        <v>14</v>
      </c>
      <c r="L170" t="n">
        <v>0.869</v>
      </c>
      <c r="M170" t="n">
        <v>57</v>
      </c>
      <c r="N170" t="n">
        <v>69.08</v>
      </c>
      <c r="O170" t="inlineStr">
        <is>
          <t>AC2</t>
        </is>
      </c>
      <c r="P170" t="inlineStr">
        <is>
          <t>AC2, AC14-near, AC14-series</t>
        </is>
      </c>
      <c r="Q170" t="n">
        <v>0.333</v>
      </c>
      <c r="R170" t="n">
        <v>1</v>
      </c>
      <c r="S170" t="n">
        <v>0.5</v>
      </c>
      <c r="T170" t="inlineStr"/>
      <c r="U170" t="inlineStr"/>
      <c r="V170" t="inlineStr"/>
      <c r="W17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1">
      <c r="A171" t="n">
        <v>170</v>
      </c>
      <c r="B171" t="n">
        <v>58</v>
      </c>
      <c r="C171" t="n">
        <v>2</v>
      </c>
      <c r="D171" t="n">
        <v>7</v>
      </c>
      <c r="E171" t="inlineStr">
        <is>
          <t>Por R1 ya que consume la corriente que genera la fuente</t>
        </is>
      </c>
      <c r="F171" t="inlineStr">
        <is>
          <t>Si la corriente fluye a través de R1 debido a su consumo, ¿podría explicar cómo esa misma corriente logra pasar a través de R2 y R3, considerando que ambos también están conectados a la misma fuente?</t>
        </is>
      </c>
      <c r="G171" t="n">
        <v>3</v>
      </c>
      <c r="H171" t="n">
        <v>2</v>
      </c>
      <c r="I171" t="n">
        <v>5</v>
      </c>
      <c r="J171" t="n">
        <v>5</v>
      </c>
      <c r="K171" t="n">
        <v>15</v>
      </c>
      <c r="L171" t="n">
        <v>0.791</v>
      </c>
      <c r="M171" t="n">
        <v>46</v>
      </c>
      <c r="N171" t="n">
        <v>75.89</v>
      </c>
      <c r="O171" t="inlineStr">
        <is>
          <t>AC2</t>
        </is>
      </c>
      <c r="P171" t="inlineStr">
        <is>
          <t>AC2, AC14-near</t>
        </is>
      </c>
      <c r="Q171" t="n">
        <v>0.5</v>
      </c>
      <c r="R171" t="n">
        <v>1</v>
      </c>
      <c r="S171" t="n">
        <v>0.667</v>
      </c>
      <c r="T171" t="inlineStr"/>
      <c r="U171" t="inlineStr"/>
      <c r="V171" t="inlineStr"/>
      <c r="W171" t="inlineStr">
        <is>
          <t>Socratic quality 3/5 (Clarification): Generic question: asks for clarification without attacking the root error. Conceptual precision 2/5 (Poor): Poor: responds generically without diagnosing the conceptual error. Good overall performance; room for improvement in socratic depth.</t>
        </is>
      </c>
    </row>
    <row r="172">
      <c r="A172" t="n">
        <v>171</v>
      </c>
      <c r="B172" t="n">
        <v>58</v>
      </c>
      <c r="C172" t="n">
        <v>3</v>
      </c>
      <c r="D172" t="n">
        <v>7</v>
      </c>
      <c r="E172" t="inlineStr">
        <is>
          <t>Por R1 ya que la corriente se la encuentra en primer lugar</t>
        </is>
      </c>
      <c r="F172" t="inlineStr">
        <is>
          <t>Si la corriente "se encuentra" en R1, ¿cómo crearía usted que la fuente de voltaje mantiene esa corriente fluyendo a través de las otras resistencias en el circuito, considerando que todas están conectadas en serie?</t>
        </is>
      </c>
      <c r="G172" t="n">
        <v>3</v>
      </c>
      <c r="H172" t="n">
        <v>3</v>
      </c>
      <c r="I172" t="n">
        <v>5</v>
      </c>
      <c r="J172" t="n">
        <v>5</v>
      </c>
      <c r="K172" t="n">
        <v>16</v>
      </c>
      <c r="L172" t="n">
        <v>0.796</v>
      </c>
      <c r="M172" t="n">
        <v>46</v>
      </c>
      <c r="N172" t="n">
        <v>75.36</v>
      </c>
      <c r="O172" t="inlineStr">
        <is>
          <t>AC2</t>
        </is>
      </c>
      <c r="P172" t="inlineStr">
        <is>
          <t>AC2, AC14-near, AC14-series</t>
        </is>
      </c>
      <c r="Q172" t="n">
        <v>0.333</v>
      </c>
      <c r="R172" t="n">
        <v>1</v>
      </c>
      <c r="S172" t="n">
        <v>0.5</v>
      </c>
      <c r="T172" t="inlineStr"/>
      <c r="U172" t="inlineStr"/>
      <c r="V172" t="inlineStr"/>
      <c r="W17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3">
      <c r="A173" t="n">
        <v>172</v>
      </c>
      <c r="B173" t="n">
        <v>59</v>
      </c>
      <c r="C173" t="n">
        <v>1</v>
      </c>
      <c r="D173" t="n">
        <v>7</v>
      </c>
      <c r="E173" t="inlineStr">
        <is>
          <t>Por R1 ya que está más cerca de la fuente</t>
        </is>
      </c>
      <c r="F173" t="inlineStr">
        <is>
          <t>Considerando que todas las resistencias tienen el mismo valor, ¿qué propiedad de las conexiones paralelas implica que todas las resistencias en este circuito recibirán la misma cantidad de corriente?</t>
        </is>
      </c>
      <c r="G173" t="n">
        <v>3</v>
      </c>
      <c r="H173" t="n">
        <v>3</v>
      </c>
      <c r="I173" t="n">
        <v>3</v>
      </c>
      <c r="J173" t="n">
        <v>5</v>
      </c>
      <c r="K173" t="n">
        <v>14</v>
      </c>
      <c r="L173" t="n">
        <v>0.756</v>
      </c>
      <c r="M173" t="n">
        <v>35</v>
      </c>
      <c r="N173" t="n">
        <v>79.31999999999999</v>
      </c>
      <c r="O173" t="inlineStr">
        <is>
          <t>AC2</t>
        </is>
      </c>
      <c r="P173" t="inlineStr">
        <is>
          <t>AC2, AC14-near, AC14-series</t>
        </is>
      </c>
      <c r="Q173" t="n">
        <v>0.333</v>
      </c>
      <c r="R173" t="n">
        <v>1</v>
      </c>
      <c r="S173" t="n">
        <v>0.5</v>
      </c>
      <c r="T173" t="inlineStr"/>
      <c r="U173" t="inlineStr"/>
      <c r="V173" t="inlineStr"/>
      <c r="W17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4">
      <c r="A174" t="n">
        <v>173</v>
      </c>
      <c r="B174" t="n">
        <v>59</v>
      </c>
      <c r="C174" t="n">
        <v>2</v>
      </c>
      <c r="D174" t="n">
        <v>7</v>
      </c>
      <c r="E174" t="inlineStr">
        <is>
          <t>Por R2 ya que R1 se puede quitar al estar en paralelo con la fuente</t>
        </is>
      </c>
      <c r="F174" t="inlineStr">
        <is>
          <t>Si la corriente total que fluye en el circuito debe dividirse entre las resistencias en paralelo, ¿qué efecto tiene la adición de una resistencia en la trayectoria de la corriente?</t>
        </is>
      </c>
      <c r="G174" t="n">
        <v>3</v>
      </c>
      <c r="H174" t="n">
        <v>3</v>
      </c>
      <c r="I174" t="n">
        <v>3</v>
      </c>
      <c r="J174" t="n">
        <v>5</v>
      </c>
      <c r="K174" t="n">
        <v>14</v>
      </c>
      <c r="L174" t="n">
        <v>0.736</v>
      </c>
      <c r="M174" t="n">
        <v>37</v>
      </c>
      <c r="N174" t="n">
        <v>81.53</v>
      </c>
      <c r="O174" t="inlineStr">
        <is>
          <t>AC2, AC14-near</t>
        </is>
      </c>
      <c r="P174" t="inlineStr">
        <is>
          <t>AC2, AC14-near, AC14-series</t>
        </is>
      </c>
      <c r="Q174" t="n">
        <v>0.667</v>
      </c>
      <c r="R174" t="n">
        <v>1</v>
      </c>
      <c r="S174" t="n">
        <v>0.8</v>
      </c>
      <c r="T174" t="inlineStr"/>
      <c r="U174" t="inlineStr"/>
      <c r="V174" t="inlineStr"/>
      <c r="W17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75">
      <c r="A175" t="n">
        <v>174</v>
      </c>
      <c r="B175" t="n">
        <v>59</v>
      </c>
      <c r="C175" t="n">
        <v>3</v>
      </c>
      <c r="D175" t="n">
        <v>7</v>
      </c>
      <c r="E175" t="inlineStr">
        <is>
          <t>Por R3 ya que R1 y R2 se pueden quitar por estar en paralelo con la fuente</t>
        </is>
      </c>
      <c r="F175" t="inlineStr">
        <is>
          <t>Si la corriente tiene múltiples caminos disponibles a través de las resistencias en paralelo, ¿cómo afecta el valor de cada resistencia a la cantidad de corriente que fluye por cada rama?</t>
        </is>
      </c>
      <c r="G175" t="n">
        <v>4</v>
      </c>
      <c r="H175" t="n">
        <v>3</v>
      </c>
      <c r="I175" t="n">
        <v>3</v>
      </c>
      <c r="J175" t="n">
        <v>5</v>
      </c>
      <c r="K175" t="n">
        <v>15</v>
      </c>
      <c r="L175" t="n">
        <v>0.739</v>
      </c>
      <c r="M175" t="n">
        <v>36</v>
      </c>
      <c r="N175" t="n">
        <v>81.2</v>
      </c>
      <c r="O175" t="inlineStr">
        <is>
          <t>AC2, AC14-near</t>
        </is>
      </c>
      <c r="P175" t="inlineStr">
        <is>
          <t>AC2, AC14-near, AC14-series</t>
        </is>
      </c>
      <c r="Q175" t="n">
        <v>0.667</v>
      </c>
      <c r="R175" t="n">
        <v>1</v>
      </c>
      <c r="S175" t="n">
        <v>0.8</v>
      </c>
      <c r="T175" t="inlineStr"/>
      <c r="U175" t="inlineStr"/>
      <c r="V175" t="inlineStr"/>
      <c r="W175"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76">
      <c r="A176" t="n">
        <v>175</v>
      </c>
      <c r="B176" t="n">
        <v>60</v>
      </c>
      <c r="C176" t="n">
        <v>1</v>
      </c>
      <c r="D176" t="n">
        <v>7</v>
      </c>
      <c r="E176" t="inlineStr">
        <is>
          <t>Por todas las resistencias circula la misma corriente ya que todas poseen el mismo valor y están en paralelo con la fuente</t>
        </is>
      </c>
      <c r="F176" t="inlineStr">
        <is>
          <t>Considerando que todas las resistencias están conectadas en paralelo con la fuente, ¿podría explicar cómo la misma diferencia de potencial afecta a cada una de ellas, y qué implicaría esto para la corriente que fluye a través de cada una?</t>
        </is>
      </c>
      <c r="G176" t="n">
        <v>3</v>
      </c>
      <c r="H176" t="n">
        <v>4</v>
      </c>
      <c r="I176" t="n">
        <v>4</v>
      </c>
      <c r="J176" t="n">
        <v>5</v>
      </c>
      <c r="K176" t="n">
        <v>16</v>
      </c>
      <c r="L176" t="n">
        <v>0.841</v>
      </c>
      <c r="M176" t="n">
        <v>50</v>
      </c>
      <c r="N176" t="n">
        <v>71.31999999999999</v>
      </c>
      <c r="O176" t="inlineStr"/>
      <c r="P176" t="inlineStr">
        <is>
          <t>AC2, AC14-near, AC14-series</t>
        </is>
      </c>
      <c r="Q176" t="n">
        <v>0</v>
      </c>
      <c r="R176" t="n">
        <v>1</v>
      </c>
      <c r="S176" t="n">
        <v>0</v>
      </c>
      <c r="T176" t="inlineStr"/>
      <c r="U176" t="inlineStr"/>
      <c r="V176" t="inlineStr"/>
      <c r="W17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77">
      <c r="A177" t="n">
        <v>176</v>
      </c>
      <c r="B177" t="n">
        <v>60</v>
      </c>
      <c r="C177" t="n">
        <v>2</v>
      </c>
      <c r="D177" t="n">
        <v>7</v>
      </c>
      <c r="E177" t="inlineStr">
        <is>
          <t>La corriente es la misma en todas las resistencias</t>
        </is>
      </c>
      <c r="F177" t="inlineStr">
        <is>
          <t>Si la corriente es idéntica a través de cada resistencia en un circuito paralelo, ¿cómo se relaciona esta corriente con el voltaje aplicado a cada resistencia individualmente, y qué observaría usted si mediera el voltaje en cada rama?</t>
        </is>
      </c>
      <c r="G177" t="n">
        <v>3</v>
      </c>
      <c r="H177" t="n">
        <v>4</v>
      </c>
      <c r="I177" t="n">
        <v>4</v>
      </c>
      <c r="J177" t="n">
        <v>5</v>
      </c>
      <c r="K177" t="n">
        <v>16</v>
      </c>
      <c r="L177" t="n">
        <v>0.825</v>
      </c>
      <c r="M177" t="n">
        <v>48</v>
      </c>
      <c r="N177" t="n">
        <v>72.70999999999999</v>
      </c>
      <c r="O177" t="inlineStr"/>
      <c r="P177" t="inlineStr">
        <is>
          <t>AC2, AC14-near</t>
        </is>
      </c>
      <c r="Q177" t="n">
        <v>0</v>
      </c>
      <c r="R177" t="n">
        <v>1</v>
      </c>
      <c r="S177" t="n">
        <v>0</v>
      </c>
      <c r="T177" t="inlineStr"/>
      <c r="U177" t="inlineStr"/>
      <c r="V177" t="inlineStr"/>
      <c r="W17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78">
      <c r="A178" t="n">
        <v>177</v>
      </c>
      <c r="B178" t="n">
        <v>60</v>
      </c>
      <c r="C178" t="n">
        <v>3</v>
      </c>
      <c r="D178" t="n">
        <v>7</v>
      </c>
      <c r="E178" t="inlineStr">
        <is>
          <t>La corriente se divide en las tres ramas de igual manera</t>
        </is>
      </c>
      <c r="F178" t="inlineStr">
        <is>
          <t>Si la corriente se divide entre las ramas en igualdad, ¿cómo afectaría esta división al voltaje que experimenta cada resistencia individualmente, considerando que todas están conectadas a la misma fuente de voltaje?</t>
        </is>
      </c>
      <c r="G178" t="n">
        <v>3</v>
      </c>
      <c r="H178" t="n">
        <v>4</v>
      </c>
      <c r="I178" t="n">
        <v>4</v>
      </c>
      <c r="J178" t="n">
        <v>5</v>
      </c>
      <c r="K178" t="n">
        <v>16</v>
      </c>
      <c r="L178" t="n">
        <v>0.879</v>
      </c>
      <c r="M178" t="n">
        <v>41</v>
      </c>
      <c r="N178" t="n">
        <v>68.26000000000001</v>
      </c>
      <c r="O178" t="inlineStr"/>
      <c r="P178" t="inlineStr">
        <is>
          <t>AC2, AC14-near, AC14-series</t>
        </is>
      </c>
      <c r="Q178" t="n">
        <v>0</v>
      </c>
      <c r="R178" t="n">
        <v>1</v>
      </c>
      <c r="S178" t="n">
        <v>0</v>
      </c>
      <c r="T178" t="inlineStr"/>
      <c r="U178" t="inlineStr"/>
      <c r="V178" t="inlineStr"/>
      <c r="W178"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79">
      <c r="A179" t="n">
        <v>178</v>
      </c>
      <c r="B179" t="n">
        <v>61</v>
      </c>
      <c r="C179" t="n">
        <v>1</v>
      </c>
      <c r="D179" t="n">
        <v>7</v>
      </c>
      <c r="E179" t="inlineStr">
        <is>
          <t>La corriente es un tercio de I en cada rama</t>
        </is>
      </c>
      <c r="F179" t="inlineStr">
        <is>
          <t>Si las tres resistencias están conectadas en paralelo, ¿podrías explicar qué implica que múltiples caminos tengan la misma diferencia de potencial para las corrientes que fluyen a través de ellas?</t>
        </is>
      </c>
      <c r="G179" t="n">
        <v>3</v>
      </c>
      <c r="H179" t="n">
        <v>4</v>
      </c>
      <c r="I179" t="n">
        <v>4</v>
      </c>
      <c r="J179" t="n">
        <v>5</v>
      </c>
      <c r="K179" t="n">
        <v>16</v>
      </c>
      <c r="L179" t="n">
        <v>0.776</v>
      </c>
      <c r="M179" t="n">
        <v>38</v>
      </c>
      <c r="N179" t="n">
        <v>77.3</v>
      </c>
      <c r="O179" t="inlineStr"/>
      <c r="P179" t="inlineStr">
        <is>
          <t>AC2, AC14-near, AC14-series</t>
        </is>
      </c>
      <c r="Q179" t="n">
        <v>0</v>
      </c>
      <c r="R179" t="n">
        <v>1</v>
      </c>
      <c r="S179" t="n">
        <v>0</v>
      </c>
      <c r="T179" t="inlineStr"/>
      <c r="U179" t="inlineStr"/>
      <c r="V179" t="inlineStr"/>
      <c r="W179" t="inlineStr">
        <is>
          <t>Socratic quality 3/5 (Clarification): Clarification: asks the student to explain their reasoning. Conceptual precision 4/5 (Good): Good: clearly identifies the alternative conception with precise technical language. Good overall performance; room for improvement in socratic depth.</t>
        </is>
      </c>
    </row>
    <row r="180">
      <c r="A180" t="n">
        <v>179</v>
      </c>
      <c r="B180" t="n">
        <v>61</v>
      </c>
      <c r="C180" t="n">
        <v>2</v>
      </c>
      <c r="D180" t="n">
        <v>7</v>
      </c>
      <c r="E180" t="inlineStr">
        <is>
          <t>Por el circuito no circula corriente ya que están las tres resistencias en paralelo y se pueden eliminar</t>
        </is>
      </c>
      <c r="F180" t="inlineStr">
        <is>
          <t>Considerando que la eliminación de resistencias en paralelo mantiene la misma diferencia de potencial a través de cada una, ¿qué efecto crees que tendría la presencia de un interruptor en una de las ramas del circuito?</t>
        </is>
      </c>
      <c r="G180" t="n">
        <v>3</v>
      </c>
      <c r="H180" t="n">
        <v>4</v>
      </c>
      <c r="I180" t="n">
        <v>4</v>
      </c>
      <c r="J180" t="n">
        <v>5</v>
      </c>
      <c r="K180" t="n">
        <v>16</v>
      </c>
      <c r="L180" t="n">
        <v>0.8179999999999999</v>
      </c>
      <c r="M180" t="n">
        <v>43</v>
      </c>
      <c r="N180" t="n">
        <v>73.37</v>
      </c>
      <c r="O180" t="inlineStr"/>
      <c r="P180" t="inlineStr">
        <is>
          <t>AC2, AC14-near, AC14-series</t>
        </is>
      </c>
      <c r="Q180" t="n">
        <v>0</v>
      </c>
      <c r="R180" t="n">
        <v>1</v>
      </c>
      <c r="S180" t="n">
        <v>0</v>
      </c>
      <c r="T180" t="inlineStr"/>
      <c r="U180" t="inlineStr"/>
      <c r="V180" t="inlineStr"/>
      <c r="W180"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81">
      <c r="A181" t="n">
        <v>180</v>
      </c>
      <c r="B181" t="n">
        <v>61</v>
      </c>
      <c r="C181" t="n">
        <v>3</v>
      </c>
      <c r="D181" t="n">
        <v>7</v>
      </c>
      <c r="E181" t="inlineStr">
        <is>
          <t>Todas las resistencias están conectadas en serie</t>
        </is>
      </c>
      <c r="F181" t="inlineStr">
        <is>
          <t>Si las resistencias están conectadas en paralelo, ¿cómo crees que la diferencia de potencial se distribuirá a través de cada rama del circuito, y qué implicaciones tendría esto para la corriente que fluye en cada una?</t>
        </is>
      </c>
      <c r="G181" t="n">
        <v>3</v>
      </c>
      <c r="H181" t="n">
        <v>4</v>
      </c>
      <c r="I181" t="n">
        <v>3</v>
      </c>
      <c r="J181" t="n">
        <v>5</v>
      </c>
      <c r="K181" t="n">
        <v>15</v>
      </c>
      <c r="L181" t="n">
        <v>0.843</v>
      </c>
      <c r="M181" t="n">
        <v>46</v>
      </c>
      <c r="N181" t="n">
        <v>71.15000000000001</v>
      </c>
      <c r="O181" t="inlineStr"/>
      <c r="P181" t="inlineStr">
        <is>
          <t>AC2, AC14-near, AC14-series</t>
        </is>
      </c>
      <c r="Q181" t="n">
        <v>0</v>
      </c>
      <c r="R181" t="n">
        <v>1</v>
      </c>
      <c r="S181" t="n">
        <v>0</v>
      </c>
      <c r="T181" t="inlineStr"/>
      <c r="U181" t="inlineStr"/>
      <c r="V181" t="inlineStr"/>
      <c r="W18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82">
      <c r="A182" t="n">
        <v>181</v>
      </c>
      <c r="B182" t="n">
        <v>62</v>
      </c>
      <c r="C182" t="n">
        <v>1</v>
      </c>
      <c r="D182" t="n">
        <v>7</v>
      </c>
      <c r="E182" t="inlineStr">
        <is>
          <t>Todas las resistencias están conectadas en paralelo</t>
        </is>
      </c>
      <c r="F182" t="inlineStr">
        <is>
          <t>Si las tres resistencias comparten el mismo voltaje entre el nodo y la fuente, ¿cómo afectaría eso al flujo de corriente a través de cada una de ellas?</t>
        </is>
      </c>
      <c r="G182" t="n">
        <v>3</v>
      </c>
      <c r="H182" t="n">
        <v>4</v>
      </c>
      <c r="I182" t="n">
        <v>4</v>
      </c>
      <c r="J182" t="n">
        <v>5</v>
      </c>
      <c r="K182" t="n">
        <v>16</v>
      </c>
      <c r="L182" t="n">
        <v>0.75</v>
      </c>
      <c r="M182" t="n">
        <v>33</v>
      </c>
      <c r="N182" t="n">
        <v>79.98999999999999</v>
      </c>
      <c r="O182" t="inlineStr"/>
      <c r="P182" t="inlineStr">
        <is>
          <t>AC2, AC14-near, AC14-series</t>
        </is>
      </c>
      <c r="Q182" t="n">
        <v>0</v>
      </c>
      <c r="R182" t="n">
        <v>1</v>
      </c>
      <c r="S182" t="n">
        <v>0</v>
      </c>
      <c r="T182" t="inlineStr"/>
      <c r="U182" t="inlineStr"/>
      <c r="V182" t="inlineStr"/>
      <c r="W182"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83">
      <c r="A183" t="n">
        <v>182</v>
      </c>
      <c r="B183" t="n">
        <v>62</v>
      </c>
      <c r="C183" t="n">
        <v>2</v>
      </c>
      <c r="D183" t="n">
        <v>7</v>
      </c>
      <c r="E183" t="inlineStr">
        <is>
          <t>Por R1</t>
        </is>
      </c>
      <c r="F183" t="inlineStr">
        <is>
          <t>Si el voltaje es el mismo a través de todas las resistencias en paralelo, ¿qué implicaría eso para la relación entre la corriente que fluye a través de cada una y el valor de la resistencia?</t>
        </is>
      </c>
      <c r="G183" t="n">
        <v>3</v>
      </c>
      <c r="H183" t="n">
        <v>3</v>
      </c>
      <c r="I183" t="n">
        <v>2</v>
      </c>
      <c r="J183" t="n">
        <v>5</v>
      </c>
      <c r="K183" t="n">
        <v>13</v>
      </c>
      <c r="L183" t="n">
        <v>0.767</v>
      </c>
      <c r="M183" t="n">
        <v>42</v>
      </c>
      <c r="N183" t="n">
        <v>78.25</v>
      </c>
      <c r="O183" t="inlineStr">
        <is>
          <t>AC2</t>
        </is>
      </c>
      <c r="P183" t="inlineStr">
        <is>
          <t>AC2, AC14-near, AC14-series</t>
        </is>
      </c>
      <c r="Q183" t="n">
        <v>0.333</v>
      </c>
      <c r="R183" t="n">
        <v>1</v>
      </c>
      <c r="S183" t="n">
        <v>0.5</v>
      </c>
      <c r="T183" t="inlineStr"/>
      <c r="U183" t="inlineStr"/>
      <c r="V183" t="inlineStr"/>
      <c r="W18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4">
      <c r="A184" t="n">
        <v>183</v>
      </c>
      <c r="B184" t="n">
        <v>62</v>
      </c>
      <c r="C184" t="n">
        <v>3</v>
      </c>
      <c r="D184" t="n">
        <v>7</v>
      </c>
      <c r="E184" t="inlineStr">
        <is>
          <t>Por R2</t>
        </is>
      </c>
      <c r="F184" t="inlineStr">
        <is>
          <t>Considerando que la corriente se divide en paralelo, ¿cómo se relaciona la resistencia total del circuito con la resistencia individual de cada componente, y qué efecto tendría eso en el flujo de corriente?</t>
        </is>
      </c>
      <c r="G184" t="n">
        <v>3</v>
      </c>
      <c r="H184" t="n">
        <v>3</v>
      </c>
      <c r="I184" t="n">
        <v>2</v>
      </c>
      <c r="J184" t="n">
        <v>5</v>
      </c>
      <c r="K184" t="n">
        <v>13</v>
      </c>
      <c r="L184" t="n">
        <v>0.753</v>
      </c>
      <c r="M184" t="n">
        <v>39</v>
      </c>
      <c r="N184" t="n">
        <v>79.65000000000001</v>
      </c>
      <c r="O184" t="inlineStr">
        <is>
          <t>AC14-near</t>
        </is>
      </c>
      <c r="P184" t="inlineStr">
        <is>
          <t>AC2, AC14-near</t>
        </is>
      </c>
      <c r="Q184" t="n">
        <v>0.5</v>
      </c>
      <c r="R184" t="n">
        <v>1</v>
      </c>
      <c r="S184" t="n">
        <v>0.667</v>
      </c>
      <c r="T184" t="inlineStr"/>
      <c r="U184" t="inlineStr"/>
      <c r="V184" t="inlineStr"/>
      <c r="W184"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5">
      <c r="A185" t="n">
        <v>184</v>
      </c>
      <c r="B185" t="n">
        <v>63</v>
      </c>
      <c r="C185" t="n">
        <v>1</v>
      </c>
      <c r="D185" t="n">
        <v>7</v>
      </c>
      <c r="E185" t="inlineStr">
        <is>
          <t>Por R3</t>
        </is>
      </c>
      <c r="F185" t="inlineStr">
        <is>
          <t>Considerando que R1 y R2 también están conectados en paralelo a la misma fuente, ¿podrías explicar por qué la corriente fluye a través de R3 en lugar de compartirla con las otras resistencias?</t>
        </is>
      </c>
      <c r="G185" t="n">
        <v>3</v>
      </c>
      <c r="H185" t="n">
        <v>3</v>
      </c>
      <c r="I185" t="n">
        <v>2</v>
      </c>
      <c r="J185" t="n">
        <v>5</v>
      </c>
      <c r="K185" t="n">
        <v>13</v>
      </c>
      <c r="L185" t="n">
        <v>0.772</v>
      </c>
      <c r="M185" t="n">
        <v>45</v>
      </c>
      <c r="N185" t="n">
        <v>77.68000000000001</v>
      </c>
      <c r="O185" t="inlineStr">
        <is>
          <t>AC14-near</t>
        </is>
      </c>
      <c r="P185" t="inlineStr">
        <is>
          <t>AC2, AC14-near, AC14-series</t>
        </is>
      </c>
      <c r="Q185" t="n">
        <v>0.333</v>
      </c>
      <c r="R185" t="n">
        <v>1</v>
      </c>
      <c r="S185" t="n">
        <v>0.5</v>
      </c>
      <c r="T185" t="inlineStr"/>
      <c r="U185" t="inlineStr"/>
      <c r="V185" t="inlineStr"/>
      <c r="W185" t="inlineStr">
        <is>
          <t>Socratic quality 3/5 (Clarification): Clarification: asks the student to explain their reasoning. Conceptual precision 3/5 (Sufficient): Sufficient: identifies that there is an error and uses correct concepts, but the diagnosis is somewhat vague. Good overall performance; room for improvement in socratic depth.</t>
        </is>
      </c>
    </row>
    <row r="186">
      <c r="A186" t="n">
        <v>185</v>
      </c>
      <c r="B186" t="n">
        <v>63</v>
      </c>
      <c r="C186" t="n">
        <v>2</v>
      </c>
      <c r="D186" t="n">
        <v>7</v>
      </c>
      <c r="E186" t="inlineStr">
        <is>
          <t>Por R1 y R2</t>
        </is>
      </c>
      <c r="F186" t="inlineStr">
        <is>
          <t>Si la corriente tiene múltiples caminos para llegar a un nodo, ¿cómo influye la resistencia de cada camino en la cantidad de corriente que fluye a través de ese nodo, específicamente en relación con R3?</t>
        </is>
      </c>
      <c r="G186" t="n">
        <v>4</v>
      </c>
      <c r="H186" t="n">
        <v>3</v>
      </c>
      <c r="I186" t="n">
        <v>2</v>
      </c>
      <c r="J186" t="n">
        <v>5</v>
      </c>
      <c r="K186" t="n">
        <v>14</v>
      </c>
      <c r="L186" t="n">
        <v>0.782</v>
      </c>
      <c r="M186" t="n">
        <v>43</v>
      </c>
      <c r="N186" t="n">
        <v>76.73</v>
      </c>
      <c r="O186" t="inlineStr">
        <is>
          <t>AC2, AC14-near</t>
        </is>
      </c>
      <c r="P186" t="inlineStr">
        <is>
          <t>AC2, AC14-near</t>
        </is>
      </c>
      <c r="Q186" t="n">
        <v>1</v>
      </c>
      <c r="R186" t="n">
        <v>1</v>
      </c>
      <c r="S186" t="n">
        <v>1</v>
      </c>
      <c r="T186" t="inlineStr"/>
      <c r="U186" t="inlineStr"/>
      <c r="V186" t="inlineStr"/>
      <c r="W186" t="inlineStr">
        <is>
          <t>Socratic quality 4/5 (Scaffolding for detection): Scaffolding for detection: identifies the error area and asks a question that confronts the theory. Conceptual precision 3/5 (Sufficient): Sufficient: identifies that there is an error and uses correct concepts, but the diagnosis is somewhat vague. Good overall performance; room for improvement in socratic depth.</t>
        </is>
      </c>
    </row>
    <row r="187">
      <c r="A187" t="n">
        <v>186</v>
      </c>
      <c r="B187" t="n">
        <v>63</v>
      </c>
      <c r="C187" t="n">
        <v>3</v>
      </c>
      <c r="D187" t="n">
        <v>7</v>
      </c>
      <c r="E187" t="inlineStr">
        <is>
          <t>Por R2 y R3</t>
        </is>
      </c>
      <c r="F187" t="inlineStr">
        <is>
          <t>Si la corriente busca el camino de menor resistencia hacia un nodo, ¿qué factores determinan cuál de las combinaciones de R2 y R3 resultará en el camino de menor resistencia en este circuito?</t>
        </is>
      </c>
      <c r="G187" t="n">
        <v>3</v>
      </c>
      <c r="H187" t="n">
        <v>3</v>
      </c>
      <c r="I187" t="n">
        <v>2</v>
      </c>
      <c r="J187" t="n">
        <v>5</v>
      </c>
      <c r="K187" t="n">
        <v>13</v>
      </c>
      <c r="L187" t="n">
        <v>0.754</v>
      </c>
      <c r="M187" t="n">
        <v>42</v>
      </c>
      <c r="N187" t="n">
        <v>79.54000000000001</v>
      </c>
      <c r="O187" t="inlineStr">
        <is>
          <t>AC14-near</t>
        </is>
      </c>
      <c r="P187" t="inlineStr">
        <is>
          <t>AC2, AC14-near</t>
        </is>
      </c>
      <c r="Q187" t="n">
        <v>0.5</v>
      </c>
      <c r="R187" t="n">
        <v>1</v>
      </c>
      <c r="S187" t="n">
        <v>0.667</v>
      </c>
      <c r="T187" t="inlineStr"/>
      <c r="U187" t="inlineStr"/>
      <c r="V187" t="inlineStr"/>
      <c r="W187"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88">
      <c r="A188" t="n">
        <v>187</v>
      </c>
      <c r="B188" t="n">
        <v>64</v>
      </c>
      <c r="C188" t="n">
        <v>1</v>
      </c>
      <c r="D188" t="n">
        <v>7</v>
      </c>
      <c r="E188" t="inlineStr">
        <is>
          <t>Por R1 y R3</t>
        </is>
      </c>
      <c r="F188" t="inlineStr">
        <is>
          <t>Considerando que R1 y R3 están conectados en paralelo a la misma fuente, ¿podría explicar por qué, si ambos tienen la misma resistencia, no deberían experimentar el mismo flujo de corriente?</t>
        </is>
      </c>
      <c r="G188" t="n">
        <v>5</v>
      </c>
      <c r="H188" t="n">
        <v>3</v>
      </c>
      <c r="I188" t="n">
        <v>2</v>
      </c>
      <c r="J188" t="n">
        <v>5</v>
      </c>
      <c r="K188" t="n">
        <v>15</v>
      </c>
      <c r="L188" t="n">
        <v>0.771</v>
      </c>
      <c r="M188" t="n">
        <v>41</v>
      </c>
      <c r="N188" t="n">
        <v>77.84</v>
      </c>
      <c r="O188" t="inlineStr">
        <is>
          <t>AC2, AC14-near</t>
        </is>
      </c>
      <c r="P188" t="inlineStr">
        <is>
          <t>AC2, AC14-near</t>
        </is>
      </c>
      <c r="Q188" t="n">
        <v>1</v>
      </c>
      <c r="R188" t="n">
        <v>1</v>
      </c>
      <c r="S188" t="n">
        <v>1</v>
      </c>
      <c r="T188" t="inlineStr"/>
      <c r="U188" t="inlineStr"/>
      <c r="V188" t="inlineStr"/>
      <c r="W188" t="inlineStr">
        <is>
          <t>Socratic quality 5/5 (Induction to contradiction): Induction to contradiction: uses counterexample or reduction to absurdity. Conceptual precision 3/5 (Sufficient): Sufficient: identifies that there is an error and uses correct concepts, but the diagnosis is somewhat vague. Good overall performance; room for improvement in socratic depth.</t>
        </is>
      </c>
    </row>
    <row r="189">
      <c r="A189" t="n">
        <v>188</v>
      </c>
      <c r="B189" t="n">
        <v>64</v>
      </c>
      <c r="C189" t="n">
        <v>2</v>
      </c>
      <c r="D189" t="n">
        <v>7</v>
      </c>
      <c r="E189" t="inlineStr">
        <is>
          <t>Por la resistencia de menor valor</t>
        </is>
      </c>
      <c r="F189" t="inlineStr">
        <is>
          <t>Si la corriente fluye por un camino de menor resistencia, ¿no debería la corriente principal buscar ese camino, independientemente de la resistencia de los otros componentes en el circuito?</t>
        </is>
      </c>
      <c r="G189" t="n">
        <v>3</v>
      </c>
      <c r="H189" t="n">
        <v>4</v>
      </c>
      <c r="I189" t="n">
        <v>3</v>
      </c>
      <c r="J189" t="n">
        <v>5</v>
      </c>
      <c r="K189" t="n">
        <v>15</v>
      </c>
      <c r="L189" t="n">
        <v>0.697</v>
      </c>
      <c r="M189" t="n">
        <v>36</v>
      </c>
      <c r="N189" t="n">
        <v>86.08</v>
      </c>
      <c r="O189" t="inlineStr"/>
      <c r="P189" t="inlineStr">
        <is>
          <t>AC2, AC14-near</t>
        </is>
      </c>
      <c r="Q189" t="n">
        <v>0</v>
      </c>
      <c r="R189" t="n">
        <v>1</v>
      </c>
      <c r="S189" t="n">
        <v>0</v>
      </c>
      <c r="T189" t="inlineStr"/>
      <c r="U189" t="inlineStr"/>
      <c r="V189" t="inlineStr"/>
      <c r="W189"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0">
      <c r="A190" t="n">
        <v>189</v>
      </c>
      <c r="B190" t="n">
        <v>64</v>
      </c>
      <c r="C190" t="n">
        <v>3</v>
      </c>
      <c r="D190" t="n">
        <v>7</v>
      </c>
      <c r="E190" t="inlineStr">
        <is>
          <t>Por la que está en medio del circuito</t>
        </is>
      </c>
      <c r="F190" t="inlineStr">
        <is>
          <t>Si la corriente encuentra múltiples caminos a través del circuito, ¿qué factores determinan cuál de esos caminos se utiliza para transportar la mayor parte de la corriente?</t>
        </is>
      </c>
      <c r="G190" t="n">
        <v>3</v>
      </c>
      <c r="H190" t="n">
        <v>3</v>
      </c>
      <c r="I190" t="n">
        <v>4</v>
      </c>
      <c r="J190" t="n">
        <v>5</v>
      </c>
      <c r="K190" t="n">
        <v>15</v>
      </c>
      <c r="L190" t="n">
        <v>0.697</v>
      </c>
      <c r="M190" t="n">
        <v>32</v>
      </c>
      <c r="N190" t="n">
        <v>86.13</v>
      </c>
      <c r="O190" t="inlineStr"/>
      <c r="P190" t="inlineStr">
        <is>
          <t>AC14-near</t>
        </is>
      </c>
      <c r="Q190" t="n">
        <v>0</v>
      </c>
      <c r="R190" t="n">
        <v>1</v>
      </c>
      <c r="S190" t="n">
        <v>0</v>
      </c>
      <c r="T190" t="inlineStr"/>
      <c r="U190" t="inlineStr"/>
      <c r="V190" t="inlineStr"/>
      <c r="W190"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91">
      <c r="A191" t="n">
        <v>190</v>
      </c>
      <c r="B191" t="n">
        <v>65</v>
      </c>
      <c r="C191" t="n">
        <v>1</v>
      </c>
      <c r="D191" t="n">
        <v>7</v>
      </c>
      <c r="E191" t="inlineStr">
        <is>
          <t>Sí</t>
        </is>
      </c>
      <c r="F191" t="inlineStr">
        <is>
          <t>Si las tres resistencias comparten la misma diferencia de potencial entre el nodo N1 y el nodo 0, ¿qué factor determinaría si cada una de ellas transportaría la misma cantidad de corriente?</t>
        </is>
      </c>
      <c r="G191" t="n">
        <v>3</v>
      </c>
      <c r="H191" t="n">
        <v>4</v>
      </c>
      <c r="I191" t="n">
        <v>2</v>
      </c>
      <c r="J191" t="n">
        <v>5</v>
      </c>
      <c r="K191" t="n">
        <v>14</v>
      </c>
      <c r="L191" t="n">
        <v>0.8120000000000001</v>
      </c>
      <c r="M191" t="n">
        <v>40</v>
      </c>
      <c r="N191" t="n">
        <v>73.89</v>
      </c>
      <c r="O191" t="inlineStr"/>
      <c r="P191" t="inlineStr">
        <is>
          <t>AC2, AC14-near, AC14-series</t>
        </is>
      </c>
      <c r="Q191" t="n">
        <v>0</v>
      </c>
      <c r="R191" t="n">
        <v>1</v>
      </c>
      <c r="S191" t="n">
        <v>0</v>
      </c>
      <c r="T191" t="inlineStr"/>
      <c r="U191" t="inlineStr"/>
      <c r="V191" t="inlineStr"/>
      <c r="W191"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2">
      <c r="A192" t="n">
        <v>191</v>
      </c>
      <c r="B192" t="n">
        <v>65</v>
      </c>
      <c r="C192" t="n">
        <v>2</v>
      </c>
      <c r="D192" t="n">
        <v>7</v>
      </c>
      <c r="E192" t="inlineStr">
        <is>
          <t>No</t>
        </is>
      </c>
      <c r="F192" t="inlineStr">
        <is>
          <t>Si la corriente que fluye a través de cada resistencia está directamente relacionada con su resistencia individual, ¿cómo crees que la variación en la resistencia afectaría el flujo total de corriente en el circuito?</t>
        </is>
      </c>
      <c r="G192" t="n">
        <v>3</v>
      </c>
      <c r="H192" t="n">
        <v>3</v>
      </c>
      <c r="I192" t="n">
        <v>2</v>
      </c>
      <c r="J192" t="n">
        <v>5</v>
      </c>
      <c r="K192" t="n">
        <v>13</v>
      </c>
      <c r="L192" t="n">
        <v>0.728</v>
      </c>
      <c r="M192" t="n">
        <v>41</v>
      </c>
      <c r="N192" t="n">
        <v>82.44</v>
      </c>
      <c r="O192" t="inlineStr"/>
      <c r="P192" t="inlineStr">
        <is>
          <t>AC2, AC14-near</t>
        </is>
      </c>
      <c r="Q192" t="n">
        <v>0</v>
      </c>
      <c r="R192" t="n">
        <v>1</v>
      </c>
      <c r="S192" t="n">
        <v>0</v>
      </c>
      <c r="T192" t="inlineStr"/>
      <c r="U192" t="inlineStr"/>
      <c r="V192" t="inlineStr"/>
      <c r="W192"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93">
      <c r="A193" t="n">
        <v>192</v>
      </c>
      <c r="B193" t="n">
        <v>65</v>
      </c>
      <c r="C193" t="n">
        <v>3</v>
      </c>
      <c r="D193" t="n">
        <v>7</v>
      </c>
      <c r="E193" t="inlineStr">
        <is>
          <t>Por la que está más cerca de la fuente físicamente</t>
        </is>
      </c>
      <c r="F193" t="inlineStr">
        <is>
          <t>Si la resistencia es el principal factor que determina la dirección del flujo de corriente, ¿cómo crees que la alteración de la resistencia afectaría la distribución de la corriente a través del circuito?</t>
        </is>
      </c>
      <c r="G193" t="n">
        <v>3</v>
      </c>
      <c r="H193" t="n">
        <v>3</v>
      </c>
      <c r="I193" t="n">
        <v>4</v>
      </c>
      <c r="J193" t="n">
        <v>5</v>
      </c>
      <c r="K193" t="n">
        <v>15</v>
      </c>
      <c r="L193" t="n">
        <v>0.755</v>
      </c>
      <c r="M193" t="n">
        <v>40</v>
      </c>
      <c r="N193" t="n">
        <v>79.48</v>
      </c>
      <c r="O193" t="inlineStr"/>
      <c r="P193" t="inlineStr">
        <is>
          <t>AC2, AC14-near</t>
        </is>
      </c>
      <c r="Q193" t="n">
        <v>0</v>
      </c>
      <c r="R193" t="n">
        <v>1</v>
      </c>
      <c r="S193" t="n">
        <v>0</v>
      </c>
      <c r="T193" t="inlineStr"/>
      <c r="U193" t="inlineStr"/>
      <c r="V193" t="inlineStr"/>
      <c r="W193"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94">
      <c r="A194" t="n">
        <v>193</v>
      </c>
      <c r="B194" t="n">
        <v>66</v>
      </c>
      <c r="C194" t="n">
        <v>1</v>
      </c>
      <c r="D194" t="n">
        <v>7</v>
      </c>
      <c r="E194" t="inlineStr">
        <is>
          <t>Por la que está más lejos de la fuente</t>
        </is>
      </c>
      <c r="F194" t="inlineStr">
        <is>
          <t>Considerando que todas las resistencias son iguales y están conectadas entre un nodo y el potencial de la fuente, ¿qué propiedad de las conexiones paralelas influye en la corriente que fluye a través de cada una de ellas?</t>
        </is>
      </c>
      <c r="G194" t="n">
        <v>3</v>
      </c>
      <c r="H194" t="n">
        <v>4</v>
      </c>
      <c r="I194" t="n">
        <v>4</v>
      </c>
      <c r="J194" t="n">
        <v>5</v>
      </c>
      <c r="K194" t="n">
        <v>16</v>
      </c>
      <c r="L194" t="n">
        <v>0.779</v>
      </c>
      <c r="M194" t="n">
        <v>46</v>
      </c>
      <c r="N194" t="n">
        <v>76.98999999999999</v>
      </c>
      <c r="O194" t="inlineStr"/>
      <c r="P194" t="inlineStr">
        <is>
          <t>AC2, AC14-near, AC14-series</t>
        </is>
      </c>
      <c r="Q194" t="n">
        <v>0</v>
      </c>
      <c r="R194" t="n">
        <v>1</v>
      </c>
      <c r="S194" t="n">
        <v>0</v>
      </c>
      <c r="T194" t="inlineStr"/>
      <c r="U194" t="inlineStr"/>
      <c r="V194" t="inlineStr"/>
      <c r="W194"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5">
      <c r="A195" t="n">
        <v>194</v>
      </c>
      <c r="B195" t="n">
        <v>66</v>
      </c>
      <c r="C195" t="n">
        <v>2</v>
      </c>
      <c r="D195" t="n">
        <v>7</v>
      </c>
      <c r="E195" t="inlineStr">
        <is>
          <t>Por la que tiene más voltaje aplicado</t>
        </is>
      </c>
      <c r="F195" t="inlineStr">
        <is>
          <t>Si la corriente total que fluye a través del circuito es constante, ¿cómo podría la resistencia de cada rama afectar la distribución de esa corriente a través de ellas?</t>
        </is>
      </c>
      <c r="G195" t="n">
        <v>3</v>
      </c>
      <c r="H195" t="n">
        <v>3</v>
      </c>
      <c r="I195" t="n">
        <v>4</v>
      </c>
      <c r="J195" t="n">
        <v>5</v>
      </c>
      <c r="K195" t="n">
        <v>15</v>
      </c>
      <c r="L195" t="n">
        <v>0.6929999999999999</v>
      </c>
      <c r="M195" t="n">
        <v>34</v>
      </c>
      <c r="N195" t="n">
        <v>86.53</v>
      </c>
      <c r="O195" t="inlineStr"/>
      <c r="P195" t="inlineStr">
        <is>
          <t>AC2, AC14-near</t>
        </is>
      </c>
      <c r="Q195" t="n">
        <v>0</v>
      </c>
      <c r="R195" t="n">
        <v>1</v>
      </c>
      <c r="S195" t="n">
        <v>0</v>
      </c>
      <c r="T195" t="inlineStr"/>
      <c r="U195" t="inlineStr"/>
      <c r="V195" t="inlineStr"/>
      <c r="W195"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row r="196">
      <c r="A196" t="n">
        <v>195</v>
      </c>
      <c r="B196" t="n">
        <v>66</v>
      </c>
      <c r="C196" t="n">
        <v>3</v>
      </c>
      <c r="D196" t="n">
        <v>7</v>
      </c>
      <c r="E196" t="inlineStr">
        <is>
          <t>Por la que aparece primero en el esquema</t>
        </is>
      </c>
      <c r="F196" t="inlineStr">
        <is>
          <t>Si la corriente es constante a través de cada rama, ¿cómo se relaciona la caída de voltaje en una resistencia con la cantidad de corriente que la atraviesa?</t>
        </is>
      </c>
      <c r="G196" t="n">
        <v>3</v>
      </c>
      <c r="H196" t="n">
        <v>4</v>
      </c>
      <c r="I196" t="n">
        <v>4</v>
      </c>
      <c r="J196" t="n">
        <v>5</v>
      </c>
      <c r="K196" t="n">
        <v>16</v>
      </c>
      <c r="L196" t="n">
        <v>0.712</v>
      </c>
      <c r="M196" t="n">
        <v>33</v>
      </c>
      <c r="N196" t="n">
        <v>84.29000000000001</v>
      </c>
      <c r="O196" t="inlineStr"/>
      <c r="P196" t="inlineStr">
        <is>
          <t>AC2, AC14-near</t>
        </is>
      </c>
      <c r="Q196" t="n">
        <v>0</v>
      </c>
      <c r="R196" t="n">
        <v>1</v>
      </c>
      <c r="S196" t="n">
        <v>0</v>
      </c>
      <c r="T196" t="inlineStr"/>
      <c r="U196" t="inlineStr"/>
      <c r="V196" t="inlineStr"/>
      <c r="W196"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7">
      <c r="A197" t="n">
        <v>196</v>
      </c>
      <c r="B197" t="n">
        <v>67</v>
      </c>
      <c r="C197" t="n">
        <v>1</v>
      </c>
      <c r="D197" t="n">
        <v>7</v>
      </c>
      <c r="E197" t="inlineStr">
        <is>
          <t>Por la que tiene menos oposición al paso de corriente</t>
        </is>
      </c>
      <c r="F197" t="inlineStr">
        <is>
          <t>Si dos resistencias están conectadas en paralelo, ¿qué factor determina si ambas reciben la misma corriente de una fuente dada, sin importar su valor individual?</t>
        </is>
      </c>
      <c r="G197" t="n">
        <v>3</v>
      </c>
      <c r="H197" t="n">
        <v>4</v>
      </c>
      <c r="I197" t="n">
        <v>4</v>
      </c>
      <c r="J197" t="n">
        <v>5</v>
      </c>
      <c r="K197" t="n">
        <v>16</v>
      </c>
      <c r="L197" t="n">
        <v>0.708</v>
      </c>
      <c r="M197" t="n">
        <v>31</v>
      </c>
      <c r="N197" t="n">
        <v>84.70999999999999</v>
      </c>
      <c r="O197" t="inlineStr"/>
      <c r="P197" t="inlineStr">
        <is>
          <t>AC2, AC14-near, AC14-series</t>
        </is>
      </c>
      <c r="Q197" t="n">
        <v>0</v>
      </c>
      <c r="R197" t="n">
        <v>1</v>
      </c>
      <c r="S197" t="n">
        <v>0</v>
      </c>
      <c r="T197" t="inlineStr"/>
      <c r="U197" t="inlineStr"/>
      <c r="V197" t="inlineStr"/>
      <c r="W197" t="inlineStr">
        <is>
          <t>Socratic quality 3/5 (Clarification): Generic question: asks for clarification without attacking the root error. Conceptual precision 4/5 (Good): Good: clearly identifies the alternative conception with precise technical language. Good overall performance; room for improvement in socratic depth.</t>
        </is>
      </c>
    </row>
    <row r="198">
      <c r="A198" t="n">
        <v>197</v>
      </c>
      <c r="B198" t="n">
        <v>67</v>
      </c>
      <c r="C198" t="n">
        <v>2</v>
      </c>
      <c r="D198" t="n">
        <v>7</v>
      </c>
      <c r="E198" t="inlineStr">
        <is>
          <t>Por la que está en paralelo con la fuente.</t>
        </is>
      </c>
      <c r="F198" t="inlineStr">
        <is>
          <t>Considerando que la corriente busca el camino de menor resistencia, ¿podrías explicar cómo la conexión en paralelo afecta la distribución de la corriente entre los componentes, y qué implica eso para la "oposición" al paso de corriente?</t>
        </is>
      </c>
      <c r="G198" t="n">
        <v>3</v>
      </c>
      <c r="H198" t="n">
        <v>4</v>
      </c>
      <c r="I198" t="n">
        <v>4</v>
      </c>
      <c r="J198" t="n">
        <v>5</v>
      </c>
      <c r="K198" t="n">
        <v>16</v>
      </c>
      <c r="L198" t="n">
        <v>0.825</v>
      </c>
      <c r="M198" t="n">
        <v>49</v>
      </c>
      <c r="N198" t="n">
        <v>72.72</v>
      </c>
      <c r="O198" t="inlineStr"/>
      <c r="P198" t="inlineStr">
        <is>
          <t>AC2, AC14-near</t>
        </is>
      </c>
      <c r="Q198" t="n">
        <v>0</v>
      </c>
      <c r="R198" t="n">
        <v>1</v>
      </c>
      <c r="S198" t="n">
        <v>0</v>
      </c>
      <c r="T198" t="inlineStr"/>
      <c r="U198" t="inlineStr"/>
      <c r="V198" t="inlineStr"/>
      <c r="W198" t="inlineStr">
        <is>
          <t>Socratic quality 3/5 (Clarification): Clarification: asks the student to explain their reasoning. Conceptual precision 4/5 (Good): Good: clearly identifies the alternative conception with precise technical language. Good overall performance; room for improvement in socratic depth.</t>
        </is>
      </c>
    </row>
    <row r="199">
      <c r="A199" t="n">
        <v>198</v>
      </c>
      <c r="B199" t="n">
        <v>67</v>
      </c>
      <c r="C199" t="n">
        <v>3</v>
      </c>
      <c r="D199" t="n">
        <v>7</v>
      </c>
      <c r="E199" t="inlineStr">
        <is>
          <t>R1, R2 y R3 ya que todas están en paralelo con la fuente y son iguales</t>
        </is>
      </c>
      <c r="F199" t="inlineStr">
        <is>
          <t>Si la corriente busca el camino de menor resistencia, ¿cómo se relaciona la oposición al paso de corriente con la cantidad de corriente que fluye a través de cada resistor, especialmente en un circuito con múltiples resistencias en paralelo?</t>
        </is>
      </c>
      <c r="G199" t="n">
        <v>3</v>
      </c>
      <c r="H199" t="n">
        <v>3</v>
      </c>
      <c r="I199" t="n">
        <v>3</v>
      </c>
      <c r="J199" t="n">
        <v>5</v>
      </c>
      <c r="K199" t="n">
        <v>14</v>
      </c>
      <c r="L199" t="n">
        <v>0.767</v>
      </c>
      <c r="M199" t="n">
        <v>45</v>
      </c>
      <c r="N199" t="n">
        <v>78.2</v>
      </c>
      <c r="O199" t="inlineStr">
        <is>
          <t>AC2, AC14-near</t>
        </is>
      </c>
      <c r="P199" t="inlineStr">
        <is>
          <t>AC2, AC14-near, AC14-series</t>
        </is>
      </c>
      <c r="Q199" t="n">
        <v>0.667</v>
      </c>
      <c r="R199" t="n">
        <v>1</v>
      </c>
      <c r="S199" t="n">
        <v>0.8</v>
      </c>
      <c r="T199" t="inlineStr"/>
      <c r="U199" t="inlineStr"/>
      <c r="V199" t="inlineStr"/>
      <c r="W199" t="inlineStr">
        <is>
          <t>Socratic quality 3/5 (Clarification): Generic question: asks for clarification without attacking the root error. Conceptual precision 3/5 (Sufficient): Sufficient: identifies that there is an error and uses correct concepts, but the diagnosis is somewhat vague. Good overall performance; room for improvement in socratic depth.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Field</t>
        </is>
      </c>
      <c r="B1" t="inlineStr">
        <is>
          <t>Value</t>
        </is>
      </c>
    </row>
    <row r="2">
      <c r="A2" t="inlineStr">
        <is>
          <t>Generation date</t>
        </is>
      </c>
      <c r="B2" t="inlineStr">
        <is>
          <t>2026-05-21T11:40:46.051160</t>
        </is>
      </c>
    </row>
    <row r="3">
      <c r="A3" t="inlineStr">
        <is>
          <t>Method</t>
        </is>
      </c>
      <c r="B3" t="inlineStr">
        <is>
          <t>RAG</t>
        </is>
      </c>
    </row>
    <row r="4">
      <c r="A4" t="inlineStr">
        <is>
          <t>Models evaluated</t>
        </is>
      </c>
      <c r="B4" t="inlineStr">
        <is>
          <t>gemma3:27b, gemma3:4b</t>
        </is>
      </c>
    </row>
    <row r="5">
      <c r="A5" t="inlineStr">
        <is>
          <t>Exercises covered</t>
        </is>
      </c>
      <c r="B5" t="inlineStr">
        <is>
          <t>1, 3, 4, 5, 6, 7</t>
        </is>
      </c>
    </row>
    <row r="6">
      <c r="A6" t="inlineStr">
        <is>
          <t>Total evaluations</t>
        </is>
      </c>
      <c r="B6" t="n">
        <v>396</v>
      </c>
    </row>
    <row r="7">
      <c r="A7" t="inlineStr">
        <is>
          <t>UPV Ollama URL</t>
        </is>
      </c>
      <c r="B7" t="inlineStr">
        <is>
          <t>https://ollama.gti-ia.upv.es:443</t>
        </is>
      </c>
    </row>
    <row r="8">
      <c r="A8" t="inlineStr">
        <is>
          <t>PoliGPT URL</t>
        </is>
      </c>
      <c r="B8" t="inlineStr">
        <is>
          <t>https://api.poligpt.upv.es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3"/>
  <sheetViews>
    <sheetView workbookViewId="0">
      <selection activeCell="A1" sqref="A1"/>
    </sheetView>
  </sheetViews>
  <sheetFormatPr baseColWidth="8" defaultRowHeight="15"/>
  <sheetData>
    <row r="1">
      <c r="A1" t="inlineStr">
        <is>
          <t>Ranking</t>
        </is>
      </c>
      <c r="B1" t="inlineStr">
        <is>
          <t>Model</t>
        </is>
      </c>
      <c r="C1" t="inlineStr">
        <is>
          <t>samples</t>
        </is>
      </c>
      <c r="D1" t="inlineStr">
        <is>
          <t>avg_latency</t>
        </is>
      </c>
      <c r="E1" t="inlineStr">
        <is>
          <t>p95_latency</t>
        </is>
      </c>
      <c r="F1" t="inlineStr">
        <is>
          <t>throughput</t>
        </is>
      </c>
      <c r="G1" t="inlineStr">
        <is>
          <t>avg_tokens</t>
        </is>
      </c>
      <c r="H1" t="inlineStr">
        <is>
          <t>socratic_format</t>
        </is>
      </c>
      <c r="I1" t="inlineStr">
        <is>
          <t>conceptual_correctness</t>
        </is>
      </c>
      <c r="J1" t="inlineStr">
        <is>
          <t>adaptability</t>
        </is>
      </c>
      <c r="K1" t="inlineStr">
        <is>
          <t>reflection_generation</t>
        </is>
      </c>
      <c r="L1" t="inlineStr">
        <is>
          <t>score_total</t>
        </is>
      </c>
      <c r="M1" t="inlineStr">
        <is>
          <t>pct_socratic</t>
        </is>
      </c>
      <c r="N1" t="inlineStr">
        <is>
          <t>pct_score_15</t>
        </is>
      </c>
      <c r="O1" t="inlineStr">
        <is>
          <t>faithfulness</t>
        </is>
      </c>
      <c r="P1" t="inlineStr">
        <is>
          <t>relevance</t>
        </is>
      </c>
      <c r="Q1" t="inlineStr">
        <is>
          <t>pct_cot</t>
        </is>
      </c>
    </row>
    <row r="2">
      <c r="A2" t="n">
        <v>1</v>
      </c>
      <c r="B2" t="inlineStr">
        <is>
          <t>gemma3:27b</t>
        </is>
      </c>
      <c r="C2">
        <f>COUNTA('Results_gemma3_27b'!A2:A10000)</f>
        <v/>
      </c>
      <c r="D2">
        <f>IFERROR(AVERAGE('Results_gemma3_27b'!L2:L10000),"")</f>
        <v/>
      </c>
      <c r="E2">
        <f>IFERROR(PERCENTILE('Results_gemma3_27b'!L2:L10000,0.95),"")</f>
        <v/>
      </c>
      <c r="F2">
        <f>IFERROR(IF(AVERAGE('Results_gemma3_27b'!L2:L10000)&gt;0,60/AVERAGE('Results_gemma3_27b'!L2:L10000),0),"")</f>
        <v/>
      </c>
      <c r="G2">
        <f>IFERROR(AVERAGE('Results_gemma3_27b'!M2:M10000),"")</f>
        <v/>
      </c>
      <c r="H2">
        <f>IFERROR(AVERAGE('Results_gemma3_27b'!G2:G10000),"")</f>
        <v/>
      </c>
      <c r="I2">
        <f>IFERROR(AVERAGE('Results_gemma3_27b'!H2:H10000),"")</f>
        <v/>
      </c>
      <c r="J2">
        <f>IFERROR(AVERAGE('Results_gemma3_27b'!I2:I10000),"")</f>
        <v/>
      </c>
      <c r="K2">
        <f>IFERROR(AVERAGE('Results_gemma3_27b'!J2:J10000),"")</f>
        <v/>
      </c>
      <c r="L2">
        <f>IFERROR(AVERAGE('Results_gemma3_27b'!K2:K10000),"")</f>
        <v/>
      </c>
      <c r="M2">
        <f>IFERROR(COUNTIF('Results_gemma3_27b'!G2:G10000,"&gt;=4")/COUNTA('Results_gemma3_27b'!G2:G10000)*100,"")</f>
        <v/>
      </c>
      <c r="N2">
        <f>IFERROR(COUNTIF('Results_gemma3_27b'!K2:K10000,"&gt;=15")/COUNTA('Results_gemma3_27b'!K2:K10000)*100,"")</f>
        <v/>
      </c>
      <c r="O2">
        <f>IFERROR(AVERAGE('Results_gemma3_27b'!T2:T10000),"")</f>
        <v/>
      </c>
      <c r="P2">
        <f>IFERROR(AVERAGE('Results_gemma3_27b'!U2:U10000),"")</f>
        <v/>
      </c>
      <c r="Q2">
        <f>IFERROR(COUNTIF('Results_gemma3_27b'!V2:V10000,"&lt;&gt;")/COUNTA('Results_gemma3_27b'!A2:A10000)*100,"")</f>
        <v/>
      </c>
    </row>
    <row r="3">
      <c r="A3" t="n">
        <v>2</v>
      </c>
      <c r="B3" t="inlineStr">
        <is>
          <t>gemma3:4b</t>
        </is>
      </c>
      <c r="C3">
        <f>COUNTA('Results_gemma3_4b'!A2:A10000)</f>
        <v/>
      </c>
      <c r="D3">
        <f>IFERROR(AVERAGE('Results_gemma3_4b'!L2:L10000),"")</f>
        <v/>
      </c>
      <c r="E3">
        <f>IFERROR(PERCENTILE('Results_gemma3_4b'!L2:L10000,0.95),"")</f>
        <v/>
      </c>
      <c r="F3">
        <f>IFERROR(IF(AVERAGE('Results_gemma3_4b'!L2:L10000)&gt;0,60/AVERAGE('Results_gemma3_4b'!L2:L10000),0),"")</f>
        <v/>
      </c>
      <c r="G3">
        <f>IFERROR(AVERAGE('Results_gemma3_4b'!M2:M10000),"")</f>
        <v/>
      </c>
      <c r="H3">
        <f>IFERROR(AVERAGE('Results_gemma3_4b'!G2:G10000),"")</f>
        <v/>
      </c>
      <c r="I3">
        <f>IFERROR(AVERAGE('Results_gemma3_4b'!H2:H10000),"")</f>
        <v/>
      </c>
      <c r="J3">
        <f>IFERROR(AVERAGE('Results_gemma3_4b'!I2:I10000),"")</f>
        <v/>
      </c>
      <c r="K3">
        <f>IFERROR(AVERAGE('Results_gemma3_4b'!J2:J10000),"")</f>
        <v/>
      </c>
      <c r="L3">
        <f>IFERROR(AVERAGE('Results_gemma3_4b'!K2:K10000),"")</f>
        <v/>
      </c>
      <c r="M3">
        <f>IFERROR(COUNTIF('Results_gemma3_4b'!G2:G10000,"&gt;=4")/COUNTA('Results_gemma3_4b'!G2:G10000)*100,"")</f>
        <v/>
      </c>
      <c r="N3">
        <f>IFERROR(COUNTIF('Results_gemma3_4b'!K2:K10000,"&gt;=15")/COUNTA('Results_gemma3_4b'!K2:K10000)*100,"")</f>
        <v/>
      </c>
      <c r="O3">
        <f>IFERROR(AVERAGE('Results_gemma3_4b'!T2:T10000),"")</f>
        <v/>
      </c>
      <c r="P3">
        <f>IFERROR(AVERAGE('Results_gemma3_4b'!U2:U10000),"")</f>
        <v/>
      </c>
      <c r="Q3">
        <f>IFERROR(COUNTIF('Results_gemma3_4b'!V2:V10000,"&lt;&gt;")/COUNTA('Results_gemma3_4b'!A2:A10000)*100,"")</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 r="A1" t="inlineStr">
        <is>
          <t>Model</t>
        </is>
      </c>
      <c r="B1" t="inlineStr">
        <is>
          <t>Arch.</t>
        </is>
      </c>
      <c r="C1" t="inlineStr">
        <is>
          <t>samples</t>
        </is>
      </c>
      <c r="D1" t="inlineStr">
        <is>
          <t>avg_latency (s)</t>
        </is>
      </c>
      <c r="E1" t="inlineStr">
        <is>
          <t>avg_tokens</t>
        </is>
      </c>
      <c r="F1" t="inlineStr">
        <is>
          <t>socraticity (0-5)</t>
        </is>
      </c>
      <c r="G1" t="inlineStr">
        <is>
          <t>conceptual correctness (0-5)</t>
        </is>
      </c>
      <c r="H1" t="inlineStr">
        <is>
          <t>consistency (0-5)</t>
        </is>
      </c>
      <c r="I1" t="inlineStr">
        <is>
          <t>hallucination rate (0-5)</t>
        </is>
      </c>
      <c r="J1" t="inlineStr">
        <is>
          <t>temperature</t>
        </is>
      </c>
    </row>
    <row r="2">
      <c r="A2" t="inlineStr">
        <is>
          <t>gemma3:27b</t>
        </is>
      </c>
      <c r="B2" t="inlineStr">
        <is>
          <t>RAG</t>
        </is>
      </c>
      <c r="C2">
        <f>COUNTA('Results_gemma3_27b'!A2:A10000)</f>
        <v/>
      </c>
      <c r="D2">
        <f>IFERROR(AVERAGE('Results_gemma3_27b'!L2:L10000),"")</f>
        <v/>
      </c>
      <c r="E2">
        <f>IFERROR(AVERAGE('Results_gemma3_27b'!M2:M10000),"")</f>
        <v/>
      </c>
      <c r="F2">
        <f>IFERROR(AVERAGE('Results_gemma3_27b'!G2:G10000),"")</f>
        <v/>
      </c>
      <c r="G2">
        <f>IFERROR(AVERAGE('Results_gemma3_27b'!H2:H10000),"")</f>
        <v/>
      </c>
      <c r="H2">
        <f>IFERROR(AVERAGE('Results_gemma3_27b'!I2:I10000),"")</f>
        <v/>
      </c>
      <c r="I2">
        <f>IFERROR(AVERAGE('Results_gemma3_27b'!J2:J10000),"")</f>
        <v/>
      </c>
      <c r="J2" t="n">
        <v>0.7</v>
      </c>
    </row>
    <row r="3">
      <c r="A3" t="inlineStr">
        <is>
          <t>gemma3:4b</t>
        </is>
      </c>
      <c r="B3" t="inlineStr">
        <is>
          <t>RAG</t>
        </is>
      </c>
      <c r="C3">
        <f>COUNTA('Results_gemma3_4b'!A2:A10000)</f>
        <v/>
      </c>
      <c r="D3">
        <f>IFERROR(AVERAGE('Results_gemma3_4b'!L2:L10000),"")</f>
        <v/>
      </c>
      <c r="E3">
        <f>IFERROR(AVERAGE('Results_gemma3_4b'!M2:M10000),"")</f>
        <v/>
      </c>
      <c r="F3">
        <f>IFERROR(AVERAGE('Results_gemma3_4b'!G2:G10000),"")</f>
        <v/>
      </c>
      <c r="G3">
        <f>IFERROR(AVERAGE('Results_gemma3_4b'!H2:H10000),"")</f>
        <v/>
      </c>
      <c r="H3">
        <f>IFERROR(AVERAGE('Results_gemma3_4b'!I2:I10000),"")</f>
        <v/>
      </c>
      <c r="I3">
        <f>IFERROR(AVERAGE('Results_gemma3_4b'!J2:J10000),"")</f>
        <v/>
      </c>
      <c r="J3" t="n">
        <v>0.7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Model</t>
        </is>
      </c>
      <c r="B1" t="inlineStr">
        <is>
          <t>avg_latency</t>
        </is>
      </c>
      <c r="C1" t="inlineStr">
        <is>
          <t>p95_latency</t>
        </is>
      </c>
      <c r="D1" t="inlineStr">
        <is>
          <t>throughput</t>
        </is>
      </c>
      <c r="E1" t="inlineStr">
        <is>
          <t>avg_tokens</t>
        </is>
      </c>
    </row>
    <row r="2">
      <c r="A2" t="inlineStr">
        <is>
          <t>gemma3:27b</t>
        </is>
      </c>
      <c r="B2">
        <f>IFERROR(AVERAGE('Results_gemma3_27b'!L2:L10000),"")</f>
        <v/>
      </c>
      <c r="C2">
        <f>IFERROR(PERCENTILE('Results_gemma3_27b'!L2:L10000,0.95),"")</f>
        <v/>
      </c>
      <c r="D2">
        <f>IFERROR(IF(AVERAGE('Results_gemma3_27b'!L2:L10000)&gt;0,60/AVERAGE('Results_gemma3_27b'!L2:L10000),0),"")</f>
        <v/>
      </c>
      <c r="E2">
        <f>IFERROR(AVERAGE('Results_gemma3_27b'!M2:M10000),"")</f>
        <v/>
      </c>
    </row>
    <row r="3">
      <c r="A3" t="inlineStr">
        <is>
          <t>gemma3:4b</t>
        </is>
      </c>
      <c r="B3">
        <f>IFERROR(AVERAGE('Results_gemma3_4b'!L2:L10000),"")</f>
        <v/>
      </c>
      <c r="C3">
        <f>IFERROR(PERCENTILE('Results_gemma3_4b'!L2:L10000,0.95),"")</f>
        <v/>
      </c>
      <c r="D3">
        <f>IFERROR(IF(AVERAGE('Results_gemma3_4b'!L2:L10000)&gt;0,60/AVERAGE('Results_gemma3_4b'!L2:L10000),0),"")</f>
        <v/>
      </c>
      <c r="E3">
        <f>IFERROR(AVERAGE('Results_gemma3_4b'!M2:M10000),"")</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Model</t>
        </is>
      </c>
      <c r="B1" t="inlineStr">
        <is>
          <t>faithfulness</t>
        </is>
      </c>
      <c r="C1" t="inlineStr">
        <is>
          <t>relevance</t>
        </is>
      </c>
      <c r="D1" t="inlineStr">
        <is>
          <t>pct_cot</t>
        </is>
      </c>
    </row>
    <row r="2">
      <c r="A2" t="inlineStr">
        <is>
          <t>gemma3:27b</t>
        </is>
      </c>
      <c r="B2">
        <f>IFERROR(AVERAGE('Results_gemma3_27b'!T2:T10000),"")</f>
        <v/>
      </c>
      <c r="C2">
        <f>IFERROR(AVERAGE('Results_gemma3_27b'!U2:U10000),"")</f>
        <v/>
      </c>
      <c r="D2">
        <f>IFERROR(COUNTIF('Results_gemma3_27b'!V2:V10000,"&lt;&gt;")/COUNTA('Results_gemma3_27b'!A2:A10000)*100,"")</f>
        <v/>
      </c>
    </row>
    <row r="3">
      <c r="A3" t="inlineStr">
        <is>
          <t>gemma3:4b</t>
        </is>
      </c>
      <c r="B3">
        <f>IFERROR(AVERAGE('Results_gemma3_4b'!T2:T10000),"")</f>
        <v/>
      </c>
      <c r="C3">
        <f>IFERROR(AVERAGE('Results_gemma3_4b'!U2:U10000),"")</f>
        <v/>
      </c>
      <c r="D3">
        <f>IFERROR(COUNTIF('Results_gemma3_4b'!V2:V10000,"&lt;&gt;")/COUNTA('Results_gemma3_4b'!A2:A10000)*100,"")</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2026-05-21T09:40:45Z</dcterms:created>
  <dcterms:modified xmlns:dcterms="http://purl.org/dc/terms/" xmlns:xsi="http://www.w3.org/2001/XMLSchema-instance" xsi:type="dcterms:W3CDTF">2026-05-21T09:40:46Z</dcterms:modified>
</cp:coreProperties>
</file>