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llama" sheetId="1" state="visible" r:id="rId1"/>
    <sheet xmlns:r="http://schemas.openxmlformats.org/officeDocument/2006/relationships" name="Resultados_phi4" sheetId="2" state="visible" r:id="rId2"/>
    <sheet xmlns:r="http://schemas.openxmlformats.org/officeDocument/2006/relationships" name="Metadata" sheetId="3" state="visible" r:id="rId3"/>
    <sheet xmlns:r="http://schemas.openxmlformats.org/officeDocument/2006/relationships" name="Ranking" sheetId="4" state="visible" r:id="rId4"/>
    <sheet xmlns:r="http://schemas.openxmlformats.org/officeDocument/2006/relationships" name="Resultados_Articulo" sheetId="5" state="visible" r:id="rId5"/>
    <sheet xmlns:r="http://schemas.openxmlformats.org/officeDocument/2006/relationships" name="Eficiencia" sheetId="6" state="visible" r:id="rId6"/>
    <sheet xmlns:r="http://schemas.openxmlformats.org/officeDocument/2006/relationships" name="Análisis C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Conversación</t>
        </is>
      </c>
      <c r="C1" t="inlineStr">
        <is>
          <t>Turno</t>
        </is>
      </c>
      <c r="D1" t="inlineStr">
        <is>
          <t>Ejercicio</t>
        </is>
      </c>
      <c r="E1" t="inlineStr">
        <is>
          <t>Respuesta Estudiante</t>
        </is>
      </c>
      <c r="F1" t="inlineStr">
        <is>
          <t>Respuesta Tutor Socrático</t>
        </is>
      </c>
      <c r="G1" t="inlineStr">
        <is>
          <t>Socraticidad</t>
        </is>
      </c>
      <c r="H1" t="inlineStr">
        <is>
          <t>Precisión Conceptual</t>
        </is>
      </c>
      <c r="I1" t="inlineStr">
        <is>
          <t>Consistencia</t>
        </is>
      </c>
      <c r="J1" t="inlineStr">
        <is>
          <t>Tasa Alucinación</t>
        </is>
      </c>
      <c r="K1" t="inlineStr">
        <is>
          <t>Score Total</t>
        </is>
      </c>
      <c r="L1" t="inlineStr">
        <is>
          <t>Latencia (s)</t>
        </is>
      </c>
      <c r="M1" t="inlineStr">
        <is>
          <t>Tokens</t>
        </is>
      </c>
      <c r="N1" t="inlineStr">
        <is>
          <t>Throughput (resp/min)</t>
        </is>
      </c>
      <c r="O1" t="inlineStr">
        <is>
          <t>ACs Esperadas</t>
        </is>
      </c>
      <c r="P1" t="inlineStr">
        <is>
          <t>ACs Detectadas</t>
        </is>
      </c>
      <c r="Q1" t="inlineStr">
        <is>
          <t>AC Precision</t>
        </is>
      </c>
      <c r="R1" t="inlineStr">
        <is>
          <t>AC Recall</t>
        </is>
      </c>
      <c r="S1" t="inlineStr">
        <is>
          <t>AC F1</t>
        </is>
      </c>
      <c r="T1" t="inlineStr">
        <is>
          <t>Faithfulness</t>
        </is>
      </c>
      <c r="U1" t="inlineStr">
        <is>
          <t>Relevance</t>
        </is>
      </c>
      <c r="V1" t="inlineStr">
        <is>
          <t>Think Content</t>
        </is>
      </c>
      <c r="W1" t="inlineStr">
        <is>
          <t>Feedback Constructivo</t>
        </is>
      </c>
    </row>
    <row r="2">
      <c r="A2" t="n">
        <v>31</v>
      </c>
      <c r="B2" t="n">
        <v>11</v>
      </c>
      <c r="C2" t="n">
        <v>1</v>
      </c>
      <c r="D2" t="n">
        <v>3</v>
      </c>
      <c r="E2" t="inlineStr">
        <is>
          <t>R4 y R5 dado que las dos resistencia forman un divisor de tensión</t>
        </is>
      </c>
      <c r="F2" t="inlineStr">
        <is>
          <t>¿No deberías considerar también la resistencia R3, ya que forma parte del camino eléctrico que conecta el nodo N2 con el referencia de 0 volts? ¿Cómo afecta R3 a la diferencia de potencial entre N2 y 0 en este circuito?</t>
        </is>
      </c>
      <c r="G2" t="n">
        <v>4</v>
      </c>
      <c r="H2" t="n">
        <v>3</v>
      </c>
      <c r="I2" t="n">
        <v>3</v>
      </c>
      <c r="J2" t="n">
        <v>5</v>
      </c>
      <c r="K2" t="n">
        <v>15</v>
      </c>
      <c r="L2" t="n">
        <v>2.981</v>
      </c>
      <c r="M2" t="n">
        <v>61</v>
      </c>
      <c r="N2" t="n">
        <v>20.13</v>
      </c>
      <c r="O2" t="inlineStr">
        <is>
          <t>AC9</t>
        </is>
      </c>
      <c r="P2" t="inlineStr">
        <is>
          <t>AC13</t>
        </is>
      </c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>
        <is>
          <t>Socraticidad 4/5 (Andamiaje para detección): Andamiaje para detección: identifica el área del error y plantea pregunta que confronta con la teoría. Precisión Conceptual 3/5 (Suficiente): Suficiente: identifica que hay un error y usa conceptos correctos, pero el diagnóstico es algo vago. Buen desempeño general; hay margen de mejora en profundidad socrática.</t>
        </is>
      </c>
    </row>
    <row r="3">
      <c r="A3" t="n">
        <v>32</v>
      </c>
      <c r="B3" t="n">
        <v>11</v>
      </c>
      <c r="C3" t="n">
        <v>2</v>
      </c>
      <c r="D3" t="n">
        <v>3</v>
      </c>
      <c r="E3" t="inlineStr">
        <is>
          <t>R4 y R5 dado que se pide la tensión en R4</t>
        </is>
      </c>
      <c r="F3" t="inlineStr">
        <is>
          <t>¿La tensión en R4 no dependerá también de la corriente que fluye a través de ella, y cómo se relaciona esa corriente con las resistencias R3, R4 y R5 en este circuito?</t>
        </is>
      </c>
      <c r="G3" t="n">
        <v>3</v>
      </c>
      <c r="H3" t="n">
        <v>3</v>
      </c>
      <c r="I3" t="n">
        <v>5</v>
      </c>
      <c r="J3" t="n">
        <v>5</v>
      </c>
      <c r="K3" t="n">
        <v>16</v>
      </c>
      <c r="L3" t="n">
        <v>3.611</v>
      </c>
      <c r="M3" t="n">
        <v>52</v>
      </c>
      <c r="N3" t="n">
        <v>16.61</v>
      </c>
      <c r="O3" t="inlineStr">
        <is>
          <t>AC9</t>
        </is>
      </c>
      <c r="P3" t="inlineStr">
        <is>
          <t>AC9</t>
        </is>
      </c>
      <c r="Q3" t="n">
        <v>1</v>
      </c>
      <c r="R3" t="n">
        <v>1</v>
      </c>
      <c r="S3" t="n">
        <v>1</v>
      </c>
      <c r="T3" t="inlineStr"/>
      <c r="U3" t="inlineStr"/>
      <c r="V3" t="inlineStr"/>
      <c r="W3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4">
      <c r="A4" t="n">
        <v>33</v>
      </c>
      <c r="B4" t="n">
        <v>11</v>
      </c>
      <c r="C4" t="n">
        <v>3</v>
      </c>
      <c r="D4" t="n">
        <v>3</v>
      </c>
      <c r="E4" t="inlineStr">
        <is>
          <t>R4 y R5 por identificar un divisor de tensión</t>
        </is>
      </c>
      <c r="F4" t="inlineStr">
        <is>
          <t>¿Estás seguro de que solo necesitas considerar R4 y R5 para calcular la tensión en R4, sin tener en cuenta la relación de las resistencias con el resto del circuito? ¿Cómo afecta la configuración del circuito a la tensión que se divide entre R4 y R5?</t>
        </is>
      </c>
      <c r="G4" t="n">
        <v>4</v>
      </c>
      <c r="H4" t="n">
        <v>3</v>
      </c>
      <c r="I4" t="n">
        <v>3</v>
      </c>
      <c r="J4" t="n">
        <v>5</v>
      </c>
      <c r="K4" t="n">
        <v>15</v>
      </c>
      <c r="L4" t="n">
        <v>4.328</v>
      </c>
      <c r="M4" t="n">
        <v>67</v>
      </c>
      <c r="N4" t="n">
        <v>13.86</v>
      </c>
      <c r="O4" t="inlineStr">
        <is>
          <t>AC9</t>
        </is>
      </c>
      <c r="P4" t="inlineStr">
        <is>
          <t>AC13, AC9</t>
        </is>
      </c>
      <c r="Q4" t="n">
        <v>0.5</v>
      </c>
      <c r="R4" t="n">
        <v>1</v>
      </c>
      <c r="S4" t="n">
        <v>0.667</v>
      </c>
      <c r="T4" t="inlineStr"/>
      <c r="U4" t="inlineStr"/>
      <c r="V4" t="inlineStr"/>
      <c r="W4" t="inlineStr">
        <is>
          <t>Socraticidad 4/5 (Andamiaje para detección): Andamiaje para detección: identifica el área del error y plantea pregunta que confronta con la teoría. Precisión Conceptual 3/5 (Suficiente): Suficiente: identifica que hay un error y usa conceptos correctos, pero el diagnóstico es algo vago. Buen desempeño general; hay margen de mejora en profundidad socrática.</t>
        </is>
      </c>
    </row>
    <row r="5">
      <c r="A5" t="n">
        <v>34</v>
      </c>
      <c r="B5" t="n">
        <v>12</v>
      </c>
      <c r="C5" t="n">
        <v>1</v>
      </c>
      <c r="D5" t="n">
        <v>3</v>
      </c>
      <c r="E5" t="inlineStr">
        <is>
          <t>R4 y R5 hacen un divisor de tensión</t>
        </is>
      </c>
      <c r="F5" t="inlineStr">
        <is>
          <t>¿Qué relación hay entre la conexión de R3 y el nodo N2 en el circuito, y cómo podría afectar la diferencia de potencial entre N2 y 0?</t>
        </is>
      </c>
      <c r="G5" t="n">
        <v>3</v>
      </c>
      <c r="H5" t="n">
        <v>3</v>
      </c>
      <c r="I5" t="n">
        <v>3</v>
      </c>
      <c r="J5" t="n">
        <v>5</v>
      </c>
      <c r="K5" t="n">
        <v>14</v>
      </c>
      <c r="L5" t="n">
        <v>2.314</v>
      </c>
      <c r="M5" t="n">
        <v>38</v>
      </c>
      <c r="N5" t="n">
        <v>25.93</v>
      </c>
      <c r="O5" t="inlineStr">
        <is>
          <t>AC9</t>
        </is>
      </c>
      <c r="P5" t="inlineStr">
        <is>
          <t>AC13</t>
        </is>
      </c>
      <c r="Q5" t="n">
        <v>0</v>
      </c>
      <c r="R5" t="n">
        <v>0</v>
      </c>
      <c r="S5" t="n">
        <v>0</v>
      </c>
      <c r="T5" t="inlineStr"/>
      <c r="U5" t="inlineStr"/>
      <c r="V5" t="inlineStr"/>
      <c r="W5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6">
      <c r="A6" t="n">
        <v>35</v>
      </c>
      <c r="B6" t="n">
        <v>12</v>
      </c>
      <c r="C6" t="n">
        <v>2</v>
      </c>
      <c r="D6" t="n">
        <v>3</v>
      </c>
      <c r="E6" t="inlineStr">
        <is>
          <t>R3, R4 y R5 porque son las resistencias que están conectadas a N2</t>
        </is>
      </c>
      <c r="F6" t="inlineStr">
        <is>
          <t>¿Cómo se determina el voltaje en el nodo N2 si R4 y R5 forman un divisor de tensión con una fuente de voltaje y una resistencia en serie?</t>
        </is>
      </c>
      <c r="G6" t="n">
        <v>3</v>
      </c>
      <c r="H6" t="n">
        <v>5</v>
      </c>
      <c r="I6" t="n">
        <v>4</v>
      </c>
      <c r="J6" t="n">
        <v>5</v>
      </c>
      <c r="K6" t="n">
        <v>17</v>
      </c>
      <c r="L6" t="n">
        <v>2.982</v>
      </c>
      <c r="M6" t="n">
        <v>41</v>
      </c>
      <c r="N6" t="n">
        <v>20.12</v>
      </c>
      <c r="O6" t="inlineStr"/>
      <c r="P6" t="inlineStr">
        <is>
          <t>AC13</t>
        </is>
      </c>
      <c r="Q6" t="n">
        <v>0</v>
      </c>
      <c r="R6" t="n">
        <v>1</v>
      </c>
      <c r="S6" t="n">
        <v>0</v>
      </c>
      <c r="T6" t="inlineStr"/>
      <c r="U6" t="inlineStr"/>
      <c r="V6" t="inlineStr"/>
      <c r="W6" t="inlineStr">
        <is>
          <t>Socraticidad 3/5 (Clarificación): Pregunta genérica: pide clarificación sin atacar la raíz del error. Precisión Conceptual 5/5 (Excelente): Excelente: identifica la concepción alternativa específica y la conecta con la topología del circuito. Tutor de alto rendimiento: guía socrática experta con diagnóstico preciso.</t>
        </is>
      </c>
    </row>
    <row r="7">
      <c r="A7" t="n">
        <v>36</v>
      </c>
      <c r="B7" t="n">
        <v>12</v>
      </c>
      <c r="C7" t="n">
        <v>3</v>
      </c>
      <c r="D7" t="n">
        <v>3</v>
      </c>
      <c r="E7" t="inlineStr">
        <is>
          <t>R3, R4 y R5 porque están en paralelo</t>
        </is>
      </c>
      <c r="F7" t="inlineStr">
        <is>
          <t>¿Están R3, R4 y R5 realmente configurados en paralelo en relación con el nodo N2, o podría haber una configuración diferente que involucre un divisor de tensión?</t>
        </is>
      </c>
      <c r="G7" t="n">
        <v>3</v>
      </c>
      <c r="H7" t="n">
        <v>5</v>
      </c>
      <c r="I7" t="n">
        <v>5</v>
      </c>
      <c r="J7" t="n">
        <v>5</v>
      </c>
      <c r="K7" t="n">
        <v>18</v>
      </c>
      <c r="L7" t="n">
        <v>3.204</v>
      </c>
      <c r="M7" t="n">
        <v>44</v>
      </c>
      <c r="N7" t="n">
        <v>18.73</v>
      </c>
      <c r="O7" t="inlineStr"/>
      <c r="P7" t="inlineStr"/>
      <c r="Q7" t="n">
        <v>1</v>
      </c>
      <c r="R7" t="n">
        <v>1</v>
      </c>
      <c r="S7" t="n">
        <v>1</v>
      </c>
      <c r="T7" t="inlineStr"/>
      <c r="U7" t="inlineStr"/>
      <c r="V7" t="inlineStr"/>
      <c r="W7" t="inlineStr">
        <is>
          <t>Socraticidad 3/5 (Clarificación): Pregunta genérica: pide clarificación sin atacar la raíz del error. Precisión Conceptual 5/5 (Excelente): Excelente: identifica la concepción alternativa específica y la conecta con la topología del circuito. Tutor de alto rendimiento: guía socrática experta con diagnóstico preciso.</t>
        </is>
      </c>
    </row>
    <row r="8">
      <c r="A8" t="n">
        <v>37</v>
      </c>
      <c r="B8" t="n">
        <v>13</v>
      </c>
      <c r="C8" t="n">
        <v>1</v>
      </c>
      <c r="D8" t="n">
        <v>4</v>
      </c>
      <c r="E8" t="inlineStr">
        <is>
          <t>R1, R2 y R3 porque son las resistencias que forman parte del circuito</t>
        </is>
      </c>
      <c r="F8" t="inlineStr">
        <is>
          <t>¿Cómo puede circular corriente a través de R3 si hay un interruptor abierto entre N1 y N2 que interrumpe el camino de la corriente?</t>
        </is>
      </c>
      <c r="G8" t="n">
        <v>3</v>
      </c>
      <c r="H8" t="n">
        <v>5</v>
      </c>
      <c r="I8" t="n">
        <v>3</v>
      </c>
      <c r="J8" t="n">
        <v>5</v>
      </c>
      <c r="K8" t="n">
        <v>16</v>
      </c>
      <c r="L8" t="n">
        <v>1.963</v>
      </c>
      <c r="M8" t="n">
        <v>38</v>
      </c>
      <c r="N8" t="n">
        <v>30.56</v>
      </c>
      <c r="O8" t="inlineStr">
        <is>
          <t>AC1</t>
        </is>
      </c>
      <c r="P8" t="inlineStr">
        <is>
          <t>AC1, AC13</t>
        </is>
      </c>
      <c r="Q8" t="n">
        <v>0.5</v>
      </c>
      <c r="R8" t="n">
        <v>1</v>
      </c>
      <c r="S8" t="n">
        <v>0.667</v>
      </c>
      <c r="T8" t="inlineStr"/>
      <c r="U8" t="inlineStr"/>
      <c r="V8" t="inlineStr"/>
      <c r="W8" t="inlineStr">
        <is>
          <t>Socraticidad 3/5 (Clarificación): Pregunta genérica: pide clarificación sin atacar la raíz del error. Precisión Conceptual 5/5 (Excelente): Excelente: identifica la concepción alternativa específica y la conecta con la topología del circuito. Buen desempeño general; hay margen de mejora en profundidad socrática.</t>
        </is>
      </c>
    </row>
    <row r="9">
      <c r="A9" t="n">
        <v>38</v>
      </c>
      <c r="B9" t="n">
        <v>13</v>
      </c>
      <c r="C9" t="n">
        <v>2</v>
      </c>
      <c r="D9" t="n">
        <v>4</v>
      </c>
      <c r="E9" t="inlineStr">
        <is>
          <t>R1, R2 y R3 porque están conectadas a la fuente de tensión</t>
        </is>
      </c>
      <c r="F9" t="inlineStr">
        <is>
          <t>¿Qué sucedería con el flujo de corriente si R3 estuviera conectada en serie con un cortocircuito en lugar de estar conectada a la fuente de tensión?</t>
        </is>
      </c>
      <c r="G9" t="n">
        <v>3</v>
      </c>
      <c r="H9" t="n">
        <v>3</v>
      </c>
      <c r="I9" t="n">
        <v>3</v>
      </c>
      <c r="J9" t="n">
        <v>5</v>
      </c>
      <c r="K9" t="n">
        <v>14</v>
      </c>
      <c r="L9" t="n">
        <v>3.297</v>
      </c>
      <c r="M9" t="n">
        <v>45</v>
      </c>
      <c r="N9" t="n">
        <v>18.2</v>
      </c>
      <c r="O9" t="inlineStr">
        <is>
          <t>AC1</t>
        </is>
      </c>
      <c r="P9" t="inlineStr">
        <is>
          <t>AC13, AC14</t>
        </is>
      </c>
      <c r="Q9" t="n">
        <v>0</v>
      </c>
      <c r="R9" t="n">
        <v>0</v>
      </c>
      <c r="S9" t="n">
        <v>0</v>
      </c>
      <c r="T9" t="inlineStr"/>
      <c r="U9" t="inlineStr"/>
      <c r="V9" t="inlineStr"/>
      <c r="W9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10">
      <c r="A10" t="n">
        <v>39</v>
      </c>
      <c r="B10" t="n">
        <v>13</v>
      </c>
      <c r="C10" t="n">
        <v>3</v>
      </c>
      <c r="D10" t="n">
        <v>4</v>
      </c>
      <c r="E10" t="inlineStr">
        <is>
          <t>R1, R2 y R3 porque están conectadas en paralelo</t>
        </is>
      </c>
      <c r="F10" t="inlineStr">
        <is>
          <t>¿Cómo afectaría la conexión en paralelo de R1, R2 y R3 a la caída de tensión en cada una de ellas si la fuente de tensión es la misma para todas?</t>
        </is>
      </c>
      <c r="G10" t="n">
        <v>3</v>
      </c>
      <c r="H10" t="n">
        <v>3</v>
      </c>
      <c r="I10" t="n">
        <v>5</v>
      </c>
      <c r="J10" t="n">
        <v>5</v>
      </c>
      <c r="K10" t="n">
        <v>16</v>
      </c>
      <c r="L10" t="n">
        <v>3.236</v>
      </c>
      <c r="M10" t="n">
        <v>45</v>
      </c>
      <c r="N10" t="n">
        <v>18.54</v>
      </c>
      <c r="O10" t="inlineStr">
        <is>
          <t>AC1</t>
        </is>
      </c>
      <c r="P10" t="inlineStr">
        <is>
          <t>AC14</t>
        </is>
      </c>
      <c r="Q10" t="n">
        <v>0</v>
      </c>
      <c r="R10" t="n">
        <v>0</v>
      </c>
      <c r="S10" t="n">
        <v>0</v>
      </c>
      <c r="T10" t="inlineStr"/>
      <c r="U10" t="inlineStr"/>
      <c r="V10" t="inlineStr"/>
      <c r="W10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11">
      <c r="A11" t="n">
        <v>40</v>
      </c>
      <c r="B11" t="n">
        <v>14</v>
      </c>
      <c r="C11" t="n">
        <v>1</v>
      </c>
      <c r="D11" t="n">
        <v>4</v>
      </c>
      <c r="E11" t="inlineStr">
        <is>
          <t>R1, R2 y R3 porque están conectadas en serie</t>
        </is>
      </c>
      <c r="F11" t="inlineStr">
        <is>
          <t>Si el interruptor entre N1 y N2 está abierto, ¿cómo puede fluir corriente a través de R3?</t>
        </is>
      </c>
      <c r="G11" t="n">
        <v>3</v>
      </c>
      <c r="H11" t="n">
        <v>5</v>
      </c>
      <c r="I11" t="n">
        <v>3</v>
      </c>
      <c r="J11" t="n">
        <v>5</v>
      </c>
      <c r="K11" t="n">
        <v>16</v>
      </c>
      <c r="L11" t="n">
        <v>1.89</v>
      </c>
      <c r="M11" t="n">
        <v>30</v>
      </c>
      <c r="N11" t="n">
        <v>31.74</v>
      </c>
      <c r="O11" t="inlineStr">
        <is>
          <t>AC1</t>
        </is>
      </c>
      <c r="P11" t="inlineStr">
        <is>
          <t>AC1, AC13</t>
        </is>
      </c>
      <c r="Q11" t="n">
        <v>0.5</v>
      </c>
      <c r="R11" t="n">
        <v>1</v>
      </c>
      <c r="S11" t="n">
        <v>0.667</v>
      </c>
      <c r="T11" t="inlineStr"/>
      <c r="U11" t="inlineStr"/>
      <c r="V11" t="inlineStr"/>
      <c r="W11" t="inlineStr">
        <is>
          <t>Socraticidad 3/5 (Clarificación): Pregunta genérica: pide clarificación sin atacar la raíz del error. Precisión Conceptual 5/5 (Excelente): Excelente: identifica la concepción alternativa específica y la conecta con la topología del circuito. Buen desempeño general; hay margen de mejora en profundidad socrática.</t>
        </is>
      </c>
    </row>
    <row r="12">
      <c r="A12" t="n">
        <v>41</v>
      </c>
      <c r="B12" t="n">
        <v>14</v>
      </c>
      <c r="C12" t="n">
        <v>2</v>
      </c>
      <c r="D12" t="n">
        <v>4</v>
      </c>
      <c r="E12" t="inlineStr">
        <is>
          <t>R1 y R2 porque son las resistencias por las que pasa corriente</t>
        </is>
      </c>
      <c r="F12" t="inlineStr">
        <is>
          <t>¿Y qué sucede con la resistencia total del circuito cuando R1 y R2 están conectadas en serie con R3, en lugar de solo considerar R1 y R2?</t>
        </is>
      </c>
      <c r="G12" t="n">
        <v>3</v>
      </c>
      <c r="H12" t="n">
        <v>3</v>
      </c>
      <c r="I12" t="n">
        <v>5</v>
      </c>
      <c r="J12" t="n">
        <v>5</v>
      </c>
      <c r="K12" t="n">
        <v>16</v>
      </c>
      <c r="L12" t="n">
        <v>2.805</v>
      </c>
      <c r="M12" t="n">
        <v>41</v>
      </c>
      <c r="N12" t="n">
        <v>21.39</v>
      </c>
      <c r="O12" t="inlineStr"/>
      <c r="P12" t="inlineStr">
        <is>
          <t>AC14</t>
        </is>
      </c>
      <c r="Q12" t="n">
        <v>0</v>
      </c>
      <c r="R12" t="n">
        <v>1</v>
      </c>
      <c r="S12" t="n">
        <v>0</v>
      </c>
      <c r="T12" t="inlineStr"/>
      <c r="U12" t="inlineStr"/>
      <c r="V12" t="inlineStr"/>
      <c r="W12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Conversación</t>
        </is>
      </c>
      <c r="C1" t="inlineStr">
        <is>
          <t>Turno</t>
        </is>
      </c>
      <c r="D1" t="inlineStr">
        <is>
          <t>Ejercicio</t>
        </is>
      </c>
      <c r="E1" t="inlineStr">
        <is>
          <t>Respuesta Estudiante</t>
        </is>
      </c>
      <c r="F1" t="inlineStr">
        <is>
          <t>Respuesta Tutor Socrático</t>
        </is>
      </c>
      <c r="G1" t="inlineStr">
        <is>
          <t>Socraticidad</t>
        </is>
      </c>
      <c r="H1" t="inlineStr">
        <is>
          <t>Precisión Conceptual</t>
        </is>
      </c>
      <c r="I1" t="inlineStr">
        <is>
          <t>Consistencia</t>
        </is>
      </c>
      <c r="J1" t="inlineStr">
        <is>
          <t>Tasa Alucinación</t>
        </is>
      </c>
      <c r="K1" t="inlineStr">
        <is>
          <t>Score Total</t>
        </is>
      </c>
      <c r="L1" t="inlineStr">
        <is>
          <t>Latencia (s)</t>
        </is>
      </c>
      <c r="M1" t="inlineStr">
        <is>
          <t>Tokens</t>
        </is>
      </c>
      <c r="N1" t="inlineStr">
        <is>
          <t>Throughput (resp/min)</t>
        </is>
      </c>
      <c r="O1" t="inlineStr">
        <is>
          <t>ACs Esperadas</t>
        </is>
      </c>
      <c r="P1" t="inlineStr">
        <is>
          <t>ACs Detectadas</t>
        </is>
      </c>
      <c r="Q1" t="inlineStr">
        <is>
          <t>AC Precision</t>
        </is>
      </c>
      <c r="R1" t="inlineStr">
        <is>
          <t>AC Recall</t>
        </is>
      </c>
      <c r="S1" t="inlineStr">
        <is>
          <t>AC F1</t>
        </is>
      </c>
      <c r="T1" t="inlineStr">
        <is>
          <t>Faithfulness</t>
        </is>
      </c>
      <c r="U1" t="inlineStr">
        <is>
          <t>Relevance</t>
        </is>
      </c>
      <c r="V1" t="inlineStr">
        <is>
          <t>Think Content</t>
        </is>
      </c>
      <c r="W1" t="inlineStr">
        <is>
          <t>Feedback Constructivo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inlineStr">
        <is>
          <t>R4 y R5 dado que las dos resistencia forman un divisor de tensión</t>
        </is>
      </c>
      <c r="F2" t="inlineStr">
        <is>
          <t>¿Puedes identificar qué hace con el circuito a R1 si está conectada directamente entre los dos terminales de su fuente, y cómo eso afecta el papel de las resistencias restantes N2-R3, R4 y R5?</t>
        </is>
      </c>
      <c r="G2" t="n">
        <v>3</v>
      </c>
      <c r="H2" t="n">
        <v>2</v>
      </c>
      <c r="I2" t="n">
        <v>5</v>
      </c>
      <c r="J2" t="n">
        <v>5</v>
      </c>
      <c r="K2" t="n">
        <v>15</v>
      </c>
      <c r="L2" t="n">
        <v>42.382</v>
      </c>
      <c r="M2" t="n">
        <v>48</v>
      </c>
      <c r="N2" t="n">
        <v>1.42</v>
      </c>
      <c r="O2" t="inlineStr">
        <is>
          <t>AC9</t>
        </is>
      </c>
      <c r="P2" t="inlineStr">
        <is>
          <t>AC6, AC13, AC9</t>
        </is>
      </c>
      <c r="Q2" t="n">
        <v>0.333</v>
      </c>
      <c r="R2" t="n">
        <v>1</v>
      </c>
      <c r="S2" t="n">
        <v>0.5</v>
      </c>
      <c r="T2" t="inlineStr"/>
      <c r="U2" t="inlineStr"/>
      <c r="V2" t="inlineStr"/>
      <c r="W2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3">
      <c r="A3" t="n">
        <v>2</v>
      </c>
      <c r="B3" t="n">
        <v>1</v>
      </c>
      <c r="C3" t="n">
        <v>2</v>
      </c>
      <c r="D3" t="n">
        <v>3</v>
      </c>
      <c r="E3" t="inlineStr">
        <is>
          <t>R4 y R5 dado que se pide la tensión en R4</t>
        </is>
      </c>
      <c r="F3" t="inlineStr">
        <is>
          <t>¿Cómo determinarías el valor del voltaje de referencia para medir las tensiones a través de R4 y R5, dado su arreglo con R1?</t>
        </is>
      </c>
      <c r="G3" t="n">
        <v>3</v>
      </c>
      <c r="H3" t="n">
        <v>2</v>
      </c>
      <c r="I3" t="n">
        <v>5</v>
      </c>
      <c r="J3" t="n">
        <v>5</v>
      </c>
      <c r="K3" t="n">
        <v>15</v>
      </c>
      <c r="L3" t="n">
        <v>0.701</v>
      </c>
      <c r="M3" t="n">
        <v>33</v>
      </c>
      <c r="N3" t="n">
        <v>85.56999999999999</v>
      </c>
      <c r="O3" t="inlineStr">
        <is>
          <t>AC9</t>
        </is>
      </c>
      <c r="P3" t="inlineStr"/>
      <c r="Q3" t="n">
        <v>1</v>
      </c>
      <c r="R3" t="n">
        <v>0</v>
      </c>
      <c r="S3" t="n">
        <v>0</v>
      </c>
      <c r="T3" t="inlineStr"/>
      <c r="U3" t="inlineStr"/>
      <c r="V3" t="inlineStr"/>
      <c r="W3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4">
      <c r="A4" t="n">
        <v>3</v>
      </c>
      <c r="B4" t="n">
        <v>1</v>
      </c>
      <c r="C4" t="n">
        <v>3</v>
      </c>
      <c r="D4" t="n">
        <v>3</v>
      </c>
      <c r="E4" t="inlineStr">
        <is>
          <t>R4 y R5 por identificar un divisor de tensión</t>
        </is>
      </c>
      <c r="F4" t="inlineStr">
        <is>
          <t>¿El papel de R1 afectaría tu cálculo para medir el voltaje directamente a través de R4 y R5, considerando su configuración?</t>
        </is>
      </c>
      <c r="G4" t="n">
        <v>3</v>
      </c>
      <c r="H4" t="n">
        <v>2</v>
      </c>
      <c r="I4" t="n">
        <v>5</v>
      </c>
      <c r="J4" t="n">
        <v>5</v>
      </c>
      <c r="K4" t="n">
        <v>15</v>
      </c>
      <c r="L4" t="n">
        <v>0.584</v>
      </c>
      <c r="M4" t="n">
        <v>30</v>
      </c>
      <c r="N4" t="n">
        <v>102.78</v>
      </c>
      <c r="O4" t="inlineStr">
        <is>
          <t>AC9</t>
        </is>
      </c>
      <c r="P4" t="inlineStr"/>
      <c r="Q4" t="n">
        <v>1</v>
      </c>
      <c r="R4" t="n">
        <v>0</v>
      </c>
      <c r="S4" t="n">
        <v>0</v>
      </c>
      <c r="T4" t="inlineStr"/>
      <c r="U4" t="inlineStr"/>
      <c r="V4" t="inlineStr"/>
      <c r="W4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5">
      <c r="A5" t="n">
        <v>4</v>
      </c>
      <c r="B5" t="n">
        <v>2</v>
      </c>
      <c r="C5" t="n">
        <v>1</v>
      </c>
      <c r="D5" t="n">
        <v>3</v>
      </c>
      <c r="E5" t="inlineStr">
        <is>
          <t>R4 y R5 hacen un divisor de tensión</t>
        </is>
      </c>
      <c r="F5" t="inlineStr">
        <is>
          <t>¿Puedes indicar qué relación tiene entre los terminales del nodo N2, considerando el estado actual del circuito para R1 y R2?</t>
        </is>
      </c>
      <c r="G5" t="n">
        <v>3</v>
      </c>
      <c r="H5" t="n">
        <v>2</v>
      </c>
      <c r="I5" t="n">
        <v>3</v>
      </c>
      <c r="J5" t="n">
        <v>5</v>
      </c>
      <c r="K5" t="n">
        <v>13</v>
      </c>
      <c r="L5" t="n">
        <v>0.588</v>
      </c>
      <c r="M5" t="n">
        <v>29</v>
      </c>
      <c r="N5" t="n">
        <v>102.12</v>
      </c>
      <c r="O5" t="inlineStr">
        <is>
          <t>AC9</t>
        </is>
      </c>
      <c r="P5" t="inlineStr">
        <is>
          <t>AC6, AC13</t>
        </is>
      </c>
      <c r="Q5" t="n">
        <v>0</v>
      </c>
      <c r="R5" t="n">
        <v>0</v>
      </c>
      <c r="S5" t="n">
        <v>0</v>
      </c>
      <c r="T5" t="inlineStr"/>
      <c r="U5" t="inlineStr"/>
      <c r="V5" t="inlineStr"/>
      <c r="W5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6">
      <c r="A6" t="n">
        <v>5</v>
      </c>
      <c r="B6" t="n">
        <v>2</v>
      </c>
      <c r="C6" t="n">
        <v>2</v>
      </c>
      <c r="D6" t="n">
        <v>3</v>
      </c>
      <c r="E6" t="inlineStr">
        <is>
          <t>R3, R4 y R5 porque son las resistencias que están conectadas a N2</t>
        </is>
      </c>
      <c r="F6" t="inlineStr">
        <is>
          <t>¿Podrían los terminales del nodo N1 interactuar con el estado de R3, R4 y R5 para determinar su función dentro del circuito?</t>
        </is>
      </c>
      <c r="G6" t="n">
        <v>3</v>
      </c>
      <c r="H6" t="n">
        <v>5</v>
      </c>
      <c r="I6" t="n">
        <v>5</v>
      </c>
      <c r="J6" t="n">
        <v>5</v>
      </c>
      <c r="K6" t="n">
        <v>18</v>
      </c>
      <c r="L6" t="n">
        <v>0.675</v>
      </c>
      <c r="M6" t="n">
        <v>33</v>
      </c>
      <c r="N6" t="n">
        <v>88.87</v>
      </c>
      <c r="O6" t="inlineStr"/>
      <c r="P6" t="inlineStr">
        <is>
          <t>AC6, AC13</t>
        </is>
      </c>
      <c r="Q6" t="n">
        <v>0</v>
      </c>
      <c r="R6" t="n">
        <v>1</v>
      </c>
      <c r="S6" t="n">
        <v>0</v>
      </c>
      <c r="T6" t="inlineStr"/>
      <c r="U6" t="inlineStr"/>
      <c r="V6" t="inlineStr"/>
      <c r="W6" t="inlineStr">
        <is>
          <t>Socraticidad 3/5 (Clarificación): Pregunta genérica: pide clarificación sin atacar la raíz del error. Precisión Conceptual 5/5 (Excelente): Excelente: identifica la concepción alternativa específica y la conecta con la topología del circuito. Tutor de alto rendimiento: guía socrática experta con diagnóstico preciso.</t>
        </is>
      </c>
    </row>
    <row r="7">
      <c r="A7" t="n">
        <v>6</v>
      </c>
      <c r="B7" t="n">
        <v>2</v>
      </c>
      <c r="C7" t="n">
        <v>3</v>
      </c>
      <c r="D7" t="n">
        <v>3</v>
      </c>
      <c r="E7" t="inlineStr">
        <is>
          <t>R3, R4 y R5 porque están en paralelo</t>
        </is>
      </c>
      <c r="F7" t="inlineStr">
        <is>
          <t>¿Podría examinar el camino del flujo de corriente desde N1 hacia abajo para identificar si hay una configuración paralela con R3, R4 y R5?</t>
        </is>
      </c>
      <c r="G7" t="n">
        <v>3</v>
      </c>
      <c r="H7" t="n">
        <v>3</v>
      </c>
      <c r="I7" t="n">
        <v>5</v>
      </c>
      <c r="J7" t="n">
        <v>5</v>
      </c>
      <c r="K7" t="n">
        <v>16</v>
      </c>
      <c r="L7" t="n">
        <v>0.617</v>
      </c>
      <c r="M7" t="n">
        <v>35</v>
      </c>
      <c r="N7" t="n">
        <v>97.31999999999999</v>
      </c>
      <c r="O7" t="inlineStr"/>
      <c r="P7" t="inlineStr"/>
      <c r="Q7" t="n">
        <v>1</v>
      </c>
      <c r="R7" t="n">
        <v>1</v>
      </c>
      <c r="S7" t="n">
        <v>1</v>
      </c>
      <c r="T7" t="inlineStr"/>
      <c r="U7" t="inlineStr"/>
      <c r="V7" t="inlineStr"/>
      <c r="W7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8">
      <c r="A8" t="n">
        <v>7</v>
      </c>
      <c r="B8" t="n">
        <v>3</v>
      </c>
      <c r="C8" t="n">
        <v>1</v>
      </c>
      <c r="D8" t="n">
        <v>4</v>
      </c>
      <c r="E8" t="inlineStr">
        <is>
          <t>R1, R2 y R3 porque son las resistencias que forman parte del circuito</t>
        </is>
      </c>
      <c r="F8" t="inlineStr">
        <is>
          <t>Si el interruptor entre N1 y N2 está abierto, ¿cuál es el estado de corriente a través de R3 y cómo afecta esto a la contribución total del circuito?</t>
        </is>
      </c>
      <c r="G8" t="n">
        <v>3</v>
      </c>
      <c r="H8" t="n">
        <v>5</v>
      </c>
      <c r="I8" t="n">
        <v>3</v>
      </c>
      <c r="J8" t="n">
        <v>5</v>
      </c>
      <c r="K8" t="n">
        <v>16</v>
      </c>
      <c r="L8" t="n">
        <v>0.771</v>
      </c>
      <c r="M8" t="n">
        <v>39</v>
      </c>
      <c r="N8" t="n">
        <v>77.86</v>
      </c>
      <c r="O8" t="inlineStr">
        <is>
          <t>AC1</t>
        </is>
      </c>
      <c r="P8" t="inlineStr">
        <is>
          <t>AC1, AC13</t>
        </is>
      </c>
      <c r="Q8" t="n">
        <v>0.5</v>
      </c>
      <c r="R8" t="n">
        <v>1</v>
      </c>
      <c r="S8" t="n">
        <v>0.667</v>
      </c>
      <c r="T8" t="inlineStr"/>
      <c r="U8" t="inlineStr"/>
      <c r="V8" t="inlineStr"/>
      <c r="W8" t="inlineStr">
        <is>
          <t>Socraticidad 3/5 (Clarificación): Pregunta genérica: pide clarificación sin atacar la raíz del error. Precisión Conceptual 5/5 (Excelente): Excelente: identifica la concepción alternativa específica y la conecta con la topología del circuito. Buen desempeño general; hay margen de mejora en profundidad socrática.</t>
        </is>
      </c>
    </row>
    <row r="9">
      <c r="A9" t="n">
        <v>8</v>
      </c>
      <c r="B9" t="n">
        <v>3</v>
      </c>
      <c r="C9" t="n">
        <v>2</v>
      </c>
      <c r="D9" t="n">
        <v>4</v>
      </c>
      <c r="E9" t="inlineStr">
        <is>
          <t>R1, R2 y R3 porque están conectadas a la fuente de tensión</t>
        </is>
      </c>
      <c r="F9" t="inlineStr">
        <is>
          <t>Si el interruptor se cierra repentinamente entre N1, N2 y R3, ¿cómo cambiaría esto su análisis del flujo de corriente a través de cada resistencia?</t>
        </is>
      </c>
      <c r="G9" t="n">
        <v>3</v>
      </c>
      <c r="H9" t="n">
        <v>4</v>
      </c>
      <c r="I9" t="n">
        <v>3</v>
      </c>
      <c r="J9" t="n">
        <v>5</v>
      </c>
      <c r="K9" t="n">
        <v>15</v>
      </c>
      <c r="L9" t="n">
        <v>0.605</v>
      </c>
      <c r="M9" t="n">
        <v>38</v>
      </c>
      <c r="N9" t="n">
        <v>99.11</v>
      </c>
      <c r="O9" t="inlineStr">
        <is>
          <t>AC1</t>
        </is>
      </c>
      <c r="P9" t="inlineStr">
        <is>
          <t>AC1, AC13</t>
        </is>
      </c>
      <c r="Q9" t="n">
        <v>0.5</v>
      </c>
      <c r="R9" t="n">
        <v>1</v>
      </c>
      <c r="S9" t="n">
        <v>0.667</v>
      </c>
      <c r="T9" t="inlineStr"/>
      <c r="U9" t="inlineStr"/>
      <c r="V9" t="inlineStr"/>
      <c r="W9" t="inlineStr">
        <is>
          <t>Socraticidad 3/5 (Clarificación): Pregunta genérica: pide clarificación sin atacar la raíz del error. Precisión Conceptual 4/5 (Bueno): Bueno: identifica claramente la concepción alternativa con lenguaje técnico preciso. Buen desempeño general; hay margen de mejora en profundidad socrática.</t>
        </is>
      </c>
    </row>
    <row r="10">
      <c r="A10" t="n">
        <v>9</v>
      </c>
      <c r="B10" t="n">
        <v>3</v>
      </c>
      <c r="C10" t="n">
        <v>3</v>
      </c>
      <c r="D10" t="n">
        <v>4</v>
      </c>
      <c r="E10" t="inlineStr">
        <is>
          <t>R1, R2 y R3 porque están conectadas en paralelo</t>
        </is>
      </c>
      <c r="F10" t="inlineStr">
        <is>
          <t>El circuito consiste tanto en ramas paralelas como series; ¿cómo deberíamos abordar el cálculo del flujo total de corriente teniendo en cuenta las características únicas de estas conexiones?</t>
        </is>
      </c>
      <c r="G10" t="n">
        <v>3</v>
      </c>
      <c r="H10" t="n">
        <v>3</v>
      </c>
      <c r="I10" t="n">
        <v>3</v>
      </c>
      <c r="J10" t="n">
        <v>5</v>
      </c>
      <c r="K10" t="n">
        <v>14</v>
      </c>
      <c r="L10" t="n">
        <v>0.597</v>
      </c>
      <c r="M10" t="n">
        <v>34</v>
      </c>
      <c r="N10" t="n">
        <v>100.5</v>
      </c>
      <c r="O10" t="inlineStr">
        <is>
          <t>AC1</t>
        </is>
      </c>
      <c r="P10" t="inlineStr">
        <is>
          <t>AC13, AC14</t>
        </is>
      </c>
      <c r="Q10" t="n">
        <v>0</v>
      </c>
      <c r="R10" t="n">
        <v>0</v>
      </c>
      <c r="S10" t="n">
        <v>0</v>
      </c>
      <c r="T10" t="inlineStr"/>
      <c r="U10" t="inlineStr"/>
      <c r="V10" t="inlineStr"/>
      <c r="W10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11">
      <c r="A11" t="n">
        <v>10</v>
      </c>
      <c r="B11" t="n">
        <v>4</v>
      </c>
      <c r="C11" t="n">
        <v>1</v>
      </c>
      <c r="D11" t="n">
        <v>4</v>
      </c>
      <c r="E11" t="inlineStr">
        <is>
          <t>R1, R2 y R3 porque están conectadas en serie</t>
        </is>
      </c>
      <c r="F11" t="inlineStr">
        <is>
          <t>¿Puedes describir cómo interactúan las resistencias R1, R2 y R3 con respecto a sus terminales para determinar el camino de corriente desde V1? ¿Están todos conectados en serie o incluye algún cortocircuito que excluya un componente del flujo de corriente?</t>
        </is>
      </c>
      <c r="G11" t="n">
        <v>3</v>
      </c>
      <c r="H11" t="n">
        <v>3</v>
      </c>
      <c r="I11" t="n">
        <v>4</v>
      </c>
      <c r="J11" t="n">
        <v>5</v>
      </c>
      <c r="K11" t="n">
        <v>15</v>
      </c>
      <c r="L11" t="n">
        <v>0.879</v>
      </c>
      <c r="M11" t="n">
        <v>60</v>
      </c>
      <c r="N11" t="n">
        <v>68.28</v>
      </c>
      <c r="O11" t="inlineStr">
        <is>
          <t>AC1</t>
        </is>
      </c>
      <c r="P11" t="inlineStr">
        <is>
          <t>AC1, AC13, AC14</t>
        </is>
      </c>
      <c r="Q11" t="n">
        <v>0.333</v>
      </c>
      <c r="R11" t="n">
        <v>1</v>
      </c>
      <c r="S11" t="n">
        <v>0.5</v>
      </c>
      <c r="T11" t="inlineStr"/>
      <c r="U11" t="inlineStr"/>
      <c r="V11" t="inlineStr"/>
      <c r="W11" t="inlineStr">
        <is>
          <t>Socraticidad 3/5 (Clarificación): Clarificación: pide que el alumno explique su razonamiento. Precisión Conceptual 3/5 (Suficiente): Suficiente: identifica que hay un error y usa conceptos correctos, pero el diagnóstico es algo vago. Buen desempeño general; hay margen de mejora en profundidad socrática.</t>
        </is>
      </c>
    </row>
    <row r="12">
      <c r="A12" t="n">
        <v>11</v>
      </c>
      <c r="B12" t="n">
        <v>4</v>
      </c>
      <c r="C12" t="n">
        <v>2</v>
      </c>
      <c r="D12" t="n">
        <v>4</v>
      </c>
      <c r="E12" t="inlineStr">
        <is>
          <t>R1 y R2 porque son las resistencias por las que pasa corriente</t>
        </is>
      </c>
      <c r="F12" t="inlineStr">
        <is>
          <t>¿Consideraste si los terminales de todas las tres resistencias R1, R2 y R3 están conectados o si una configuración podría estar causando un cortocircuito, excluyendo a alguna resistencia del camino para el flujo de corriente?</t>
        </is>
      </c>
      <c r="G12" t="n">
        <v>3</v>
      </c>
      <c r="H12" t="n">
        <v>5</v>
      </c>
      <c r="I12" t="n">
        <v>5</v>
      </c>
      <c r="J12" t="n">
        <v>5</v>
      </c>
      <c r="K12" t="n">
        <v>18</v>
      </c>
      <c r="L12" t="n">
        <v>0.764</v>
      </c>
      <c r="M12" t="n">
        <v>51</v>
      </c>
      <c r="N12" t="n">
        <v>78.58</v>
      </c>
      <c r="O12" t="inlineStr"/>
      <c r="P12" t="inlineStr">
        <is>
          <t>AC13, AC14</t>
        </is>
      </c>
      <c r="Q12" t="n">
        <v>0</v>
      </c>
      <c r="R12" t="n">
        <v>1</v>
      </c>
      <c r="S12" t="n">
        <v>0</v>
      </c>
      <c r="T12" t="inlineStr"/>
      <c r="U12" t="inlineStr"/>
      <c r="V12" t="inlineStr"/>
      <c r="W12" t="inlineStr">
        <is>
          <t>Socraticidad 3/5 (Clarificación): Pregunta genérica: pide clarificación sin atacar la raíz del error. Precisión Conceptual 5/5 (Excelente): Excelente: identifica la concepción alternativa específica y la conecta con la topología del circuito. Tutor de alto rendimiento: guía socrática experta con diagnóstico preciso.</t>
        </is>
      </c>
    </row>
    <row r="13">
      <c r="A13" t="n">
        <v>12</v>
      </c>
      <c r="B13" t="n">
        <v>4</v>
      </c>
      <c r="C13" t="n">
        <v>3</v>
      </c>
      <c r="D13" t="n">
        <v>4</v>
      </c>
      <c r="E13" t="inlineStr">
        <is>
          <t>R1 y R2 porque están conectadas en paralelo con la fuente</t>
        </is>
      </c>
      <c r="F13" t="inlineStr">
        <is>
          <t>¿Podemos confirmar si las configuraciones paralela o serie de los resistores influyen juntos con R3, y cómo afectaría esto el flujo total de corriente desde V1? ¿Es posible que una configuración parallel conectada a un circuito paralelo esté causando una distribución diferente del voltaje u impedancia en comparación con la conexión directa al fuente principal?</t>
        </is>
      </c>
      <c r="G13" t="n">
        <v>5</v>
      </c>
      <c r="H13" t="n">
        <v>4</v>
      </c>
      <c r="I13" t="n">
        <v>2</v>
      </c>
      <c r="J13" t="n">
        <v>5</v>
      </c>
      <c r="K13" t="n">
        <v>16</v>
      </c>
      <c r="L13" t="n">
        <v>0.758</v>
      </c>
      <c r="M13" t="n">
        <v>72</v>
      </c>
      <c r="N13" t="n">
        <v>79.15000000000001</v>
      </c>
      <c r="O13" t="inlineStr"/>
      <c r="P13" t="inlineStr">
        <is>
          <t>AC13, AC14</t>
        </is>
      </c>
      <c r="Q13" t="n">
        <v>0</v>
      </c>
      <c r="R13" t="n">
        <v>1</v>
      </c>
      <c r="S13" t="n">
        <v>0</v>
      </c>
      <c r="T13" t="inlineStr"/>
      <c r="U13" t="inlineStr"/>
      <c r="V13" t="inlineStr"/>
      <c r="W13" t="inlineStr">
        <is>
          <t>Socraticidad 5/5 (Inducción a la contradicción): Inducción a la contradicción: usa contraejemplo o reducción al absurdo. Precisión Conceptual 4/5 (Bueno): Bueno: identifica claramente la concepción alternativa con lenguaje técnico preciso. Buen desempeño general; hay margen de mejora en profundidad socrática.</t>
        </is>
      </c>
    </row>
    <row r="14">
      <c r="A14" t="n">
        <v>13</v>
      </c>
      <c r="B14" t="n">
        <v>5</v>
      </c>
      <c r="C14" t="n">
        <v>1</v>
      </c>
      <c r="D14" t="n">
        <v>5</v>
      </c>
      <c r="E14" t="inlineStr">
        <is>
          <t>R1 y R2 porque están conectadas en serie con la fuente</t>
        </is>
      </c>
      <c r="F14" t="inlineStr">
        <is>
          <t>¿Puede confirmar si el estado del interruptor entre N3 y N4 afecta cómo las resistencias R1, R2 y R4 interactúan con respecto a la corriente de V1?</t>
        </is>
      </c>
      <c r="G14" t="n">
        <v>3</v>
      </c>
      <c r="H14" t="n">
        <v>3</v>
      </c>
      <c r="I14" t="n">
        <v>5</v>
      </c>
      <c r="J14" t="n">
        <v>5</v>
      </c>
      <c r="K14" t="n">
        <v>16</v>
      </c>
      <c r="L14" t="n">
        <v>0.696</v>
      </c>
      <c r="M14" t="n">
        <v>40</v>
      </c>
      <c r="N14" t="n">
        <v>86.16</v>
      </c>
      <c r="O14" t="inlineStr">
        <is>
          <t>AC14</t>
        </is>
      </c>
      <c r="P14" t="inlineStr">
        <is>
          <t>AC1</t>
        </is>
      </c>
      <c r="Q14" t="n">
        <v>0</v>
      </c>
      <c r="R14" t="n">
        <v>0</v>
      </c>
      <c r="S14" t="n">
        <v>0</v>
      </c>
      <c r="T14" t="inlineStr"/>
      <c r="U14" t="inlineStr"/>
      <c r="V14" t="inlineStr"/>
      <c r="W14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15">
      <c r="A15" t="n">
        <v>14</v>
      </c>
      <c r="B15" t="n">
        <v>5</v>
      </c>
      <c r="C15" t="n">
        <v>2</v>
      </c>
      <c r="D15" t="n">
        <v>5</v>
      </c>
      <c r="E15" t="inlineStr">
        <is>
          <t>R1 y R2 porque están conectadas en paralelo con la fuente</t>
        </is>
      </c>
      <c r="F15" t="inlineStr">
        <is>
          <t>¿Consideraría el impacto de una interrupción entre N3 y N4 sobre las propiedades paralelismo del circuito, particularmente cómo podrían R1 y R2 comportarse con respecto a su relación con los otros componentes como R3 y R2?</t>
        </is>
      </c>
      <c r="G15" t="n">
        <v>3</v>
      </c>
      <c r="H15" t="n">
        <v>2</v>
      </c>
      <c r="I15" t="n">
        <v>5</v>
      </c>
      <c r="J15" t="n">
        <v>5</v>
      </c>
      <c r="K15" t="n">
        <v>15</v>
      </c>
      <c r="L15" t="n">
        <v>0.782</v>
      </c>
      <c r="M15" t="n">
        <v>51</v>
      </c>
      <c r="N15" t="n">
        <v>76.75</v>
      </c>
      <c r="O15" t="inlineStr">
        <is>
          <t>AC14</t>
        </is>
      </c>
      <c r="P15" t="inlineStr"/>
      <c r="Q15" t="n">
        <v>1</v>
      </c>
      <c r="R15" t="n">
        <v>0</v>
      </c>
      <c r="S15" t="n">
        <v>0</v>
      </c>
      <c r="T15" t="inlineStr"/>
      <c r="U15" t="inlineStr"/>
      <c r="V15" t="inlineStr"/>
      <c r="W15" t="inlineStr">
        <is>
          <t>Socraticidad 3/5 (Clarificación): Pregunta genérica: pide clarificación sin atacar la raíz del error. Precisión Conceptual 2/5 (Pobre): Respuesta genérica: sin vocabulario técnico ni diagnóstico del error. Buen desempeño general; hay margen de mejora en profundidad socrática.</t>
        </is>
      </c>
    </row>
    <row r="16">
      <c r="A16" t="n">
        <v>15</v>
      </c>
      <c r="B16" t="n">
        <v>5</v>
      </c>
      <c r="C16" t="n">
        <v>3</v>
      </c>
      <c r="D16" t="n">
        <v>5</v>
      </c>
      <c r="E16" t="inlineStr">
        <is>
          <t>R1, R2, y R4 porque están conectadas en serie con la fuente</t>
        </is>
      </c>
      <c r="F16" t="inlineStr">
        <is>
          <t>¿Podría explicar cómo las interacciones entre los interruptores N1/N2 y N3/N4 podrían influir en el comportamiento de R1, R2, y R4 dentro del circuito?</t>
        </is>
      </c>
      <c r="G16" t="n">
        <v>3</v>
      </c>
      <c r="H16" t="n">
        <v>2</v>
      </c>
      <c r="I16" t="n">
        <v>5</v>
      </c>
      <c r="J16" t="n">
        <v>5</v>
      </c>
      <c r="K16" t="n">
        <v>15</v>
      </c>
      <c r="L16" t="n">
        <v>0.951</v>
      </c>
      <c r="M16" t="n">
        <v>42</v>
      </c>
      <c r="N16" t="n">
        <v>63.09</v>
      </c>
      <c r="O16" t="inlineStr"/>
      <c r="P16" t="inlineStr">
        <is>
          <t>AC1</t>
        </is>
      </c>
      <c r="Q16" t="n">
        <v>0</v>
      </c>
      <c r="R16" t="n">
        <v>1</v>
      </c>
      <c r="S16" t="n">
        <v>0</v>
      </c>
      <c r="T16" t="inlineStr"/>
      <c r="U16" t="inlineStr"/>
      <c r="V16" t="inlineStr"/>
      <c r="W16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17">
      <c r="A17" t="n">
        <v>16</v>
      </c>
      <c r="B17" t="n">
        <v>6</v>
      </c>
      <c r="C17" t="n">
        <v>1</v>
      </c>
      <c r="D17" t="n">
        <v>5</v>
      </c>
      <c r="E17" t="inlineStr">
        <is>
          <t>R1, R2 y R4 porque por R3 no pasa corriente</t>
        </is>
      </c>
      <c r="F17" t="inlineStr">
        <is>
          <t>¿Puedes verificar si la corriente puede fluir a través del interruptor abierto entre N3 y N4, y de ser así, cómo esto afecta el papel de R3 en la configuración general?</t>
        </is>
      </c>
      <c r="G17" t="n">
        <v>3</v>
      </c>
      <c r="H17" t="n">
        <v>5</v>
      </c>
      <c r="I17" t="n">
        <v>3</v>
      </c>
      <c r="J17" t="n">
        <v>5</v>
      </c>
      <c r="K17" t="n">
        <v>16</v>
      </c>
      <c r="L17" t="n">
        <v>0.713</v>
      </c>
      <c r="M17" t="n">
        <v>41</v>
      </c>
      <c r="N17" t="n">
        <v>84.09999999999999</v>
      </c>
      <c r="O17" t="inlineStr">
        <is>
          <t>AC1</t>
        </is>
      </c>
      <c r="P17" t="inlineStr">
        <is>
          <t>AC1</t>
        </is>
      </c>
      <c r="Q17" t="n">
        <v>1</v>
      </c>
      <c r="R17" t="n">
        <v>1</v>
      </c>
      <c r="S17" t="n">
        <v>1</v>
      </c>
      <c r="T17" t="inlineStr"/>
      <c r="U17" t="inlineStr"/>
      <c r="V17" t="inlineStr"/>
      <c r="W17" t="inlineStr">
        <is>
          <t>Socraticidad 3/5 (Clarificación): Pregunta genérica: pide clarificación sin atacar la raíz del error. Precisión Conceptual 5/5 (Excelente): Excelente: identifica la concepción alternativa específica y la conecta con la topología del circuito. Buen desempeño general; hay margen de mejora en profundidad socrática.</t>
        </is>
      </c>
    </row>
    <row r="18">
      <c r="A18" t="n">
        <v>17</v>
      </c>
      <c r="B18" t="n">
        <v>6</v>
      </c>
      <c r="C18" t="n">
        <v>2</v>
      </c>
      <c r="D18" t="n">
        <v>5</v>
      </c>
      <c r="E18" t="inlineStr">
        <is>
          <t>R1, R2 y R4 porque R3 está en circuito abierto</t>
        </is>
      </c>
      <c r="F18" t="inlineStr">
        <is>
          <t>Si R3 estuviera cerrado, ¿cómo influiría esto en el flujo de corriente a través de los otros componentes y qué impacto tendría en su papel dentro del circuito?</t>
        </is>
      </c>
      <c r="G18" t="n">
        <v>3</v>
      </c>
      <c r="H18" t="n">
        <v>2</v>
      </c>
      <c r="I18" t="n">
        <v>3</v>
      </c>
      <c r="J18" t="n">
        <v>5</v>
      </c>
      <c r="K18" t="n">
        <v>13</v>
      </c>
      <c r="L18" t="n">
        <v>0.584</v>
      </c>
      <c r="M18" t="n">
        <v>36</v>
      </c>
      <c r="N18" t="n">
        <v>102.7</v>
      </c>
      <c r="O18" t="inlineStr">
        <is>
          <t>AC1</t>
        </is>
      </c>
      <c r="P18" t="inlineStr"/>
      <c r="Q18" t="n">
        <v>1</v>
      </c>
      <c r="R18" t="n">
        <v>0</v>
      </c>
      <c r="S18" t="n">
        <v>0</v>
      </c>
      <c r="T18" t="inlineStr"/>
      <c r="U18" t="inlineStr"/>
      <c r="V18" t="inlineStr"/>
      <c r="W18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19">
      <c r="A19" t="n">
        <v>18</v>
      </c>
      <c r="B19" t="n">
        <v>6</v>
      </c>
      <c r="C19" t="n">
        <v>3</v>
      </c>
      <c r="D19" t="n">
        <v>5</v>
      </c>
      <c r="E19" t="inlineStr">
        <is>
          <t>R1, R2, R3 y R4 porque son las resistencias que forman parte del circuito</t>
        </is>
      </c>
      <c r="F19" t="inlineStr">
        <is>
          <t>¿Podría el estudiante explicar cómo se distribuye la tensión de manera uniforme a través de todas las resistencias R1, R2, R3 y R4 si están conectadas paralelamente? ¿Cómo influiría un circuito abierto en R3 comparado con una configuración donde R3 estuviera cerrada?</t>
        </is>
      </c>
      <c r="G19" t="n">
        <v>3</v>
      </c>
      <c r="H19" t="n">
        <v>4</v>
      </c>
      <c r="I19" t="n">
        <v>5</v>
      </c>
      <c r="J19" t="n">
        <v>5</v>
      </c>
      <c r="K19" t="n">
        <v>17</v>
      </c>
      <c r="L19" t="n">
        <v>0.732</v>
      </c>
      <c r="M19" t="n">
        <v>66</v>
      </c>
      <c r="N19" t="n">
        <v>81.93000000000001</v>
      </c>
      <c r="O19" t="inlineStr">
        <is>
          <t>AC1</t>
        </is>
      </c>
      <c r="P19" t="inlineStr">
        <is>
          <t>AC1, AC14</t>
        </is>
      </c>
      <c r="Q19" t="n">
        <v>0.5</v>
      </c>
      <c r="R19" t="n">
        <v>1</v>
      </c>
      <c r="S19" t="n">
        <v>0.667</v>
      </c>
      <c r="T19" t="inlineStr"/>
      <c r="U19" t="inlineStr"/>
      <c r="V19" t="inlineStr"/>
      <c r="W19" t="inlineStr">
        <is>
          <t>Socraticidad 3/5 (Clarificación): Pregunta genérica: pide clarificación sin atacar la raíz del error. Precisión Conceptual 4/5 (Bueno): Bueno: identifica claramente la concepción alternativa con lenguaje técnico preciso. Tutor de alto rendimiento: guía socrática experta con diagnóstico preciso.</t>
        </is>
      </c>
    </row>
    <row r="20">
      <c r="A20" t="n">
        <v>19</v>
      </c>
      <c r="B20" t="n">
        <v>7</v>
      </c>
      <c r="C20" t="n">
        <v>1</v>
      </c>
      <c r="D20" t="n">
        <v>6</v>
      </c>
      <c r="E20" t="inlineStr">
        <is>
          <t>Por ninguna, todas las resistencias poseen la misma corriente ya que están conectadas en serie</t>
        </is>
      </c>
      <c r="F20" t="inlineStr">
        <is>
          <t>¿Puede explicar por qué, a pesar de estar en serie, cada resistencia no tendría una cantidad diferente de corriente fluyendo a través de ella?</t>
        </is>
      </c>
      <c r="G20" t="n">
        <v>3</v>
      </c>
      <c r="H20" t="n">
        <v>4</v>
      </c>
      <c r="I20" t="n">
        <v>4</v>
      </c>
      <c r="J20" t="n">
        <v>5</v>
      </c>
      <c r="K20" t="n">
        <v>16</v>
      </c>
      <c r="L20" t="n">
        <v>0.576</v>
      </c>
      <c r="M20" t="n">
        <v>30</v>
      </c>
      <c r="N20" t="n">
        <v>104.17</v>
      </c>
      <c r="O20" t="inlineStr"/>
      <c r="P20" t="inlineStr">
        <is>
          <t>AC2, AC14</t>
        </is>
      </c>
      <c r="Q20" t="n">
        <v>0</v>
      </c>
      <c r="R20" t="n">
        <v>1</v>
      </c>
      <c r="S20" t="n">
        <v>0</v>
      </c>
      <c r="T20" t="inlineStr"/>
      <c r="U20" t="inlineStr"/>
      <c r="V20" t="inlineStr"/>
      <c r="W20" t="inlineStr">
        <is>
          <t>Socraticidad 3/5 (Clarificación): Pregunta genérica: pide clarificación sin atacar la raíz del error. Precisión Conceptual 4/5 (Bueno): Bueno: identifica claramente la concepción alternativa con lenguaje técnico preciso. Buen desempeño general; hay margen de mejora en profundidad socrática.</t>
        </is>
      </c>
    </row>
    <row r="21">
      <c r="A21" t="n">
        <v>20</v>
      </c>
      <c r="B21" t="n">
        <v>7</v>
      </c>
      <c r="C21" t="n">
        <v>2</v>
      </c>
      <c r="D21" t="n">
        <v>6</v>
      </c>
      <c r="E21" t="inlineStr">
        <is>
          <t>En ninguna</t>
        </is>
      </c>
      <c r="F21" t="inlineStr">
        <is>
          <t>¿Por qué podrían las resistencias, incluso si están conectadas en serie, no compartir una cantidad igual de corriente?</t>
        </is>
      </c>
      <c r="G21" t="n">
        <v>3</v>
      </c>
      <c r="H21" t="n">
        <v>4</v>
      </c>
      <c r="I21" t="n">
        <v>2</v>
      </c>
      <c r="J21" t="n">
        <v>5</v>
      </c>
      <c r="K21" t="n">
        <v>14</v>
      </c>
      <c r="L21" t="n">
        <v>0.541</v>
      </c>
      <c r="M21" t="n">
        <v>25</v>
      </c>
      <c r="N21" t="n">
        <v>110.87</v>
      </c>
      <c r="O21" t="inlineStr"/>
      <c r="P21" t="inlineStr">
        <is>
          <t>AC2, AC14</t>
        </is>
      </c>
      <c r="Q21" t="n">
        <v>0</v>
      </c>
      <c r="R21" t="n">
        <v>1</v>
      </c>
      <c r="S21" t="n">
        <v>0</v>
      </c>
      <c r="T21" t="inlineStr"/>
      <c r="U21" t="inlineStr"/>
      <c r="V21" t="inlineStr"/>
      <c r="W21" t="inlineStr">
        <is>
          <t>Socraticidad 3/5 (Clarificación): Pregunta genérica: pide clarificación sin atacar la raíz del error. Precisión Conceptual 4/5 (Bueno): Bueno: identifica claramente la concepción alternativa con lenguaje técnico preciso. Buen desempeño general; hay margen de mejora en profundidad socrática.</t>
        </is>
      </c>
    </row>
    <row r="22">
      <c r="A22" t="n">
        <v>21</v>
      </c>
      <c r="B22" t="n">
        <v>7</v>
      </c>
      <c r="C22" t="n">
        <v>3</v>
      </c>
      <c r="D22" t="n">
        <v>6</v>
      </c>
      <c r="E22" t="inlineStr">
        <is>
          <t>La corriente es la misma en todas las resistencias porque es un circuito serie</t>
        </is>
      </c>
      <c r="F22" t="inlineStr">
        <is>
          <t>¿Puede explicar por qué el concepto de 'circuito series' podría llevar a una suposición errónea sobre los niveles de corriente equitativamente distribuidos, ignorando las propiedades inherentes del circuito eléctrico?</t>
        </is>
      </c>
      <c r="G22" t="n">
        <v>3</v>
      </c>
      <c r="H22" t="n">
        <v>3</v>
      </c>
      <c r="I22" t="n">
        <v>4</v>
      </c>
      <c r="J22" t="n">
        <v>5</v>
      </c>
      <c r="K22" t="n">
        <v>15</v>
      </c>
      <c r="L22" t="n">
        <v>0.6919999999999999</v>
      </c>
      <c r="M22" t="n">
        <v>45</v>
      </c>
      <c r="N22" t="n">
        <v>86.7</v>
      </c>
      <c r="O22" t="inlineStr"/>
      <c r="P22" t="inlineStr">
        <is>
          <t>AC2, AC14</t>
        </is>
      </c>
      <c r="Q22" t="n">
        <v>0</v>
      </c>
      <c r="R22" t="n">
        <v>1</v>
      </c>
      <c r="S22" t="n">
        <v>0</v>
      </c>
      <c r="T22" t="inlineStr"/>
      <c r="U22" t="inlineStr"/>
      <c r="V22" t="inlineStr"/>
      <c r="W22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23">
      <c r="A23" t="n">
        <v>22</v>
      </c>
      <c r="B23" t="n">
        <v>8</v>
      </c>
      <c r="C23" t="n">
        <v>1</v>
      </c>
      <c r="D23" t="n">
        <v>6</v>
      </c>
      <c r="E23" t="inlineStr">
        <is>
          <t>En R1 ya que es la primera resistencia</t>
        </is>
      </c>
      <c r="F23" t="inlineStr">
        <is>
          <t>¿Puede explicar por qué, si consideramos el flujo de corriente a través del circuito, se debe o no compartir entre diferentes resistencias conectadas una sola vez?</t>
        </is>
      </c>
      <c r="G23" t="n">
        <v>3</v>
      </c>
      <c r="H23" t="n">
        <v>3</v>
      </c>
      <c r="I23" t="n">
        <v>3</v>
      </c>
      <c r="J23" t="n">
        <v>5</v>
      </c>
      <c r="K23" t="n">
        <v>14</v>
      </c>
      <c r="L23" t="n">
        <v>0.71</v>
      </c>
      <c r="M23" t="n">
        <v>34</v>
      </c>
      <c r="N23" t="n">
        <v>84.45999999999999</v>
      </c>
      <c r="O23" t="inlineStr">
        <is>
          <t>AC2, AC14</t>
        </is>
      </c>
      <c r="P23" t="inlineStr">
        <is>
          <t>AC2, AC14</t>
        </is>
      </c>
      <c r="Q23" t="n">
        <v>1</v>
      </c>
      <c r="R23" t="n">
        <v>1</v>
      </c>
      <c r="S23" t="n">
        <v>1</v>
      </c>
      <c r="T23" t="inlineStr"/>
      <c r="U23" t="inlineStr"/>
      <c r="V23" t="inlineStr"/>
      <c r="W23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24">
      <c r="A24" t="n">
        <v>23</v>
      </c>
      <c r="B24" t="n">
        <v>8</v>
      </c>
      <c r="C24" t="n">
        <v>2</v>
      </c>
      <c r="D24" t="n">
        <v>6</v>
      </c>
      <c r="E24" t="inlineStr">
        <is>
          <t>En R1 ya que la corriente se va consumiendo en las resistencias</t>
        </is>
      </c>
      <c r="F24" t="inlineStr">
        <is>
          <t>¿Cómo afecta el concepto de carga equivalente a nuestro entendimiento del flujo de corriente compartido entre R1 y otras resistencias conectadas en serie?</t>
        </is>
      </c>
      <c r="G24" t="n">
        <v>4</v>
      </c>
      <c r="H24" t="n">
        <v>4</v>
      </c>
      <c r="I24" t="n">
        <v>5</v>
      </c>
      <c r="J24" t="n">
        <v>5</v>
      </c>
      <c r="K24" t="n">
        <v>18</v>
      </c>
      <c r="L24" t="n">
        <v>0.584</v>
      </c>
      <c r="M24" t="n">
        <v>31</v>
      </c>
      <c r="N24" t="n">
        <v>102.74</v>
      </c>
      <c r="O24" t="inlineStr">
        <is>
          <t>AC2, AC14</t>
        </is>
      </c>
      <c r="P24" t="inlineStr">
        <is>
          <t>AC2, AC14</t>
        </is>
      </c>
      <c r="Q24" t="n">
        <v>1</v>
      </c>
      <c r="R24" t="n">
        <v>1</v>
      </c>
      <c r="S24" t="n">
        <v>1</v>
      </c>
      <c r="T24" t="inlineStr"/>
      <c r="U24" t="inlineStr"/>
      <c r="V24" t="inlineStr"/>
      <c r="W24" t="inlineStr">
        <is>
          <t>Socraticidad 4/5 (Andamiaje para detección): Andamiaje para detección: identifica el área del error y plantea pregunta que confronta con la teoría. Precisión Conceptual 4/5 (Bueno): Bueno: identifica claramente la concepción alternativa con lenguaje técnico preciso. Tutor de alto rendimiento: guía socrática experta con diagnóstico preciso.</t>
        </is>
      </c>
    </row>
    <row r="25">
      <c r="A25" t="n">
        <v>24</v>
      </c>
      <c r="B25" t="n">
        <v>8</v>
      </c>
      <c r="C25" t="n">
        <v>3</v>
      </c>
      <c r="D25" t="n">
        <v>6</v>
      </c>
      <c r="E25" t="inlineStr">
        <is>
          <t>En R1 ya que es la resistencia que está conectada a la fuente</t>
        </is>
      </c>
      <c r="F25" t="inlineStr">
        <is>
          <t>¿Cómo determina el concepto de resistencias serie una carga equivalente para entender dónde va toda la corriente en un circuito con varias resistencias conectadas una sola vez?</t>
        </is>
      </c>
      <c r="G25" t="n">
        <v>3</v>
      </c>
      <c r="H25" t="n">
        <v>4</v>
      </c>
      <c r="I25" t="n">
        <v>3</v>
      </c>
      <c r="J25" t="n">
        <v>5</v>
      </c>
      <c r="K25" t="n">
        <v>15</v>
      </c>
      <c r="L25" t="n">
        <v>0.615</v>
      </c>
      <c r="M25" t="n">
        <v>33</v>
      </c>
      <c r="N25" t="n">
        <v>97.55</v>
      </c>
      <c r="O25" t="inlineStr">
        <is>
          <t>AC2, AC14</t>
        </is>
      </c>
      <c r="P25" t="inlineStr">
        <is>
          <t>AC2, AC14</t>
        </is>
      </c>
      <c r="Q25" t="n">
        <v>1</v>
      </c>
      <c r="R25" t="n">
        <v>1</v>
      </c>
      <c r="S25" t="n">
        <v>1</v>
      </c>
      <c r="T25" t="inlineStr"/>
      <c r="U25" t="inlineStr"/>
      <c r="V25" t="inlineStr"/>
      <c r="W25" t="inlineStr">
        <is>
          <t>Socraticidad 3/5 (Clarificación): Pregunta genérica: pide clarificación sin atacar la raíz del error. Precisión Conceptual 4/5 (Bueno): Bueno: identifica claramente la concepción alternativa con lenguaje técnico preciso. Buen desempeño general; hay margen de mejora en profundidad socrática.</t>
        </is>
      </c>
    </row>
    <row r="26">
      <c r="A26" t="n">
        <v>25</v>
      </c>
      <c r="B26" t="n">
        <v>9</v>
      </c>
      <c r="C26" t="n">
        <v>1</v>
      </c>
      <c r="D26" t="n">
        <v>7</v>
      </c>
      <c r="E26" t="inlineStr">
        <is>
          <t>Por R1 ya que es la primera resistencia</t>
        </is>
      </c>
      <c r="F26" t="inlineStr">
        <is>
          <t>¿Puede explicar por qué el orden de las resistencias podría afectar cómo fluye la corriente si todas están conectadas entre dos terminales?</t>
        </is>
      </c>
      <c r="G26" t="n">
        <v>3</v>
      </c>
      <c r="H26" t="n">
        <v>3</v>
      </c>
      <c r="I26" t="n">
        <v>3</v>
      </c>
      <c r="J26" t="n">
        <v>5</v>
      </c>
      <c r="K26" t="n">
        <v>14</v>
      </c>
      <c r="L26" t="n">
        <v>0.601</v>
      </c>
      <c r="M26" t="n">
        <v>29</v>
      </c>
      <c r="N26" t="n">
        <v>99.79000000000001</v>
      </c>
      <c r="O26" t="inlineStr">
        <is>
          <t>AC2</t>
        </is>
      </c>
      <c r="P26" t="inlineStr">
        <is>
          <t>AC2, AC14-near, AC14-series</t>
        </is>
      </c>
      <c r="Q26" t="n">
        <v>0.333</v>
      </c>
      <c r="R26" t="n">
        <v>1</v>
      </c>
      <c r="S26" t="n">
        <v>0.5</v>
      </c>
      <c r="T26" t="inlineStr"/>
      <c r="U26" t="inlineStr"/>
      <c r="V26" t="inlineStr"/>
      <c r="W26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27">
      <c r="A27" t="n">
        <v>26</v>
      </c>
      <c r="B27" t="n">
        <v>9</v>
      </c>
      <c r="C27" t="n">
        <v>2</v>
      </c>
      <c r="D27" t="n">
        <v>7</v>
      </c>
      <c r="E27" t="inlineStr">
        <is>
          <t>Por R1 ya que consume la corriente que genera la fuente</t>
        </is>
      </c>
      <c r="F27" t="inlineStr">
        <is>
          <t>¿Podría explicar cómo el concepto de caída de tensión afecta a las corrientes a través de R1 y si su posición entre otras resistencias influiría en la corriente total según Kirchhoff's Voltage Law?</t>
        </is>
      </c>
      <c r="G27" t="n">
        <v>3</v>
      </c>
      <c r="H27" t="n">
        <v>3</v>
      </c>
      <c r="I27" t="n">
        <v>5</v>
      </c>
      <c r="J27" t="n">
        <v>5</v>
      </c>
      <c r="K27" t="n">
        <v>16</v>
      </c>
      <c r="L27" t="n">
        <v>0.627</v>
      </c>
      <c r="M27" t="n">
        <v>44</v>
      </c>
      <c r="N27" t="n">
        <v>95.72</v>
      </c>
      <c r="O27" t="inlineStr">
        <is>
          <t>AC2</t>
        </is>
      </c>
      <c r="P27" t="inlineStr">
        <is>
          <t>AC2, AC14-near, AC14-series</t>
        </is>
      </c>
      <c r="Q27" t="n">
        <v>0.333</v>
      </c>
      <c r="R27" t="n">
        <v>1</v>
      </c>
      <c r="S27" t="n">
        <v>0.5</v>
      </c>
      <c r="T27" t="inlineStr"/>
      <c r="U27" t="inlineStr"/>
      <c r="V27" t="inlineStr"/>
      <c r="W27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28">
      <c r="A28" t="n">
        <v>27</v>
      </c>
      <c r="B28" t="n">
        <v>9</v>
      </c>
      <c r="C28" t="n">
        <v>3</v>
      </c>
      <c r="D28" t="n">
        <v>7</v>
      </c>
      <c r="E28" t="inlineStr">
        <is>
          <t>Por R1 ya que la corriente se la encuentra en primer lugar</t>
        </is>
      </c>
      <c r="F28" t="inlineStr">
        <is>
          <t>¿Cómo influiría el hecho de que R1 esté ubicado primero respecto a las leyes del circuito, especialmente con base en los principios de superposición o distribución de corriente?</t>
        </is>
      </c>
      <c r="G28" t="n">
        <v>3</v>
      </c>
      <c r="H28" t="n">
        <v>2</v>
      </c>
      <c r="I28" t="n">
        <v>5</v>
      </c>
      <c r="J28" t="n">
        <v>5</v>
      </c>
      <c r="K28" t="n">
        <v>15</v>
      </c>
      <c r="L28" t="n">
        <v>0.668</v>
      </c>
      <c r="M28" t="n">
        <v>36</v>
      </c>
      <c r="N28" t="n">
        <v>89.86</v>
      </c>
      <c r="O28" t="inlineStr">
        <is>
          <t>AC2</t>
        </is>
      </c>
      <c r="P28" t="inlineStr">
        <is>
          <t>AC14-near</t>
        </is>
      </c>
      <c r="Q28" t="n">
        <v>0</v>
      </c>
      <c r="R28" t="n">
        <v>0</v>
      </c>
      <c r="S28" t="n">
        <v>0</v>
      </c>
      <c r="T28" t="inlineStr"/>
      <c r="U28" t="inlineStr"/>
      <c r="V28" t="inlineStr"/>
      <c r="W28" t="inlineStr">
        <is>
          <t>Socraticidad 3/5 (Clarificación): Pregunta genérica: pide clarificación sin atacar la raíz del error. Precisión Conceptual 2/5 (Pobre): Pobre: responde de forma genérica sin diagnosticar el error conceptual. Buen desempeño general; hay margen de mejora en profundidad socrática.</t>
        </is>
      </c>
    </row>
    <row r="29">
      <c r="A29" t="n">
        <v>28</v>
      </c>
      <c r="B29" t="n">
        <v>10</v>
      </c>
      <c r="C29" t="n">
        <v>1</v>
      </c>
      <c r="D29" t="n">
        <v>7</v>
      </c>
      <c r="E29" t="inlineStr">
        <is>
          <t>Por R1 ya que está más cerca de la fuente</t>
        </is>
      </c>
      <c r="F29" t="inlineStr">
        <is>
          <t>¿Consideras que el posicionamiento relativo dentro del circuito afecta cuánta corriente atraviesa cada resistencia cuando están conectadas en paralelo, o es solo una cuestión de la diferencia de potencial entre los terminales N1 y 0?</t>
        </is>
      </c>
      <c r="G29" t="n">
        <v>3</v>
      </c>
      <c r="H29" t="n">
        <v>3</v>
      </c>
      <c r="I29" t="n">
        <v>3</v>
      </c>
      <c r="J29" t="n">
        <v>5</v>
      </c>
      <c r="K29" t="n">
        <v>14</v>
      </c>
      <c r="L29" t="n">
        <v>0.699</v>
      </c>
      <c r="M29" t="n">
        <v>48</v>
      </c>
      <c r="N29" t="n">
        <v>85.83</v>
      </c>
      <c r="O29" t="inlineStr">
        <is>
          <t>AC2</t>
        </is>
      </c>
      <c r="P29" t="inlineStr">
        <is>
          <t>AC2, AC14-near, AC14-series</t>
        </is>
      </c>
      <c r="Q29" t="n">
        <v>0.333</v>
      </c>
      <c r="R29" t="n">
        <v>1</v>
      </c>
      <c r="S29" t="n">
        <v>0.5</v>
      </c>
      <c r="T29" t="inlineStr"/>
      <c r="U29" t="inlineStr"/>
      <c r="V29" t="inlineStr"/>
      <c r="W29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30">
      <c r="A30" t="n">
        <v>29</v>
      </c>
      <c r="B30" t="n">
        <v>10</v>
      </c>
      <c r="C30" t="n">
        <v>2</v>
      </c>
      <c r="D30" t="n">
        <v>7</v>
      </c>
      <c r="E30" t="inlineStr">
        <is>
          <t>Por R2 ya que R1 se puede quitar al estar en paralelo con la fuente</t>
        </is>
      </c>
      <c r="F30" t="inlineStr">
        <is>
          <t>¿El hecho de tener dos resistencias en paralelo cambia las reglas sobre cómo calcular el equivalente total, lo cual influiría en cuánta corriente fluye a través de R1 y R2?</t>
        </is>
      </c>
      <c r="G30" t="n">
        <v>3</v>
      </c>
      <c r="H30" t="n">
        <v>3</v>
      </c>
      <c r="I30" t="n">
        <v>5</v>
      </c>
      <c r="J30" t="n">
        <v>5</v>
      </c>
      <c r="K30" t="n">
        <v>16</v>
      </c>
      <c r="L30" t="n">
        <v>0.863</v>
      </c>
      <c r="M30" t="n">
        <v>42</v>
      </c>
      <c r="N30" t="n">
        <v>69.48999999999999</v>
      </c>
      <c r="O30" t="inlineStr">
        <is>
          <t>AC2, AC14-near</t>
        </is>
      </c>
      <c r="P30" t="inlineStr">
        <is>
          <t>AC2, AC14-near, AC14-series</t>
        </is>
      </c>
      <c r="Q30" t="n">
        <v>0.667</v>
      </c>
      <c r="R30" t="n">
        <v>1</v>
      </c>
      <c r="S30" t="n">
        <v>0.8</v>
      </c>
      <c r="T30" t="inlineStr"/>
      <c r="U30" t="inlineStr"/>
      <c r="V30" t="inlineStr"/>
      <c r="W30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  <row r="31">
      <c r="A31" t="n">
        <v>30</v>
      </c>
      <c r="B31" t="n">
        <v>10</v>
      </c>
      <c r="C31" t="n">
        <v>3</v>
      </c>
      <c r="D31" t="n">
        <v>7</v>
      </c>
      <c r="E31" t="inlineStr">
        <is>
          <t>Por R3 ya que R1 y R2 se pueden quitar por estar en paralelo con la fuente</t>
        </is>
      </c>
      <c r="F31" t="inlineStr">
        <is>
          <t>¿Confirma el cálculo del corriente total a través de las fuentes, o no es relevante, cuando R1 y R2 están conectados en paralelo con respecto al flujo a través de R3?</t>
        </is>
      </c>
      <c r="G31" t="n">
        <v>3</v>
      </c>
      <c r="H31" t="n">
        <v>3</v>
      </c>
      <c r="I31" t="n">
        <v>5</v>
      </c>
      <c r="J31" t="n">
        <v>5</v>
      </c>
      <c r="K31" t="n">
        <v>16</v>
      </c>
      <c r="L31" t="n">
        <v>0.658</v>
      </c>
      <c r="M31" t="n">
        <v>41</v>
      </c>
      <c r="N31" t="n">
        <v>91.14</v>
      </c>
      <c r="O31" t="inlineStr">
        <is>
          <t>AC2, AC14-near</t>
        </is>
      </c>
      <c r="P31" t="inlineStr">
        <is>
          <t>AC2, AC14-near</t>
        </is>
      </c>
      <c r="Q31" t="n">
        <v>1</v>
      </c>
      <c r="R31" t="n">
        <v>1</v>
      </c>
      <c r="S31" t="n">
        <v>1</v>
      </c>
      <c r="T31" t="inlineStr"/>
      <c r="U31" t="inlineStr"/>
      <c r="V31" t="inlineStr"/>
      <c r="W31" t="inlineStr">
        <is>
          <t>Socraticidad 3/5 (Clarificación): Pregunta genérica: pide clarificación sin atacar la raíz del error. Precisión Conceptual 3/5 (Suficiente): Suficiente: identifica que hay un error y usa conceptos correctos, pero el diagnóstico es algo vago. Buen desempeño general; hay margen de mejora en profundidad socrática.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generación</t>
        </is>
      </c>
      <c r="B2" t="inlineStr">
        <is>
          <t>2026-05-20T13:25:57.433535</t>
        </is>
      </c>
    </row>
    <row r="3">
      <c r="A3" t="inlineStr">
        <is>
          <t>Método</t>
        </is>
      </c>
      <c r="B3" t="inlineStr">
        <is>
          <t>RAG</t>
        </is>
      </c>
    </row>
    <row r="4">
      <c r="A4" t="inlineStr">
        <is>
          <t>Modelos evaluados</t>
        </is>
      </c>
      <c r="B4" t="inlineStr">
        <is>
          <t>llama, phi4</t>
        </is>
      </c>
    </row>
    <row r="5">
      <c r="A5" t="inlineStr">
        <is>
          <t>Ejercicios cubiertos</t>
        </is>
      </c>
      <c r="B5" t="inlineStr">
        <is>
          <t>3, 4, 5, 6, 7</t>
        </is>
      </c>
    </row>
    <row r="6">
      <c r="A6" t="inlineStr">
        <is>
          <t>Total evaluaciones</t>
        </is>
      </c>
      <c r="B6" t="n">
        <v>41</v>
      </c>
    </row>
    <row r="7">
      <c r="A7" t="inlineStr">
        <is>
          <t>UPV Ollama URL</t>
        </is>
      </c>
      <c r="B7" t="inlineStr">
        <is>
          <t>https://ollama.gti-ia.upv.es:443</t>
        </is>
      </c>
    </row>
    <row r="8">
      <c r="A8" t="inlineStr">
        <is>
          <t>PoliGPT URL</t>
        </is>
      </c>
      <c r="B8" t="inlineStr">
        <is>
          <t>https://api.poligpt.upv.es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Modelo</t>
        </is>
      </c>
      <c r="C1" t="inlineStr">
        <is>
          <t>muestras</t>
        </is>
      </c>
      <c r="D1" t="inlineStr">
        <is>
          <t>latencia_media</t>
        </is>
      </c>
      <c r="E1" t="inlineStr">
        <is>
          <t>latencia_p95</t>
        </is>
      </c>
      <c r="F1" t="inlineStr">
        <is>
          <t>throughput</t>
        </is>
      </c>
      <c r="G1" t="inlineStr">
        <is>
          <t>tokens_medio</t>
        </is>
      </c>
      <c r="H1" t="inlineStr">
        <is>
          <t>formato_socratico</t>
        </is>
      </c>
      <c r="I1" t="inlineStr">
        <is>
          <t>correccion_conceptual</t>
        </is>
      </c>
      <c r="J1" t="inlineStr">
        <is>
          <t>adaptabilidad</t>
        </is>
      </c>
      <c r="K1" t="inlineStr">
        <is>
          <t>generacion_reflexion</t>
        </is>
      </c>
      <c r="L1" t="inlineStr">
        <is>
          <t>score_total</t>
        </is>
      </c>
      <c r="M1" t="inlineStr">
        <is>
          <t>pct_socratico</t>
        </is>
      </c>
      <c r="N1" t="inlineStr">
        <is>
          <t>pct_score_15</t>
        </is>
      </c>
      <c r="O1" t="inlineStr">
        <is>
          <t>faithfulness</t>
        </is>
      </c>
      <c r="P1" t="inlineStr">
        <is>
          <t>relevance</t>
        </is>
      </c>
      <c r="Q1" t="inlineStr">
        <is>
          <t>pct_cot</t>
        </is>
      </c>
    </row>
    <row r="2">
      <c r="A2" t="n">
        <v>1</v>
      </c>
      <c r="B2" t="inlineStr">
        <is>
          <t>llama</t>
        </is>
      </c>
      <c r="C2">
        <f>COUNTA('Resultados_llama'!A2:A10000)</f>
        <v/>
      </c>
      <c r="D2">
        <f>IFERROR(AVERAGE('Resultados_llama'!L2:L10000),"")</f>
        <v/>
      </c>
      <c r="E2">
        <f>IFERROR(PERCENTILE('Resultados_llama'!L2:L10000,0.95),"")</f>
        <v/>
      </c>
      <c r="F2">
        <f>IFERROR(IF(AVERAGE('Resultados_llama'!L2:L10000)&gt;0,60/AVERAGE('Resultados_llama'!L2:L10000),0),"")</f>
        <v/>
      </c>
      <c r="G2">
        <f>IFERROR(AVERAGE('Resultados_llama'!M2:M10000),"")</f>
        <v/>
      </c>
      <c r="H2">
        <f>IFERROR(AVERAGE('Resultados_llama'!G2:G10000),"")</f>
        <v/>
      </c>
      <c r="I2">
        <f>IFERROR(AVERAGE('Resultados_llama'!H2:H10000),"")</f>
        <v/>
      </c>
      <c r="J2">
        <f>IFERROR(AVERAGE('Resultados_llama'!I2:I10000),"")</f>
        <v/>
      </c>
      <c r="K2">
        <f>IFERROR(AVERAGE('Resultados_llama'!J2:J10000),"")</f>
        <v/>
      </c>
      <c r="L2">
        <f>IFERROR(AVERAGE('Resultados_llama'!K2:K10000),"")</f>
        <v/>
      </c>
      <c r="M2">
        <f>IFERROR(COUNTIF('Resultados_llama'!G2:G10000,"&gt;=4")/COUNTA('Resultados_llama'!G2:G10000)*100,"")</f>
        <v/>
      </c>
      <c r="N2">
        <f>IFERROR(COUNTIF('Resultados_llama'!K2:K10000,"&gt;=15")/COUNTA('Resultados_llama'!K2:K10000)*100,"")</f>
        <v/>
      </c>
      <c r="O2">
        <f>IFERROR(AVERAGE('Resultados_llama'!T2:T10000),"")</f>
        <v/>
      </c>
      <c r="P2">
        <f>IFERROR(AVERAGE('Resultados_llama'!U2:U10000),"")</f>
        <v/>
      </c>
      <c r="Q2">
        <f>IFERROR(COUNTIF('Resultados_llama'!V2:V10000,"&lt;&gt;")/COUNTA('Resultados_llama'!A2:A10000)*100,"")</f>
        <v/>
      </c>
    </row>
    <row r="3">
      <c r="A3" t="n">
        <v>2</v>
      </c>
      <c r="B3" t="inlineStr">
        <is>
          <t>phi4</t>
        </is>
      </c>
      <c r="C3">
        <f>COUNTA('Resultados_phi4'!A2:A10000)</f>
        <v/>
      </c>
      <c r="D3">
        <f>IFERROR(AVERAGE('Resultados_phi4'!L2:L10000),"")</f>
        <v/>
      </c>
      <c r="E3">
        <f>IFERROR(PERCENTILE('Resultados_phi4'!L2:L10000,0.95),"")</f>
        <v/>
      </c>
      <c r="F3">
        <f>IFERROR(IF(AVERAGE('Resultados_phi4'!L2:L10000)&gt;0,60/AVERAGE('Resultados_phi4'!L2:L10000),0),"")</f>
        <v/>
      </c>
      <c r="G3">
        <f>IFERROR(AVERAGE('Resultados_phi4'!M2:M10000),"")</f>
        <v/>
      </c>
      <c r="H3">
        <f>IFERROR(AVERAGE('Resultados_phi4'!G2:G10000),"")</f>
        <v/>
      </c>
      <c r="I3">
        <f>IFERROR(AVERAGE('Resultados_phi4'!H2:H10000),"")</f>
        <v/>
      </c>
      <c r="J3">
        <f>IFERROR(AVERAGE('Resultados_phi4'!I2:I10000),"")</f>
        <v/>
      </c>
      <c r="K3">
        <f>IFERROR(AVERAGE('Resultados_phi4'!J2:J10000),"")</f>
        <v/>
      </c>
      <c r="L3">
        <f>IFERROR(AVERAGE('Resultados_phi4'!K2:K10000),"")</f>
        <v/>
      </c>
      <c r="M3">
        <f>IFERROR(COUNTIF('Resultados_phi4'!G2:G10000,"&gt;=4")/COUNTA('Resultados_phi4'!G2:G10000)*100,"")</f>
        <v/>
      </c>
      <c r="N3">
        <f>IFERROR(COUNTIF('Resultados_phi4'!K2:K10000,"&gt;=15")/COUNTA('Resultados_phi4'!K2:K10000)*100,"")</f>
        <v/>
      </c>
      <c r="O3">
        <f>IFERROR(AVERAGE('Resultados_phi4'!T2:T10000),"")</f>
        <v/>
      </c>
      <c r="P3">
        <f>IFERROR(AVERAGE('Resultados_phi4'!U2:U10000),"")</f>
        <v/>
      </c>
      <c r="Q3">
        <f>IFERROR(COUNTIF('Resultados_phi4'!V2:V10000,"&lt;&gt;")/COUNTA('Resultados_phi4'!A2:A10000)*100,"")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Arch.</t>
        </is>
      </c>
      <c r="C1" t="inlineStr">
        <is>
          <t>muestras</t>
        </is>
      </c>
      <c r="D1" t="inlineStr">
        <is>
          <t>latencia_media (s)</t>
        </is>
      </c>
      <c r="E1" t="inlineStr">
        <is>
          <t>tokens_medio</t>
        </is>
      </c>
      <c r="F1" t="inlineStr">
        <is>
          <t>socraticity (0-5)</t>
        </is>
      </c>
      <c r="G1" t="inlineStr">
        <is>
          <t>conceptual correctness (0-5)</t>
        </is>
      </c>
      <c r="H1" t="inlineStr">
        <is>
          <t>consistency (0-5)</t>
        </is>
      </c>
      <c r="I1" t="inlineStr">
        <is>
          <t>hallucination rate (0-5)</t>
        </is>
      </c>
      <c r="J1" t="inlineStr">
        <is>
          <t>temperature</t>
        </is>
      </c>
    </row>
    <row r="2">
      <c r="A2" t="inlineStr">
        <is>
          <t>llama</t>
        </is>
      </c>
      <c r="B2" t="inlineStr">
        <is>
          <t>RAG-PoliGPT</t>
        </is>
      </c>
      <c r="C2">
        <f>COUNTA('Resultados_llama'!A2:A10000)</f>
        <v/>
      </c>
      <c r="D2">
        <f>IFERROR(AVERAGE('Resultados_llama'!L2:L10000),"")</f>
        <v/>
      </c>
      <c r="E2">
        <f>IFERROR(AVERAGE('Resultados_llama'!M2:M10000),"")</f>
        <v/>
      </c>
      <c r="F2">
        <f>IFERROR(AVERAGE('Resultados_llama'!G2:G10000),"")</f>
        <v/>
      </c>
      <c r="G2">
        <f>IFERROR(AVERAGE('Resultados_llama'!H2:H10000),"")</f>
        <v/>
      </c>
      <c r="H2">
        <f>IFERROR(AVERAGE('Resultados_llama'!I2:I10000),"")</f>
        <v/>
      </c>
      <c r="I2">
        <f>IFERROR(AVERAGE('Resultados_llama'!J2:J10000),"")</f>
        <v/>
      </c>
      <c r="J2" t="n">
        <v>0.7</v>
      </c>
    </row>
    <row r="3">
      <c r="A3" t="inlineStr">
        <is>
          <t>phi4</t>
        </is>
      </c>
      <c r="B3" t="inlineStr">
        <is>
          <t>RAG-PoliGPT</t>
        </is>
      </c>
      <c r="C3">
        <f>COUNTA('Resultados_phi4'!A2:A10000)</f>
        <v/>
      </c>
      <c r="D3">
        <f>IFERROR(AVERAGE('Resultados_phi4'!L2:L10000),"")</f>
        <v/>
      </c>
      <c r="E3">
        <f>IFERROR(AVERAGE('Resultados_phi4'!M2:M10000),"")</f>
        <v/>
      </c>
      <c r="F3">
        <f>IFERROR(AVERAGE('Resultados_phi4'!G2:G10000),"")</f>
        <v/>
      </c>
      <c r="G3">
        <f>IFERROR(AVERAGE('Resultados_phi4'!H2:H10000),"")</f>
        <v/>
      </c>
      <c r="H3">
        <f>IFERROR(AVERAGE('Resultados_phi4'!I2:I10000),"")</f>
        <v/>
      </c>
      <c r="I3">
        <f>IFERROR(AVERAGE('Resultados_phi4'!J2:J10000),"")</f>
        <v/>
      </c>
      <c r="J3" t="n">
        <v>0.7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latencia_media</t>
        </is>
      </c>
      <c r="C1" t="inlineStr">
        <is>
          <t>latencia_p95</t>
        </is>
      </c>
      <c r="D1" t="inlineStr">
        <is>
          <t>throughput</t>
        </is>
      </c>
      <c r="E1" t="inlineStr">
        <is>
          <t>tokens_medio</t>
        </is>
      </c>
    </row>
    <row r="2">
      <c r="A2" t="inlineStr">
        <is>
          <t>llama</t>
        </is>
      </c>
      <c r="B2">
        <f>IFERROR(AVERAGE('Resultados_llama'!L2:L10000),"")</f>
        <v/>
      </c>
      <c r="C2">
        <f>IFERROR(PERCENTILE('Resultados_llama'!L2:L10000,0.95),"")</f>
        <v/>
      </c>
      <c r="D2">
        <f>IFERROR(IF(AVERAGE('Resultados_llama'!L2:L10000)&gt;0,60/AVERAGE('Resultados_llama'!L2:L10000),0),"")</f>
        <v/>
      </c>
      <c r="E2">
        <f>IFERROR(AVERAGE('Resultados_llama'!M2:M10000),"")</f>
        <v/>
      </c>
    </row>
    <row r="3">
      <c r="A3" t="inlineStr">
        <is>
          <t>phi4</t>
        </is>
      </c>
      <c r="B3">
        <f>IFERROR(AVERAGE('Resultados_phi4'!L2:L10000),"")</f>
        <v/>
      </c>
      <c r="C3">
        <f>IFERROR(PERCENTILE('Resultados_phi4'!L2:L10000,0.95),"")</f>
        <v/>
      </c>
      <c r="D3">
        <f>IFERROR(IF(AVERAGE('Resultados_phi4'!L2:L10000)&gt;0,60/AVERAGE('Resultados_phi4'!L2:L10000),0),"")</f>
        <v/>
      </c>
      <c r="E3">
        <f>IFERROR(AVERAGE('Resultados_phi4'!M2:M10000),"")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faithfulness</t>
        </is>
      </c>
      <c r="C1" t="inlineStr">
        <is>
          <t>relevance</t>
        </is>
      </c>
      <c r="D1" t="inlineStr">
        <is>
          <t>pct_cot</t>
        </is>
      </c>
    </row>
    <row r="2">
      <c r="A2" t="inlineStr">
        <is>
          <t>llama</t>
        </is>
      </c>
      <c r="B2">
        <f>IFERROR(AVERAGE('Resultados_llama'!T2:T10000),"")</f>
        <v/>
      </c>
      <c r="C2">
        <f>IFERROR(AVERAGE('Resultados_llama'!U2:U10000),"")</f>
        <v/>
      </c>
      <c r="D2">
        <f>IFERROR(COUNTIF('Resultados_llama'!V2:V10000,"&lt;&gt;")/COUNTA('Resultados_llama'!A2:A10000)*100,"")</f>
        <v/>
      </c>
    </row>
    <row r="3">
      <c r="A3" t="inlineStr">
        <is>
          <t>phi4</t>
        </is>
      </c>
      <c r="B3">
        <f>IFERROR(AVERAGE('Resultados_phi4'!T2:T10000),"")</f>
        <v/>
      </c>
      <c r="C3">
        <f>IFERROR(AVERAGE('Resultados_phi4'!U2:U10000),"")</f>
        <v/>
      </c>
      <c r="D3">
        <f>IFERROR(COUNTIF('Resultados_phi4'!V2:V10000,"&lt;&gt;")/COUNTA('Resultados_phi4'!A2:A10000)*100,"")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2026-05-20T11:25:57Z</dcterms:created>
  <dcterms:modified xmlns:dcterms="http://purl.org/dc/terms/" xmlns:xsi="http://www.w3.org/2001/XMLSchema-instance" xsi:type="dcterms:W3CDTF">2026-05-20T11:25:57Z</dcterms:modified>
</cp:coreProperties>
</file>