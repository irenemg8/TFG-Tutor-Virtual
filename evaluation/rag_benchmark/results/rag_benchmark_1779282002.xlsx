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qwen2.5_latest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esultados_Articulo" sheetId="4" state="visible" r:id="rId4"/>
    <sheet xmlns:r="http://schemas.openxmlformats.org/officeDocument/2006/relationships" name="Eficiencia" sheetId="5" state="visible" r:id="rId5"/>
    <sheet xmlns:r="http://schemas.openxmlformats.org/officeDocument/2006/relationships" name="Análisis C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Conversación</t>
        </is>
      </c>
      <c r="C1" t="inlineStr">
        <is>
          <t>Turno</t>
        </is>
      </c>
      <c r="D1" t="inlineStr">
        <is>
          <t>Ejercicio</t>
        </is>
      </c>
      <c r="E1" t="inlineStr">
        <is>
          <t>Respuesta Estudiante</t>
        </is>
      </c>
      <c r="F1" t="inlineStr">
        <is>
          <t>Respuesta Tutor Socrático</t>
        </is>
      </c>
      <c r="G1" t="inlineStr">
        <is>
          <t>Socraticidad</t>
        </is>
      </c>
      <c r="H1" t="inlineStr">
        <is>
          <t>Precisión Conceptual</t>
        </is>
      </c>
      <c r="I1" t="inlineStr">
        <is>
          <t>Consistencia</t>
        </is>
      </c>
      <c r="J1" t="inlineStr">
        <is>
          <t>Tasa Alucinación</t>
        </is>
      </c>
      <c r="K1" t="inlineStr">
        <is>
          <t>Score Total</t>
        </is>
      </c>
      <c r="L1" t="inlineStr">
        <is>
          <t>Latencia (s)</t>
        </is>
      </c>
      <c r="M1" t="inlineStr">
        <is>
          <t>Tokens</t>
        </is>
      </c>
      <c r="N1" t="inlineStr">
        <is>
          <t>Throughput (resp/min)</t>
        </is>
      </c>
      <c r="O1" t="inlineStr">
        <is>
          <t>ACs Esperadas</t>
        </is>
      </c>
      <c r="P1" t="inlineStr">
        <is>
          <t>ACs Detectadas</t>
        </is>
      </c>
      <c r="Q1" t="inlineStr">
        <is>
          <t>AC Precision</t>
        </is>
      </c>
      <c r="R1" t="inlineStr">
        <is>
          <t>AC Recall</t>
        </is>
      </c>
      <c r="S1" t="inlineStr">
        <is>
          <t>AC F1</t>
        </is>
      </c>
      <c r="T1" t="inlineStr">
        <is>
          <t>Faithfulness</t>
        </is>
      </c>
      <c r="U1" t="inlineStr">
        <is>
          <t>Relevance</t>
        </is>
      </c>
      <c r="V1" t="inlineStr">
        <is>
          <t>Think Content</t>
        </is>
      </c>
      <c r="W1" t="inlineStr">
        <is>
          <t>Feedback Constructivo</t>
        </is>
      </c>
    </row>
    <row r="2">
      <c r="A2" t="n">
        <v>2</v>
      </c>
      <c r="B2" t="n">
        <v>1</v>
      </c>
      <c r="C2" t="n">
        <v>2</v>
      </c>
      <c r="D2" t="n">
        <v>1</v>
      </c>
      <c r="E2" t="inlineStr">
        <is>
          <t>R1 y R2 dado que se pide la tensión en R2</t>
        </is>
      </c>
      <c r="F2" t="inlineStr">
        <is>
          <t>¿Cómo podrías relacionar las tensiones y corrientes en R1 y R2 para determinar la tensión en R2?</t>
        </is>
      </c>
      <c r="G2" t="n">
        <v>3</v>
      </c>
      <c r="H2" t="n">
        <v>3</v>
      </c>
      <c r="I2" t="n">
        <v>5</v>
      </c>
      <c r="J2" t="n">
        <v>5</v>
      </c>
      <c r="K2" t="n">
        <v>16</v>
      </c>
      <c r="L2" t="n">
        <v>152.846</v>
      </c>
      <c r="M2" t="n">
        <v>30</v>
      </c>
      <c r="N2" t="n">
        <v>0.39</v>
      </c>
      <c r="O2" t="inlineStr">
        <is>
          <t>AC9</t>
        </is>
      </c>
      <c r="P2" t="inlineStr">
        <is>
          <t>AC1</t>
        </is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3">
      <c r="A3" t="n">
        <v>6</v>
      </c>
      <c r="B3" t="n">
        <v>2</v>
      </c>
      <c r="C3" t="n">
        <v>3</v>
      </c>
      <c r="D3" t="n">
        <v>1</v>
      </c>
      <c r="E3" t="inlineStr">
        <is>
          <t>R1, R2, R3 y R4 porque por R5 no circula corriente</t>
        </is>
      </c>
      <c r="F3" t="inlineStr">
        <is>
          <t>¿Cómo afectaría un cortocircuito en R5 a la circulación de corriente a través de R1, R2, R3 y R4?</t>
        </is>
      </c>
      <c r="G3" t="n">
        <v>3</v>
      </c>
      <c r="H3" t="n">
        <v>3</v>
      </c>
      <c r="I3" t="n">
        <v>5</v>
      </c>
      <c r="J3" t="n">
        <v>5</v>
      </c>
      <c r="K3" t="n">
        <v>16</v>
      </c>
      <c r="L3" t="n">
        <v>128.238</v>
      </c>
      <c r="M3" t="n">
        <v>37</v>
      </c>
      <c r="N3" t="n">
        <v>0.47</v>
      </c>
      <c r="O3" t="inlineStr">
        <is>
          <t>AC1, AC6</t>
        </is>
      </c>
      <c r="P3" t="inlineStr">
        <is>
          <t>AC1, AC6</t>
        </is>
      </c>
      <c r="Q3" t="n">
        <v>1</v>
      </c>
      <c r="R3" t="n">
        <v>1</v>
      </c>
      <c r="S3" t="n">
        <v>1</v>
      </c>
      <c r="T3" t="inlineStr"/>
      <c r="U3" t="inlineStr"/>
      <c r="V3" t="inlineStr"/>
      <c r="W3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4">
      <c r="A4" t="n">
        <v>9</v>
      </c>
      <c r="B4" t="n">
        <v>3</v>
      </c>
      <c r="C4" t="n">
        <v>3</v>
      </c>
      <c r="D4" t="n">
        <v>1</v>
      </c>
      <c r="E4" t="inlineStr">
        <is>
          <t>R1, R4 y R5 porque R2 se elimina y R3 también</t>
        </is>
      </c>
      <c r="F4" t="inlineStr">
        <is>
          <t>¿Por qué crees que R3 debería o no incluirse en tu lista?</t>
        </is>
      </c>
      <c r="G4" t="n">
        <v>3</v>
      </c>
      <c r="H4" t="n">
        <v>2</v>
      </c>
      <c r="I4" t="n">
        <v>3</v>
      </c>
      <c r="J4" t="n">
        <v>5</v>
      </c>
      <c r="K4" t="n">
        <v>13</v>
      </c>
      <c r="L4" t="n">
        <v>87.544</v>
      </c>
      <c r="M4" t="n">
        <v>19</v>
      </c>
      <c r="N4" t="n">
        <v>0.6899999999999999</v>
      </c>
      <c r="O4" t="inlineStr">
        <is>
          <t>AC1, AC6</t>
        </is>
      </c>
      <c r="P4" t="inlineStr"/>
      <c r="Q4" t="n">
        <v>1</v>
      </c>
      <c r="R4" t="n">
        <v>0</v>
      </c>
      <c r="S4" t="n">
        <v>0</v>
      </c>
      <c r="T4" t="inlineStr"/>
      <c r="U4" t="inlineStr"/>
      <c r="V4" t="inlineStr"/>
      <c r="W4" t="inlineStr">
        <is>
          <t>Socraticidad 3/5 (Clarificación): Clarificación: pide que el alumno explique su razonamiento. Precisión Conceptual 2/5 (Pobre): Respuesta genérica: sin vocabulario técnico ni diagnóstico del error. Buen desempeño general; hay margen de mejora en profundidad socrática.</t>
        </is>
      </c>
    </row>
    <row r="5">
      <c r="A5" t="n">
        <v>13</v>
      </c>
      <c r="B5" t="n">
        <v>5</v>
      </c>
      <c r="C5" t="n">
        <v>1</v>
      </c>
      <c r="D5" t="n">
        <v>1</v>
      </c>
      <c r="E5" t="inlineStr">
        <is>
          <t>R1, R2, R4 y R5 dado que R3 sobra</t>
        </is>
      </c>
      <c r="F5" t="inlineStr">
        <is>
          <t>¿Crees que el interruptor entre N2 y N3 afecte a cómo se comportan las resistencias?</t>
        </is>
      </c>
      <c r="G5" t="n">
        <v>3</v>
      </c>
      <c r="H5" t="n">
        <v>3</v>
      </c>
      <c r="I5" t="n">
        <v>3</v>
      </c>
      <c r="J5" t="n">
        <v>5</v>
      </c>
      <c r="K5" t="n">
        <v>14</v>
      </c>
      <c r="L5" t="n">
        <v>171.363</v>
      </c>
      <c r="M5" t="n">
        <v>25</v>
      </c>
      <c r="N5" t="n">
        <v>0.35</v>
      </c>
      <c r="O5" t="inlineStr">
        <is>
          <t>AC1, AC6</t>
        </is>
      </c>
      <c r="P5" t="inlineStr">
        <is>
          <t>AC1, AC9</t>
        </is>
      </c>
      <c r="Q5" t="n">
        <v>0.5</v>
      </c>
      <c r="R5" t="n">
        <v>0.5</v>
      </c>
      <c r="S5" t="n">
        <v>0.5</v>
      </c>
      <c r="T5" t="inlineStr"/>
      <c r="U5" t="inlineStr"/>
      <c r="V5" t="inlineStr"/>
      <c r="W5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6">
      <c r="A6" t="n">
        <v>19</v>
      </c>
      <c r="B6" t="n">
        <v>7</v>
      </c>
      <c r="C6" t="n">
        <v>1</v>
      </c>
      <c r="D6" t="n">
        <v>1</v>
      </c>
      <c r="E6" t="inlineStr">
        <is>
          <t>R1, R2 y R4 dado que por R3 y por R5 no circula corriente</t>
        </is>
      </c>
      <c r="F6" t="inlineStr">
        <is>
          <t>¿Cómo afecta un interruptor abierto a la circulación de corriente entre sus terminales?</t>
        </is>
      </c>
      <c r="G6" t="n">
        <v>4</v>
      </c>
      <c r="H6" t="n">
        <v>3</v>
      </c>
      <c r="I6" t="n">
        <v>3</v>
      </c>
      <c r="J6" t="n">
        <v>5</v>
      </c>
      <c r="K6" t="n">
        <v>15</v>
      </c>
      <c r="L6" t="n">
        <v>99.66800000000001</v>
      </c>
      <c r="M6" t="n">
        <v>24</v>
      </c>
      <c r="N6" t="n">
        <v>0.6</v>
      </c>
      <c r="O6" t="inlineStr">
        <is>
          <t>AC1, AC6</t>
        </is>
      </c>
      <c r="P6" t="inlineStr">
        <is>
          <t>AC1, AC6</t>
        </is>
      </c>
      <c r="Q6" t="n">
        <v>1</v>
      </c>
      <c r="R6" t="n">
        <v>1</v>
      </c>
      <c r="S6" t="n">
        <v>1</v>
      </c>
      <c r="T6" t="inlineStr"/>
      <c r="U6" t="inlineStr"/>
      <c r="V6" t="inlineStr"/>
      <c r="W6" t="inlineStr">
        <is>
          <t>Socraticidad 4/5 (Andamiaje para detección): Andamiaje para detección: identifica el área del error y plantea pregunta que confronta con la teoría. Precisión Conceptual 3/5 (Suficiente): Suficiente: identifica que hay un error y usa conceptos correctos, pero el diagnóstico es algo vago. Buen desempeño general; hay margen de mejora en profundidad socrática.</t>
        </is>
      </c>
    </row>
    <row r="7">
      <c r="A7" t="n">
        <v>23</v>
      </c>
      <c r="B7" t="n">
        <v>8</v>
      </c>
      <c r="C7" t="n">
        <v>2</v>
      </c>
      <c r="D7" t="n">
        <v>1</v>
      </c>
      <c r="E7" t="inlineStr">
        <is>
          <t>R1, R2 y R4 dado que R3 sobra</t>
        </is>
      </c>
      <c r="F7" t="inlineStr">
        <is>
          <t>¿Cómo afectaría la omisión de R3 en el circuito, considerando su rol como resistor en serie con R4?</t>
        </is>
      </c>
      <c r="G7" t="n">
        <v>3</v>
      </c>
      <c r="H7" t="n">
        <v>2</v>
      </c>
      <c r="I7" t="n">
        <v>4</v>
      </c>
      <c r="J7" t="n">
        <v>5</v>
      </c>
      <c r="K7" t="n">
        <v>14</v>
      </c>
      <c r="L7" t="n">
        <v>88.08</v>
      </c>
      <c r="M7" t="n">
        <v>28</v>
      </c>
      <c r="N7" t="n">
        <v>0.68</v>
      </c>
      <c r="O7" t="inlineStr">
        <is>
          <t>AC1</t>
        </is>
      </c>
      <c r="P7" t="inlineStr"/>
      <c r="Q7" t="n">
        <v>1</v>
      </c>
      <c r="R7" t="n">
        <v>0</v>
      </c>
      <c r="S7" t="n">
        <v>0</v>
      </c>
      <c r="T7" t="inlineStr"/>
      <c r="U7" t="inlineStr"/>
      <c r="V7" t="inlineStr"/>
      <c r="W7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8">
      <c r="A8" t="n">
        <v>26</v>
      </c>
      <c r="B8" t="n">
        <v>9</v>
      </c>
      <c r="C8" t="n">
        <v>2</v>
      </c>
      <c r="D8" t="n">
        <v>1</v>
      </c>
      <c r="E8" t="inlineStr">
        <is>
          <t>R1, R2 y R4 dado que  R5 cortocircuitada</t>
        </is>
      </c>
      <c r="F8" t="inlineStr">
        <is>
          <t>¿Cómo afectaría un cortocircuito en R5 a las rutas de corriente entre los nodos donde se encuentran R1, R2 y R4?</t>
        </is>
      </c>
      <c r="G8" t="n">
        <v>3</v>
      </c>
      <c r="H8" t="n">
        <v>4</v>
      </c>
      <c r="I8" t="n">
        <v>5</v>
      </c>
      <c r="J8" t="n">
        <v>5</v>
      </c>
      <c r="K8" t="n">
        <v>17</v>
      </c>
      <c r="L8" t="n">
        <v>110.056</v>
      </c>
      <c r="M8" t="n">
        <v>38</v>
      </c>
      <c r="N8" t="n">
        <v>0.55</v>
      </c>
      <c r="O8" t="inlineStr">
        <is>
          <t>AC6</t>
        </is>
      </c>
      <c r="P8" t="inlineStr">
        <is>
          <t>AC1, AC6, AC9</t>
        </is>
      </c>
      <c r="Q8" t="n">
        <v>0.333</v>
      </c>
      <c r="R8" t="n">
        <v>1</v>
      </c>
      <c r="S8" t="n">
        <v>0.5</v>
      </c>
      <c r="T8" t="inlineStr"/>
      <c r="U8" t="inlineStr"/>
      <c r="V8" t="inlineStr"/>
      <c r="W8" t="inlineStr">
        <is>
          <t>Socraticidad 3/5 (Clarificación): Pregunta genérica: pide clarificación sin atacar la raíz del error. Precisión Conceptual 4/5 (Bueno): Bueno: identifica claramente la concepción alternativa con lenguaje técnico preciso. Tutor de alto rendimiento: guía socrática experta con diagnóstico preciso.</t>
        </is>
      </c>
    </row>
    <row r="9">
      <c r="A9" t="n">
        <v>29</v>
      </c>
      <c r="B9" t="n">
        <v>10</v>
      </c>
      <c r="C9" t="n">
        <v>2</v>
      </c>
      <c r="D9" t="n">
        <v>1</v>
      </c>
      <c r="E9" t="inlineStr">
        <is>
          <t>R1, R2 y R4 dado que R3 se puede quitar</t>
        </is>
      </c>
      <c r="F9" t="inlineStr">
        <is>
          <t>¿Cuál es el efecto de la resistencia R3 en la corriente que fluye a través de R1, R2 y R4?</t>
        </is>
      </c>
      <c r="G9" t="n">
        <v>3</v>
      </c>
      <c r="H9" t="n">
        <v>3</v>
      </c>
      <c r="I9" t="n">
        <v>5</v>
      </c>
      <c r="J9" t="n">
        <v>5</v>
      </c>
      <c r="K9" t="n">
        <v>16</v>
      </c>
      <c r="L9" t="n">
        <v>111.116</v>
      </c>
      <c r="M9" t="n">
        <v>34</v>
      </c>
      <c r="N9" t="n">
        <v>0.54</v>
      </c>
      <c r="O9" t="inlineStr">
        <is>
          <t>AC1</t>
        </is>
      </c>
      <c r="P9" t="inlineStr">
        <is>
          <t>AC1</t>
        </is>
      </c>
      <c r="Q9" t="n">
        <v>1</v>
      </c>
      <c r="R9" t="n">
        <v>1</v>
      </c>
      <c r="S9" t="n">
        <v>1</v>
      </c>
      <c r="T9" t="inlineStr"/>
      <c r="U9" t="inlineStr"/>
      <c r="V9" t="inlineStr"/>
      <c r="W9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generación</t>
        </is>
      </c>
      <c r="B2" t="inlineStr">
        <is>
          <t>2026-05-20T15:00:03.172682</t>
        </is>
      </c>
    </row>
    <row r="3">
      <c r="A3" t="inlineStr">
        <is>
          <t>Método</t>
        </is>
      </c>
      <c r="B3" t="inlineStr">
        <is>
          <t>RAG</t>
        </is>
      </c>
    </row>
    <row r="4">
      <c r="A4" t="inlineStr">
        <is>
          <t>Modelos evaluados</t>
        </is>
      </c>
      <c r="B4" t="inlineStr">
        <is>
          <t>qwen2.5:latest</t>
        </is>
      </c>
    </row>
    <row r="5">
      <c r="A5" t="inlineStr">
        <is>
          <t>Ejercicios cubiertos</t>
        </is>
      </c>
      <c r="B5" t="inlineStr">
        <is>
          <t>1</t>
        </is>
      </c>
    </row>
    <row r="6">
      <c r="A6" t="inlineStr">
        <is>
          <t>Total evaluaciones</t>
        </is>
      </c>
      <c r="B6" t="n">
        <v>8</v>
      </c>
    </row>
    <row r="7">
      <c r="A7" t="inlineStr">
        <is>
          <t>UPV Ollama URL</t>
        </is>
      </c>
      <c r="B7" t="inlineStr">
        <is>
          <t>https://ollama.gti-ia.upv.es:443</t>
        </is>
      </c>
    </row>
    <row r="8">
      <c r="A8" t="inlineStr">
        <is>
          <t>PoliGPT URL</t>
        </is>
      </c>
      <c r="B8" t="inlineStr">
        <is>
          <t>https://api.poligpt.upv.es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Modelo</t>
        </is>
      </c>
      <c r="C1" t="inlineStr">
        <is>
          <t>muestras</t>
        </is>
      </c>
      <c r="D1" t="inlineStr">
        <is>
          <t>latencia_media</t>
        </is>
      </c>
      <c r="E1" t="inlineStr">
        <is>
          <t>latencia_p95</t>
        </is>
      </c>
      <c r="F1" t="inlineStr">
        <is>
          <t>throughput</t>
        </is>
      </c>
      <c r="G1" t="inlineStr">
        <is>
          <t>tokens_medio</t>
        </is>
      </c>
      <c r="H1" t="inlineStr">
        <is>
          <t>formato_socratico</t>
        </is>
      </c>
      <c r="I1" t="inlineStr">
        <is>
          <t>correccion_conceptual</t>
        </is>
      </c>
      <c r="J1" t="inlineStr">
        <is>
          <t>adaptabilidad</t>
        </is>
      </c>
      <c r="K1" t="inlineStr">
        <is>
          <t>generacion_reflexion</t>
        </is>
      </c>
      <c r="L1" t="inlineStr">
        <is>
          <t>score_total</t>
        </is>
      </c>
      <c r="M1" t="inlineStr">
        <is>
          <t>pct_socratico</t>
        </is>
      </c>
      <c r="N1" t="inlineStr">
        <is>
          <t>pct_score_15</t>
        </is>
      </c>
      <c r="O1" t="inlineStr">
        <is>
          <t>faithfulness</t>
        </is>
      </c>
      <c r="P1" t="inlineStr">
        <is>
          <t>relevance</t>
        </is>
      </c>
      <c r="Q1" t="inlineStr">
        <is>
          <t>pct_cot</t>
        </is>
      </c>
    </row>
    <row r="2">
      <c r="A2" t="n">
        <v>1</v>
      </c>
      <c r="B2" t="inlineStr">
        <is>
          <t>qwen2.5:latest</t>
        </is>
      </c>
      <c r="C2">
        <f>COUNTA('Resultados_qwen2.5_latest'!A2:A10000)</f>
        <v/>
      </c>
      <c r="D2">
        <f>IFERROR(AVERAGE('Resultados_qwen2.5_latest'!L2:L10000),"")</f>
        <v/>
      </c>
      <c r="E2">
        <f>IFERROR(PERCENTILE('Resultados_qwen2.5_latest'!L2:L10000,0.95),"")</f>
        <v/>
      </c>
      <c r="F2">
        <f>IFERROR(IF(AVERAGE('Resultados_qwen2.5_latest'!L2:L10000)&gt;0,60/AVERAGE('Resultados_qwen2.5_latest'!L2:L10000),0),"")</f>
        <v/>
      </c>
      <c r="G2">
        <f>IFERROR(AVERAGE('Resultados_qwen2.5_latest'!M2:M10000),"")</f>
        <v/>
      </c>
      <c r="H2">
        <f>IFERROR(AVERAGE('Resultados_qwen2.5_latest'!G2:G10000),"")</f>
        <v/>
      </c>
      <c r="I2">
        <f>IFERROR(AVERAGE('Resultados_qwen2.5_latest'!H2:H10000),"")</f>
        <v/>
      </c>
      <c r="J2">
        <f>IFERROR(AVERAGE('Resultados_qwen2.5_latest'!I2:I10000),"")</f>
        <v/>
      </c>
      <c r="K2">
        <f>IFERROR(AVERAGE('Resultados_qwen2.5_latest'!J2:J10000),"")</f>
        <v/>
      </c>
      <c r="L2">
        <f>IFERROR(AVERAGE('Resultados_qwen2.5_latest'!K2:K10000),"")</f>
        <v/>
      </c>
      <c r="M2">
        <f>IFERROR(COUNTIF('Resultados_qwen2.5_latest'!G2:G10000,"&gt;=4")/COUNTA('Resultados_qwen2.5_latest'!G2:G10000)*100,"")</f>
        <v/>
      </c>
      <c r="N2">
        <f>IFERROR(COUNTIF('Resultados_qwen2.5_latest'!K2:K10000,"&gt;=15")/COUNTA('Resultados_qwen2.5_latest'!K2:K10000)*100,"")</f>
        <v/>
      </c>
      <c r="O2">
        <f>IFERROR(AVERAGE('Resultados_qwen2.5_latest'!T2:T10000),"")</f>
        <v/>
      </c>
      <c r="P2">
        <f>IFERROR(AVERAGE('Resultados_qwen2.5_latest'!U2:U10000),"")</f>
        <v/>
      </c>
      <c r="Q2">
        <f>IFERROR(COUNTIF('Resultados_qwen2.5_latest'!V2:V10000,"&lt;&gt;")/COUNTA('Resultados_qwen2.5_latest'!A2:A10000)*100,"")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Arch.</t>
        </is>
      </c>
      <c r="C1" t="inlineStr">
        <is>
          <t>muestras</t>
        </is>
      </c>
      <c r="D1" t="inlineStr">
        <is>
          <t>latencia_media (s)</t>
        </is>
      </c>
      <c r="E1" t="inlineStr">
        <is>
          <t>tokens_medio</t>
        </is>
      </c>
      <c r="F1" t="inlineStr">
        <is>
          <t>socraticity (0-5)</t>
        </is>
      </c>
      <c r="G1" t="inlineStr">
        <is>
          <t>conceptual correctness (0-5)</t>
        </is>
      </c>
      <c r="H1" t="inlineStr">
        <is>
          <t>consistency (0-5)</t>
        </is>
      </c>
      <c r="I1" t="inlineStr">
        <is>
          <t>hallucination rate (0-5)</t>
        </is>
      </c>
      <c r="J1" t="inlineStr">
        <is>
          <t>temperature</t>
        </is>
      </c>
    </row>
    <row r="2">
      <c r="A2" t="inlineStr">
        <is>
          <t>qwen2.5:latest</t>
        </is>
      </c>
      <c r="B2" t="inlineStr">
        <is>
          <t>RAG-UPV</t>
        </is>
      </c>
      <c r="C2">
        <f>COUNTA('Resultados_qwen2.5_latest'!A2:A10000)</f>
        <v/>
      </c>
      <c r="D2">
        <f>IFERROR(AVERAGE('Resultados_qwen2.5_latest'!L2:L10000),"")</f>
        <v/>
      </c>
      <c r="E2">
        <f>IFERROR(AVERAGE('Resultados_qwen2.5_latest'!M2:M10000),"")</f>
        <v/>
      </c>
      <c r="F2">
        <f>IFERROR(AVERAGE('Resultados_qwen2.5_latest'!G2:G10000),"")</f>
        <v/>
      </c>
      <c r="G2">
        <f>IFERROR(AVERAGE('Resultados_qwen2.5_latest'!H2:H10000),"")</f>
        <v/>
      </c>
      <c r="H2">
        <f>IFERROR(AVERAGE('Resultados_qwen2.5_latest'!I2:I10000),"")</f>
        <v/>
      </c>
      <c r="I2">
        <f>IFERROR(AVERAGE('Resultados_qwen2.5_latest'!J2:J10000),"")</f>
        <v/>
      </c>
      <c r="J2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latencia_media</t>
        </is>
      </c>
      <c r="C1" t="inlineStr">
        <is>
          <t>latencia_p95</t>
        </is>
      </c>
      <c r="D1" t="inlineStr">
        <is>
          <t>throughput</t>
        </is>
      </c>
      <c r="E1" t="inlineStr">
        <is>
          <t>tokens_medio</t>
        </is>
      </c>
    </row>
    <row r="2">
      <c r="A2" t="inlineStr">
        <is>
          <t>qwen2.5:latest</t>
        </is>
      </c>
      <c r="B2">
        <f>IFERROR(AVERAGE('Resultados_qwen2.5_latest'!L2:L10000),"")</f>
        <v/>
      </c>
      <c r="C2">
        <f>IFERROR(PERCENTILE('Resultados_qwen2.5_latest'!L2:L10000,0.95),"")</f>
        <v/>
      </c>
      <c r="D2">
        <f>IFERROR(IF(AVERAGE('Resultados_qwen2.5_latest'!L2:L10000)&gt;0,60/AVERAGE('Resultados_qwen2.5_latest'!L2:L10000),0),"")</f>
        <v/>
      </c>
      <c r="E2">
        <f>IFERROR(AVERAGE('Resultados_qwen2.5_latest'!M2:M10000),"")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faithfulness</t>
        </is>
      </c>
      <c r="C1" t="inlineStr">
        <is>
          <t>relevance</t>
        </is>
      </c>
      <c r="D1" t="inlineStr">
        <is>
          <t>pct_cot</t>
        </is>
      </c>
    </row>
    <row r="2">
      <c r="A2" t="inlineStr">
        <is>
          <t>qwen2.5:latest</t>
        </is>
      </c>
      <c r="B2">
        <f>IFERROR(AVERAGE('Resultados_qwen2.5_latest'!T2:T10000),"")</f>
        <v/>
      </c>
      <c r="C2">
        <f>IFERROR(AVERAGE('Resultados_qwen2.5_latest'!U2:U10000),"")</f>
        <v/>
      </c>
      <c r="D2">
        <f>IFERROR(COUNTIF('Resultados_qwen2.5_latest'!V2:V10000,"&lt;&gt;")/COUNTA('Resultados_qwen2.5_latest'!A2:A10000)*100,"")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2026-05-20T13:00:03Z</dcterms:created>
  <dcterms:modified xmlns:dcterms="http://purl.org/dc/terms/" xmlns:xsi="http://www.w3.org/2001/XMLSchema-instance" xsi:type="dcterms:W3CDTF">2026-05-20T13:00:03Z</dcterms:modified>
</cp:coreProperties>
</file>