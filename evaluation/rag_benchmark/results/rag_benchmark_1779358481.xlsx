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_qwen2.5_latest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Results_Article" sheetId="4" state="visible" r:id="rId4"/>
    <sheet xmlns:r="http://schemas.openxmlformats.org/officeDocument/2006/relationships" name="Efficiency" sheetId="5" state="visible" r:id="rId5"/>
    <sheet xmlns:r="http://schemas.openxmlformats.org/officeDocument/2006/relationships" name="CoT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Conversation</t>
        </is>
      </c>
      <c r="C1" t="inlineStr">
        <is>
          <t>Turn</t>
        </is>
      </c>
      <c r="D1" t="inlineStr">
        <is>
          <t>Exercise</t>
        </is>
      </c>
      <c r="E1" t="inlineStr">
        <is>
          <t>Student Answer</t>
        </is>
      </c>
      <c r="F1" t="inlineStr">
        <is>
          <t>Tutor Socratic Response</t>
        </is>
      </c>
      <c r="G1" t="inlineStr">
        <is>
          <t>Socratic Quality</t>
        </is>
      </c>
      <c r="H1" t="inlineStr">
        <is>
          <t>Conceptual Precision</t>
        </is>
      </c>
      <c r="I1" t="inlineStr">
        <is>
          <t>Consistency</t>
        </is>
      </c>
      <c r="J1" t="inlineStr">
        <is>
          <t>Hallucination Rate</t>
        </is>
      </c>
      <c r="K1" t="inlineStr">
        <is>
          <t>Total Score</t>
        </is>
      </c>
      <c r="L1" t="inlineStr">
        <is>
          <t>Latency (s)</t>
        </is>
      </c>
      <c r="M1" t="inlineStr">
        <is>
          <t>Tokens</t>
        </is>
      </c>
      <c r="N1" t="inlineStr">
        <is>
          <t>Throughput (resp/min)</t>
        </is>
      </c>
      <c r="O1" t="inlineStr">
        <is>
          <t>Expected ACs</t>
        </is>
      </c>
      <c r="P1" t="inlineStr">
        <is>
          <t>Detected ACs</t>
        </is>
      </c>
      <c r="Q1" t="inlineStr">
        <is>
          <t>AC Precision</t>
        </is>
      </c>
      <c r="R1" t="inlineStr">
        <is>
          <t>AC Recall</t>
        </is>
      </c>
      <c r="S1" t="inlineStr">
        <is>
          <t>AC F1</t>
        </is>
      </c>
      <c r="T1" t="inlineStr">
        <is>
          <t>Faithfulness</t>
        </is>
      </c>
      <c r="U1" t="inlineStr">
        <is>
          <t>Relevance</t>
        </is>
      </c>
      <c r="V1" t="inlineStr">
        <is>
          <t>Think Content</t>
        </is>
      </c>
      <c r="W1" t="inlineStr">
        <is>
          <t>Constructive Feedback</t>
        </is>
      </c>
    </row>
    <row r="2">
      <c r="A2" t="n">
        <v>6</v>
      </c>
      <c r="B2" t="n">
        <v>2</v>
      </c>
      <c r="C2" t="n">
        <v>3</v>
      </c>
      <c r="D2" t="n">
        <v>1</v>
      </c>
      <c r="E2" t="inlineStr">
        <is>
          <t>R1, R2, R3 y R4 porque por R5 no circula corriente</t>
        </is>
      </c>
      <c r="F2" t="inlineStr">
        <is>
          <t>¿Cómo afecta la existencia de un cortocircuito en R5 a la circulación de corriente a través de los resistores R1, R2 y R3?</t>
        </is>
      </c>
      <c r="G2" t="n">
        <v>4</v>
      </c>
      <c r="H2" t="n">
        <v>3</v>
      </c>
      <c r="I2" t="n">
        <v>5</v>
      </c>
      <c r="J2" t="n">
        <v>5</v>
      </c>
      <c r="K2" t="n">
        <v>17</v>
      </c>
      <c r="L2" t="n">
        <v>73.496</v>
      </c>
      <c r="M2" t="n">
        <v>41</v>
      </c>
      <c r="N2" t="n">
        <v>0.82</v>
      </c>
      <c r="O2" t="inlineStr">
        <is>
          <t>AC1, AC6</t>
        </is>
      </c>
      <c r="P2" t="inlineStr">
        <is>
          <t>AC1, AC6</t>
        </is>
      </c>
      <c r="Q2" t="n">
        <v>1</v>
      </c>
      <c r="R2" t="n">
        <v>1</v>
      </c>
      <c r="S2" t="n">
        <v>1</v>
      </c>
      <c r="T2" t="inlineStr"/>
      <c r="U2" t="inlineStr"/>
      <c r="V2" t="inlineStr"/>
      <c r="W2" t="inlineStr">
        <is>
          <t>Socratic quality 4/5 (Scaffolding for detection): Scaffolding for detection: identifies the error area and asks a question that confronts the theory. Conceptual precision 3/5 (Sufficient): Sufficient: identifies that there is an error and uses correct concepts, but the diagnosis is somewhat vague. High-performing tutor: expert socratic guidance with precise diagnosis.</t>
        </is>
      </c>
    </row>
    <row r="3">
      <c r="A3" t="n">
        <v>14</v>
      </c>
      <c r="B3" t="n">
        <v>5</v>
      </c>
      <c r="C3" t="n">
        <v>2</v>
      </c>
      <c r="D3" t="n">
        <v>1</v>
      </c>
      <c r="E3" t="inlineStr">
        <is>
          <t>R1, R2, R4 y R5 dado que R3 no hace nada</t>
        </is>
      </c>
      <c r="F3" t="inlineStr">
        <is>
          <t>¿Cómo podrías verificar si un resistor realmente "hace algo" en el circuito utilizando solo conceptos básicos de lo que ocurre a nivel microscópico con los electrones?</t>
        </is>
      </c>
      <c r="G3" t="n">
        <v>3</v>
      </c>
      <c r="H3" t="n">
        <v>2</v>
      </c>
      <c r="I3" t="n">
        <v>3</v>
      </c>
      <c r="J3" t="n">
        <v>5</v>
      </c>
      <c r="K3" t="n">
        <v>13</v>
      </c>
      <c r="L3" t="n">
        <v>124.041</v>
      </c>
      <c r="M3" t="n">
        <v>42</v>
      </c>
      <c r="N3" t="n">
        <v>0.48</v>
      </c>
      <c r="O3" t="inlineStr">
        <is>
          <t>AC1, AC6</t>
        </is>
      </c>
      <c r="P3" t="inlineStr"/>
      <c r="Q3" t="n">
        <v>1</v>
      </c>
      <c r="R3" t="n">
        <v>0</v>
      </c>
      <c r="S3" t="n">
        <v>0</v>
      </c>
      <c r="T3" t="inlineStr"/>
      <c r="U3" t="inlineStr"/>
      <c r="V3" t="inlineStr"/>
      <c r="W3" t="inlineStr">
        <is>
          <t>Socratic quality 3/5 (Clarification): Generic question: asks for clarification without attacking the root error. Conceptual precision 2/5 (Poor): Generic response: no technical vocabulary or error diagnosis. Good overall performance; room for improvement in socratic depth.</t>
        </is>
      </c>
    </row>
    <row r="4">
      <c r="A4" t="n">
        <v>15</v>
      </c>
      <c r="B4" t="n">
        <v>5</v>
      </c>
      <c r="C4" t="n">
        <v>3</v>
      </c>
      <c r="D4" t="n">
        <v>1</v>
      </c>
      <c r="E4" t="inlineStr">
        <is>
          <t>R1, R2 y R4 dado que son las resistencias que forman parte del circuito.</t>
        </is>
      </c>
      <c r="F4" t="inlineStr">
        <is>
          <t>¿Cómo podrías utilizar el concepto de corriente eléctrica y su interacción con los diferentes resistores para determinar si R3 realmente tiene un efecto en el circuito?</t>
        </is>
      </c>
      <c r="G4" t="n">
        <v>3</v>
      </c>
      <c r="H4" t="n">
        <v>2</v>
      </c>
      <c r="I4" t="n">
        <v>3</v>
      </c>
      <c r="J4" t="n">
        <v>5</v>
      </c>
      <c r="K4" t="n">
        <v>13</v>
      </c>
      <c r="L4" t="n">
        <v>0.908</v>
      </c>
      <c r="M4" t="n">
        <v>41</v>
      </c>
      <c r="N4" t="n">
        <v>66.11</v>
      </c>
      <c r="O4" t="inlineStr"/>
      <c r="P4" t="inlineStr">
        <is>
          <t>AC1</t>
        </is>
      </c>
      <c r="Q4" t="n">
        <v>0</v>
      </c>
      <c r="R4" t="n">
        <v>1</v>
      </c>
      <c r="S4" t="n">
        <v>0</v>
      </c>
      <c r="T4" t="inlineStr"/>
      <c r="U4" t="inlineStr"/>
      <c r="V4" t="inlineStr"/>
      <c r="W4" t="inlineStr">
        <is>
          <t>Socratic quality 3/5 (Clarification): Generic question: asks for clarification without attacking the root error. Conceptual precision 2/5 (Poor): Poor: responds generically without diagnosing the conceptual error. Good overall performance; room for improvement in socratic depth.</t>
        </is>
      </c>
    </row>
    <row r="5">
      <c r="A5" t="n">
        <v>16</v>
      </c>
      <c r="B5" t="n">
        <v>6</v>
      </c>
      <c r="C5" t="n">
        <v>1</v>
      </c>
      <c r="D5" t="n">
        <v>1</v>
      </c>
      <c r="E5" t="inlineStr">
        <is>
          <t>R1, R2 y R4 dado que R2 y R4 están en paralelo y forma un divisor de tensión con R1.</t>
        </is>
      </c>
      <c r="F5" t="inlineStr">
        <is>
          <t>¿Consideraste el efecto del interruptor abierto entre N2 y N3 en tu análisis de las resistencias relevantes para la diferencia de potencial entre N2 y 0?</t>
        </is>
      </c>
      <c r="G5" t="n">
        <v>3</v>
      </c>
      <c r="H5" t="n">
        <v>4</v>
      </c>
      <c r="I5" t="n">
        <v>3</v>
      </c>
      <c r="J5" t="n">
        <v>5</v>
      </c>
      <c r="K5" t="n">
        <v>15</v>
      </c>
      <c r="L5" t="n">
        <v>1.03</v>
      </c>
      <c r="M5" t="n">
        <v>40</v>
      </c>
      <c r="N5" t="n">
        <v>58.26</v>
      </c>
      <c r="O5" t="inlineStr"/>
      <c r="P5" t="inlineStr">
        <is>
          <t>AC1, AC9</t>
        </is>
      </c>
      <c r="Q5" t="n">
        <v>0</v>
      </c>
      <c r="R5" t="n">
        <v>1</v>
      </c>
      <c r="S5" t="n">
        <v>0</v>
      </c>
      <c r="T5" t="inlineStr"/>
      <c r="U5" t="inlineStr"/>
      <c r="V5" t="inlineStr"/>
      <c r="W5" t="inlineStr">
        <is>
          <t>Socratic quality 3/5 (Clarification): Generic question: asks for clarification without attacking the root error. Conceptual precision 4/5 (Good): Good: clearly identifies the alternative conception with precise technical language. Good overall performance; room for improvement in socratic depth.</t>
        </is>
      </c>
    </row>
    <row r="6">
      <c r="A6" t="n">
        <v>17</v>
      </c>
      <c r="B6" t="n">
        <v>6</v>
      </c>
      <c r="C6" t="n">
        <v>2</v>
      </c>
      <c r="D6" t="n">
        <v>1</v>
      </c>
      <c r="E6" t="inlineStr">
        <is>
          <t>R1, R2 y R4 dado que R3 está en abierto y R5 cortocircuitada</t>
        </is>
      </c>
      <c r="F6" t="inlineStr">
        <is>
          <t>¿Crees que el estado del interruptor entre N2 y N3 tenga alguna influencia en la resistencia relevante para calcular la diferencia de potencial entre N2 y 0?</t>
        </is>
      </c>
      <c r="G6" t="n">
        <v>3</v>
      </c>
      <c r="H6" t="n">
        <v>4</v>
      </c>
      <c r="I6" t="n">
        <v>3</v>
      </c>
      <c r="J6" t="n">
        <v>5</v>
      </c>
      <c r="K6" t="n">
        <v>15</v>
      </c>
      <c r="L6" t="n">
        <v>0.86</v>
      </c>
      <c r="M6" t="n">
        <v>40</v>
      </c>
      <c r="N6" t="n">
        <v>69.73999999999999</v>
      </c>
      <c r="O6" t="inlineStr">
        <is>
          <t>AC1, AC6</t>
        </is>
      </c>
      <c r="P6" t="inlineStr">
        <is>
          <t>AC1</t>
        </is>
      </c>
      <c r="Q6" t="n">
        <v>1</v>
      </c>
      <c r="R6" t="n">
        <v>0.5</v>
      </c>
      <c r="S6" t="n">
        <v>0.667</v>
      </c>
      <c r="T6" t="inlineStr"/>
      <c r="U6" t="inlineStr"/>
      <c r="V6" t="inlineStr"/>
      <c r="W6" t="inlineStr">
        <is>
          <t>Socratic quality 3/5 (Clarification): Generic question: asks for clarification without attacking the root error. Conceptual precision 4/5 (Good): Good: clearly identifies the alternative conception with precise technical language. Good overall performance; room for improvement in socratic depth.</t>
        </is>
      </c>
    </row>
    <row r="7">
      <c r="A7" t="n">
        <v>18</v>
      </c>
      <c r="B7" t="n">
        <v>6</v>
      </c>
      <c r="C7" t="n">
        <v>3</v>
      </c>
      <c r="D7" t="n">
        <v>1</v>
      </c>
      <c r="E7" t="inlineStr">
        <is>
          <t>R1, R2 y R4 dado que solo por estas resistencias circula una corriente diferente de cero</t>
        </is>
      </c>
      <c r="F7" t="inlineStr">
        <is>
          <t>¿Cómo te afecta el estado del interruptor entre N2 y N3 en tu selección de resistencias relevantes para calcular la corriente?</t>
        </is>
      </c>
      <c r="G7" t="n">
        <v>3</v>
      </c>
      <c r="H7" t="n">
        <v>4</v>
      </c>
      <c r="I7" t="n">
        <v>3</v>
      </c>
      <c r="J7" t="n">
        <v>5</v>
      </c>
      <c r="K7" t="n">
        <v>15</v>
      </c>
      <c r="L7" t="n">
        <v>0.823</v>
      </c>
      <c r="M7" t="n">
        <v>33</v>
      </c>
      <c r="N7" t="n">
        <v>72.90000000000001</v>
      </c>
      <c r="O7" t="inlineStr"/>
      <c r="P7" t="inlineStr">
        <is>
          <t>AC1, AC9</t>
        </is>
      </c>
      <c r="Q7" t="n">
        <v>0</v>
      </c>
      <c r="R7" t="n">
        <v>1</v>
      </c>
      <c r="S7" t="n">
        <v>0</v>
      </c>
      <c r="T7" t="inlineStr"/>
      <c r="U7" t="inlineStr"/>
      <c r="V7" t="inlineStr"/>
      <c r="W7" t="inlineStr">
        <is>
          <t>Socratic quality 3/5 (Clarification): Generic question: asks for clarification without attacking the root error. Conceptual precision 4/5 (Good): Good: clearly identifies the alternative conception with precise technical language. Good overall performance; room for improvement in socratic depth.</t>
        </is>
      </c>
    </row>
    <row r="8">
      <c r="A8" t="n">
        <v>19</v>
      </c>
      <c r="B8" t="n">
        <v>7</v>
      </c>
      <c r="C8" t="n">
        <v>1</v>
      </c>
      <c r="D8" t="n">
        <v>1</v>
      </c>
      <c r="E8" t="inlineStr">
        <is>
          <t>R1, R2 y R4 dado que por R3 y por R5 no circula corriente</t>
        </is>
      </c>
      <c r="F8" t="inlineStr">
        <is>
          <t>¿Cómo afecta el estado del interruptor entre N2 y N3 a la circulación de corriente en R3?</t>
        </is>
      </c>
      <c r="G8" t="n">
        <v>4</v>
      </c>
      <c r="H8" t="n">
        <v>3</v>
      </c>
      <c r="I8" t="n">
        <v>3</v>
      </c>
      <c r="J8" t="n">
        <v>5</v>
      </c>
      <c r="K8" t="n">
        <v>15</v>
      </c>
      <c r="L8" t="n">
        <v>0.98</v>
      </c>
      <c r="M8" t="n">
        <v>29</v>
      </c>
      <c r="N8" t="n">
        <v>61.24</v>
      </c>
      <c r="O8" t="inlineStr">
        <is>
          <t>AC1, AC6</t>
        </is>
      </c>
      <c r="P8" t="inlineStr">
        <is>
          <t>AC1</t>
        </is>
      </c>
      <c r="Q8" t="n">
        <v>1</v>
      </c>
      <c r="R8" t="n">
        <v>0.5</v>
      </c>
      <c r="S8" t="n">
        <v>0.667</v>
      </c>
      <c r="T8" t="inlineStr"/>
      <c r="U8" t="inlineStr"/>
      <c r="V8" t="inlineStr"/>
      <c r="W8" t="inlineStr">
        <is>
          <t>Socratic quality 4/5 (Scaffolding for detection): Scaffolding for detection: identifies the error area and asks a question that confronts the theory. Conceptual precision 3/5 (Sufficient): Sufficient: identifies that there is an error and uses correct concepts, but the diagnosis is somewhat vague. Good overall performance; room for improvement in socratic depth.</t>
        </is>
      </c>
    </row>
    <row r="9">
      <c r="A9" t="n">
        <v>20</v>
      </c>
      <c r="B9" t="n">
        <v>7</v>
      </c>
      <c r="C9" t="n">
        <v>2</v>
      </c>
      <c r="D9" t="n">
        <v>1</v>
      </c>
      <c r="E9" t="inlineStr">
        <is>
          <t>R1, R2 y R4 dado que R3 y R5 se pueden quitar</t>
        </is>
      </c>
      <c r="F9" t="inlineStr">
        <is>
          <t>¿Cómo cambia la ausencia de corriente en R3 y R5 afectaría la tensión en los nodos N2 y N3?</t>
        </is>
      </c>
      <c r="G9" t="n">
        <v>4</v>
      </c>
      <c r="H9" t="n">
        <v>3</v>
      </c>
      <c r="I9" t="n">
        <v>3</v>
      </c>
      <c r="J9" t="n">
        <v>5</v>
      </c>
      <c r="K9" t="n">
        <v>15</v>
      </c>
      <c r="L9" t="n">
        <v>0.838</v>
      </c>
      <c r="M9" t="n">
        <v>33</v>
      </c>
      <c r="N9" t="n">
        <v>71.64</v>
      </c>
      <c r="O9" t="inlineStr">
        <is>
          <t>AC1, AC6</t>
        </is>
      </c>
      <c r="P9" t="inlineStr">
        <is>
          <t>AC1</t>
        </is>
      </c>
      <c r="Q9" t="n">
        <v>1</v>
      </c>
      <c r="R9" t="n">
        <v>0.5</v>
      </c>
      <c r="S9" t="n">
        <v>0.667</v>
      </c>
      <c r="T9" t="inlineStr"/>
      <c r="U9" t="inlineStr"/>
      <c r="V9" t="inlineStr"/>
      <c r="W9" t="inlineStr">
        <is>
          <t>Socratic quality 4/5 (Scaffolding for detection): Scaffolding for detection: identifies the error area and asks a question that confronts the theory. Conceptual precision 3/5 (Sufficient): Sufficient: identifies that there is an error and uses correct concepts, but the diagnosis is somewhat vague. Good overall performance; room for improvement in socratic depth.</t>
        </is>
      </c>
    </row>
    <row r="10">
      <c r="A10" t="n">
        <v>21</v>
      </c>
      <c r="B10" t="n">
        <v>7</v>
      </c>
      <c r="C10" t="n">
        <v>3</v>
      </c>
      <c r="D10" t="n">
        <v>1</v>
      </c>
      <c r="E10" t="inlineStr">
        <is>
          <t>R1, R2 y R4 dado que R3 y R5 no influyen para nada en la diferencia de potencial que se pide</t>
        </is>
      </c>
      <c r="F10" t="inlineStr">
        <is>
          <t>¿Cómo podría el estado del interruptor entre N2 y N3 influir en la corriente que pasa por R1, R2 y R4?</t>
        </is>
      </c>
      <c r="G10" t="n">
        <v>3</v>
      </c>
      <c r="H10" t="n">
        <v>3</v>
      </c>
      <c r="I10" t="n">
        <v>4</v>
      </c>
      <c r="J10" t="n">
        <v>5</v>
      </c>
      <c r="K10" t="n">
        <v>15</v>
      </c>
      <c r="L10" t="n">
        <v>0.845</v>
      </c>
      <c r="M10" t="n">
        <v>34</v>
      </c>
      <c r="N10" t="n">
        <v>71.01000000000001</v>
      </c>
      <c r="O10" t="inlineStr">
        <is>
          <t>AC1, AC6</t>
        </is>
      </c>
      <c r="P10" t="inlineStr">
        <is>
          <t>AC1</t>
        </is>
      </c>
      <c r="Q10" t="n">
        <v>1</v>
      </c>
      <c r="R10" t="n">
        <v>0.5</v>
      </c>
      <c r="S10" t="n">
        <v>0.667</v>
      </c>
      <c r="T10" t="inlineStr"/>
      <c r="U10" t="inlineStr"/>
      <c r="V10" t="inlineStr"/>
      <c r="W10" t="inlineStr">
        <is>
          <t>Socratic quality 3/5 (Clarification): Generic question: asks for clarification without attacking the root error. Conceptual precision 3/5 (Sufficient): Sufficient: identifies that there is an error and uses correct concepts, but the diagnosis is somewhat vague. Good overall performance; room for improvement in socratic depth.</t>
        </is>
      </c>
    </row>
    <row r="11">
      <c r="A11" t="n">
        <v>22</v>
      </c>
      <c r="B11" t="n">
        <v>8</v>
      </c>
      <c r="C11" t="n">
        <v>1</v>
      </c>
      <c r="D11" t="n">
        <v>1</v>
      </c>
      <c r="E11" t="inlineStr">
        <is>
          <t>R1, R2 y R4 dado que R3 y R5 sobran</t>
        </is>
      </c>
      <c r="F11" t="inlineStr">
        <is>
          <t>¿Cómo afecta la presencia del interruptor abierto entre N2 y N3 al flujo de corriente en esa rama?, ¿Puede haber corriente circulando por R3?</t>
        </is>
      </c>
      <c r="G11" t="n">
        <v>4</v>
      </c>
      <c r="H11" t="n">
        <v>3</v>
      </c>
      <c r="I11" t="n">
        <v>3</v>
      </c>
      <c r="J11" t="n">
        <v>5</v>
      </c>
      <c r="K11" t="n">
        <v>15</v>
      </c>
      <c r="L11" t="n">
        <v>1.107</v>
      </c>
      <c r="M11" t="n">
        <v>45</v>
      </c>
      <c r="N11" t="n">
        <v>54.19</v>
      </c>
      <c r="O11" t="inlineStr">
        <is>
          <t>AC1, AC6</t>
        </is>
      </c>
      <c r="P11" t="inlineStr">
        <is>
          <t>AC1</t>
        </is>
      </c>
      <c r="Q11" t="n">
        <v>1</v>
      </c>
      <c r="R11" t="n">
        <v>0.5</v>
      </c>
      <c r="S11" t="n">
        <v>0.667</v>
      </c>
      <c r="T11" t="inlineStr"/>
      <c r="U11" t="inlineStr"/>
      <c r="V11" t="inlineStr"/>
      <c r="W11" t="inlineStr">
        <is>
          <t>Socratic quality 4/5 (Scaffolding for detection): Scaffolding for detection: identifies the error area and asks a question that confronts the theory. Conceptual precision 3/5 (Sufficient): Sufficient: identifies that there is an error and uses correct concepts, but the diagnosis is somewhat vague. Good overall performance; room for improvement in socratic depth.</t>
        </is>
      </c>
    </row>
    <row r="12">
      <c r="A12" t="n">
        <v>23</v>
      </c>
      <c r="B12" t="n">
        <v>8</v>
      </c>
      <c r="C12" t="n">
        <v>2</v>
      </c>
      <c r="D12" t="n">
        <v>1</v>
      </c>
      <c r="E12" t="inlineStr">
        <is>
          <t>R1, R2 y R4 dado que R3 sobra</t>
        </is>
      </c>
      <c r="F12" t="inlineStr">
        <is>
          <t>¿Cómo cambiaría la eliminación de R3 afectar el circuito en general, considerando su conexión con N2 y N3?</t>
        </is>
      </c>
      <c r="G12" t="n">
        <v>3</v>
      </c>
      <c r="H12" t="n">
        <v>2</v>
      </c>
      <c r="I12" t="n">
        <v>3</v>
      </c>
      <c r="J12" t="n">
        <v>5</v>
      </c>
      <c r="K12" t="n">
        <v>13</v>
      </c>
      <c r="L12" t="n">
        <v>0.775</v>
      </c>
      <c r="M12" t="n">
        <v>30</v>
      </c>
      <c r="N12" t="n">
        <v>77.40000000000001</v>
      </c>
      <c r="O12" t="inlineStr">
        <is>
          <t>AC1</t>
        </is>
      </c>
      <c r="P12" t="inlineStr"/>
      <c r="Q12" t="n">
        <v>1</v>
      </c>
      <c r="R12" t="n">
        <v>0</v>
      </c>
      <c r="S12" t="n">
        <v>0</v>
      </c>
      <c r="T12" t="inlineStr"/>
      <c r="U12" t="inlineStr"/>
      <c r="V12" t="inlineStr"/>
      <c r="W12" t="inlineStr">
        <is>
          <t>Socratic quality 3/5 (Clarification): Generic question: asks for clarification without attacking the root error. Conceptual precision 2/5 (Poor): Generic response: no technical vocabulary or error diagnosis. Good overall performance; room for improvement in socratic depth.</t>
        </is>
      </c>
    </row>
    <row r="13">
      <c r="A13" t="n">
        <v>24</v>
      </c>
      <c r="B13" t="n">
        <v>8</v>
      </c>
      <c r="C13" t="n">
        <v>3</v>
      </c>
      <c r="D13" t="n">
        <v>1</v>
      </c>
      <c r="E13" t="inlineStr">
        <is>
          <t>R1, R2 y R4 dado que R5 sobra</t>
        </is>
      </c>
      <c r="F13" t="inlineStr">
        <is>
          <t>¿Cómo afectaría la eliminación de R5 al flujo de corriente en el resto del circuito, especialmente considerando su conexión con N1 y N2?</t>
        </is>
      </c>
      <c r="G13" t="n">
        <v>3</v>
      </c>
      <c r="H13" t="n">
        <v>2</v>
      </c>
      <c r="I13" t="n">
        <v>3</v>
      </c>
      <c r="J13" t="n">
        <v>5</v>
      </c>
      <c r="K13" t="n">
        <v>13</v>
      </c>
      <c r="L13" t="n">
        <v>1.055</v>
      </c>
      <c r="M13" t="n">
        <v>37</v>
      </c>
      <c r="N13" t="n">
        <v>56.88</v>
      </c>
      <c r="O13" t="inlineStr">
        <is>
          <t>AC6</t>
        </is>
      </c>
      <c r="P13" t="inlineStr">
        <is>
          <t>AC1</t>
        </is>
      </c>
      <c r="Q13" t="n">
        <v>0</v>
      </c>
      <c r="R13" t="n">
        <v>0</v>
      </c>
      <c r="S13" t="n">
        <v>0</v>
      </c>
      <c r="T13" t="inlineStr"/>
      <c r="U13" t="inlineStr"/>
      <c r="V13" t="inlineStr"/>
      <c r="W13" t="inlineStr">
        <is>
          <t>Socratic quality 3/5 (Clarification): Generic question: asks for clarification without attacking the root error. Conceptual precision 2/5 (Poor): Poor: responds generically without diagnosing the conceptual error. Good overall performance; room for improvement in socratic depth.</t>
        </is>
      </c>
    </row>
    <row r="14">
      <c r="A14" t="n">
        <v>25</v>
      </c>
      <c r="B14" t="n">
        <v>9</v>
      </c>
      <c r="C14" t="n">
        <v>1</v>
      </c>
      <c r="D14" t="n">
        <v>1</v>
      </c>
      <c r="E14" t="inlineStr">
        <is>
          <t>R1, R2 y R4 dado que R3 está en abierto</t>
        </is>
      </c>
      <c r="F14" t="inlineStr">
        <is>
          <t>¿Qué efecto tiene un interruptor abierto entre dos nudos en el flujo de corriente?</t>
        </is>
      </c>
      <c r="G14" t="n">
        <v>3</v>
      </c>
      <c r="H14" t="n">
        <v>3</v>
      </c>
      <c r="I14" t="n">
        <v>3</v>
      </c>
      <c r="J14" t="n">
        <v>5</v>
      </c>
      <c r="K14" t="n">
        <v>14</v>
      </c>
      <c r="L14" t="n">
        <v>0.971</v>
      </c>
      <c r="M14" t="n">
        <v>24</v>
      </c>
      <c r="N14" t="n">
        <v>61.79</v>
      </c>
      <c r="O14" t="inlineStr">
        <is>
          <t>AC1</t>
        </is>
      </c>
      <c r="P14" t="inlineStr">
        <is>
          <t>AC1</t>
        </is>
      </c>
      <c r="Q14" t="n">
        <v>1</v>
      </c>
      <c r="R14" t="n">
        <v>1</v>
      </c>
      <c r="S14" t="n">
        <v>1</v>
      </c>
      <c r="T14" t="inlineStr"/>
      <c r="U14" t="inlineStr"/>
      <c r="V14" t="inlineStr"/>
      <c r="W14" t="inlineStr">
        <is>
          <t>Socratic quality 3/5 (Clarification): Generic question: asks for clarification without attacking the root error. Conceptual precision 3/5 (Sufficient): Sufficient: identifies that there is an error and uses correct concepts, but the diagnosis is somewhat vague. Good overall performance; room for improvement in socratic depth.</t>
        </is>
      </c>
    </row>
    <row r="15">
      <c r="A15" t="n">
        <v>26</v>
      </c>
      <c r="B15" t="n">
        <v>9</v>
      </c>
      <c r="C15" t="n">
        <v>2</v>
      </c>
      <c r="D15" t="n">
        <v>1</v>
      </c>
      <c r="E15" t="inlineStr">
        <is>
          <t>R1, R2 y R4 dado que  R5 cortocircuitada</t>
        </is>
      </c>
      <c r="F15" t="inlineStr">
        <is>
          <t>¿Cómo afecta un cortocircuito en la resistencia total del circuito?</t>
        </is>
      </c>
      <c r="G15" t="n">
        <v>4</v>
      </c>
      <c r="H15" t="n">
        <v>3</v>
      </c>
      <c r="I15" t="n">
        <v>3</v>
      </c>
      <c r="J15" t="n">
        <v>5</v>
      </c>
      <c r="K15" t="n">
        <v>15</v>
      </c>
      <c r="L15" t="n">
        <v>0.59</v>
      </c>
      <c r="M15" t="n">
        <v>19</v>
      </c>
      <c r="N15" t="n">
        <v>101.7</v>
      </c>
      <c r="O15" t="inlineStr">
        <is>
          <t>AC6</t>
        </is>
      </c>
      <c r="P15" t="inlineStr">
        <is>
          <t>AC6</t>
        </is>
      </c>
      <c r="Q15" t="n">
        <v>1</v>
      </c>
      <c r="R15" t="n">
        <v>1</v>
      </c>
      <c r="S15" t="n">
        <v>1</v>
      </c>
      <c r="T15" t="inlineStr"/>
      <c r="U15" t="inlineStr"/>
      <c r="V15" t="inlineStr"/>
      <c r="W15" t="inlineStr">
        <is>
          <t>Socratic quality 4/5 (Scaffolding for detection): Scaffolding for detection: identifies the error area and asks a question that confronts the theory. Conceptual precision 3/5 (Sufficient): Sufficient: identifies that there is an error and uses correct concepts, but the diagnosis is somewhat vague. Good overall performance; room for improvement in socratic depth.</t>
        </is>
      </c>
    </row>
    <row r="16">
      <c r="A16" t="n">
        <v>27</v>
      </c>
      <c r="B16" t="n">
        <v>9</v>
      </c>
      <c r="C16" t="n">
        <v>3</v>
      </c>
      <c r="D16" t="n">
        <v>1</v>
      </c>
      <c r="E16" t="inlineStr">
        <is>
          <t>R1, R2 y R4 dado que por R3 no circula corriente</t>
        </is>
      </c>
      <c r="F16" t="inlineStr">
        <is>
          <t>¿Cómo afecta la ausencia de corriente en R3 al flujo de electricidad entre los nudos conectados?</t>
        </is>
      </c>
      <c r="G16" t="n">
        <v>4</v>
      </c>
      <c r="H16" t="n">
        <v>2</v>
      </c>
      <c r="I16" t="n">
        <v>3</v>
      </c>
      <c r="J16" t="n">
        <v>5</v>
      </c>
      <c r="K16" t="n">
        <v>14</v>
      </c>
      <c r="L16" t="n">
        <v>0.636</v>
      </c>
      <c r="M16" t="n">
        <v>28</v>
      </c>
      <c r="N16" t="n">
        <v>94.31</v>
      </c>
      <c r="O16" t="inlineStr">
        <is>
          <t>AC1</t>
        </is>
      </c>
      <c r="P16" t="inlineStr">
        <is>
          <t>AC1</t>
        </is>
      </c>
      <c r="Q16" t="n">
        <v>1</v>
      </c>
      <c r="R16" t="n">
        <v>1</v>
      </c>
      <c r="S16" t="n">
        <v>1</v>
      </c>
      <c r="T16" t="inlineStr"/>
      <c r="U16" t="inlineStr"/>
      <c r="V16" t="inlineStr"/>
      <c r="W16" t="inlineStr">
        <is>
          <t>Socratic quality 4/5 (Scaffolding for detection): Scaffolding for detection: identifies the error area and asks a question that confronts the theory. Conceptual precision 2/5 (Poor): Poor: responds generically without diagnosing the conceptual error. Good overall performance; room for improvement in socratic depth.</t>
        </is>
      </c>
    </row>
    <row r="17">
      <c r="A17" t="n">
        <v>28</v>
      </c>
      <c r="B17" t="n">
        <v>10</v>
      </c>
      <c r="C17" t="n">
        <v>1</v>
      </c>
      <c r="D17" t="n">
        <v>1</v>
      </c>
      <c r="E17" t="inlineStr">
        <is>
          <t>R1, R2 y R4 dado que por  R5 no circula corriente</t>
        </is>
      </c>
      <c r="F17" t="inlineStr">
        <is>
          <t>¿Cómo afecta la presencia de un interruptor abierto a la circulación de corriente en esa rama del circuito?</t>
        </is>
      </c>
      <c r="G17" t="n">
        <v>4</v>
      </c>
      <c r="H17" t="n">
        <v>3</v>
      </c>
      <c r="I17" t="n">
        <v>3</v>
      </c>
      <c r="J17" t="n">
        <v>5</v>
      </c>
      <c r="K17" t="n">
        <v>15</v>
      </c>
      <c r="L17" t="n">
        <v>1.098</v>
      </c>
      <c r="M17" t="n">
        <v>31</v>
      </c>
      <c r="N17" t="n">
        <v>54.63</v>
      </c>
      <c r="O17" t="inlineStr">
        <is>
          <t>AC6</t>
        </is>
      </c>
      <c r="P17" t="inlineStr">
        <is>
          <t>AC1</t>
        </is>
      </c>
      <c r="Q17" t="n">
        <v>0</v>
      </c>
      <c r="R17" t="n">
        <v>0</v>
      </c>
      <c r="S17" t="n">
        <v>0</v>
      </c>
      <c r="T17" t="inlineStr"/>
      <c r="U17" t="inlineStr"/>
      <c r="V17" t="inlineStr"/>
      <c r="W17" t="inlineStr">
        <is>
          <t>Socratic quality 4/5 (Scaffolding for detection): Scaffolding for detection: identifies the error area and asks a question that confronts the theory. Conceptual precision 3/5 (Sufficient): Sufficient: identifies that there is an error and uses correct concepts, but the diagnosis is somewhat vague. Good overall performance; room for improvement in socratic depth.</t>
        </is>
      </c>
    </row>
    <row r="18">
      <c r="A18" t="n">
        <v>29</v>
      </c>
      <c r="B18" t="n">
        <v>10</v>
      </c>
      <c r="C18" t="n">
        <v>2</v>
      </c>
      <c r="D18" t="n">
        <v>1</v>
      </c>
      <c r="E18" t="inlineStr">
        <is>
          <t>R1, R2 y R4 dado que R3 se puede quitar</t>
        </is>
      </c>
      <c r="F18" t="inlineStr">
        <is>
          <t>¿Cómo cambiaría la eliminación de R3 afectar a la circulación de corriente en el resto del circuito?</t>
        </is>
      </c>
      <c r="G18" t="n">
        <v>3</v>
      </c>
      <c r="H18" t="n">
        <v>2</v>
      </c>
      <c r="I18" t="n">
        <v>3</v>
      </c>
      <c r="J18" t="n">
        <v>5</v>
      </c>
      <c r="K18" t="n">
        <v>13</v>
      </c>
      <c r="L18" t="n">
        <v>0.779</v>
      </c>
      <c r="M18" t="n">
        <v>29</v>
      </c>
      <c r="N18" t="n">
        <v>77.03</v>
      </c>
      <c r="O18" t="inlineStr">
        <is>
          <t>AC1</t>
        </is>
      </c>
      <c r="P18" t="inlineStr">
        <is>
          <t>AC1</t>
        </is>
      </c>
      <c r="Q18" t="n">
        <v>1</v>
      </c>
      <c r="R18" t="n">
        <v>1</v>
      </c>
      <c r="S18" t="n">
        <v>1</v>
      </c>
      <c r="T18" t="inlineStr"/>
      <c r="U18" t="inlineStr"/>
      <c r="V18" t="inlineStr"/>
      <c r="W18" t="inlineStr">
        <is>
          <t>Socratic quality 3/5 (Clarification): Generic question: asks for clarification without attacking the root error. Conceptual precision 2/5 (Poor): Poor: responds generically without diagnosing the conceptual error. Good overall performance; room for improvement in socratic depth.</t>
        </is>
      </c>
    </row>
    <row r="19">
      <c r="A19" t="n">
        <v>30</v>
      </c>
      <c r="B19" t="n">
        <v>10</v>
      </c>
      <c r="C19" t="n">
        <v>3</v>
      </c>
      <c r="D19" t="n">
        <v>1</v>
      </c>
      <c r="E19" t="inlineStr">
        <is>
          <t>R1, R2 y R4 dado que R5 se puede quitar</t>
        </is>
      </c>
      <c r="F19" t="inlineStr">
        <is>
          <t>¿Cómo会影响断开R5对通过R1、R2和R4的电流有什么不同？</t>
        </is>
      </c>
      <c r="G19" t="n">
        <v>1</v>
      </c>
      <c r="H19" t="n">
        <v>2</v>
      </c>
      <c r="I19" t="n">
        <v>2</v>
      </c>
      <c r="J19" t="n">
        <v>5</v>
      </c>
      <c r="K19" t="n">
        <v>10</v>
      </c>
      <c r="L19" t="n">
        <v>0.779</v>
      </c>
      <c r="M19" t="n">
        <v>23</v>
      </c>
      <c r="N19" t="n">
        <v>77.04000000000001</v>
      </c>
      <c r="O19" t="inlineStr">
        <is>
          <t>AC6</t>
        </is>
      </c>
      <c r="P19" t="inlineStr"/>
      <c r="Q19" t="n">
        <v>1</v>
      </c>
      <c r="R19" t="n">
        <v>0</v>
      </c>
      <c r="S19" t="n">
        <v>0</v>
      </c>
      <c r="T19" t="inlineStr"/>
      <c r="U19" t="inlineStr"/>
      <c r="V19" t="inlineStr"/>
      <c r="W19" t="inlineStr">
        <is>
          <t>Socratic quality 1/5 (Instructive): Does not end with a question; the tutor is instructive. Conceptual precision 2/5 (Poor): Generic response: no technical vocabulary or error diagnosis. Acceptable performance; needs to improve precision or socratic methodology.</t>
        </is>
      </c>
    </row>
    <row r="20">
      <c r="A20" t="n">
        <v>31</v>
      </c>
      <c r="B20" t="n">
        <v>11</v>
      </c>
      <c r="C20" t="n">
        <v>1</v>
      </c>
      <c r="D20" t="n">
        <v>1</v>
      </c>
      <c r="E20" t="inlineStr">
        <is>
          <t>R1, R2 y R4 dado que R3 no influye para nada en la diferencia de potencial que se pide</t>
        </is>
      </c>
      <c r="F20" t="inlineStr">
        <is>
          <t>¿Cómo afecta un interruptor abierto a la circuiente donde están conectados sus terminales?</t>
        </is>
      </c>
      <c r="G20" t="n">
        <v>4</v>
      </c>
      <c r="H20" t="n">
        <v>2</v>
      </c>
      <c r="I20" t="n">
        <v>3</v>
      </c>
      <c r="J20" t="n">
        <v>5</v>
      </c>
      <c r="K20" t="n">
        <v>14</v>
      </c>
      <c r="L20" t="n">
        <v>0.868</v>
      </c>
      <c r="M20" t="n">
        <v>23</v>
      </c>
      <c r="N20" t="n">
        <v>69.13</v>
      </c>
      <c r="O20" t="inlineStr">
        <is>
          <t>AC1</t>
        </is>
      </c>
      <c r="P20" t="inlineStr">
        <is>
          <t>AC1, AC6</t>
        </is>
      </c>
      <c r="Q20" t="n">
        <v>0.5</v>
      </c>
      <c r="R20" t="n">
        <v>1</v>
      </c>
      <c r="S20" t="n">
        <v>0.667</v>
      </c>
      <c r="T20" t="inlineStr"/>
      <c r="U20" t="inlineStr"/>
      <c r="V20" t="inlineStr"/>
      <c r="W20" t="inlineStr">
        <is>
          <t>Socratic quality 4/5 (Scaffolding for detection): Scaffolding for detection: identifies the error area and asks a question that confronts the theory. Conceptual precision 2/5 (Poor): Poor: responds generically without diagnosing the conceptual error. Good overall performance; room for improvement in socratic depth.</t>
        </is>
      </c>
    </row>
    <row r="21">
      <c r="A21" t="n">
        <v>32</v>
      </c>
      <c r="B21" t="n">
        <v>11</v>
      </c>
      <c r="C21" t="n">
        <v>2</v>
      </c>
      <c r="D21" t="n">
        <v>1</v>
      </c>
      <c r="E21" t="inlineStr">
        <is>
          <t>R1, R2 y R4 dado que R5 no influye para nada en la diferencia de potencial que se pide</t>
        </is>
      </c>
      <c r="F21" t="inlineStr">
        <is>
          <t>¿Cómo puede el estado del interruptor conectado a R5 influir en la diferencia de potencial entre los puntos especificados?</t>
        </is>
      </c>
      <c r="G21" t="n">
        <v>3</v>
      </c>
      <c r="H21" t="n">
        <v>3</v>
      </c>
      <c r="I21" t="n">
        <v>3</v>
      </c>
      <c r="J21" t="n">
        <v>5</v>
      </c>
      <c r="K21" t="n">
        <v>14</v>
      </c>
      <c r="L21" t="n">
        <v>0.723</v>
      </c>
      <c r="M21" t="n">
        <v>28</v>
      </c>
      <c r="N21" t="n">
        <v>82.98999999999999</v>
      </c>
      <c r="O21" t="inlineStr">
        <is>
          <t>AC6</t>
        </is>
      </c>
      <c r="P21" t="inlineStr">
        <is>
          <t>AC1</t>
        </is>
      </c>
      <c r="Q21" t="n">
        <v>0</v>
      </c>
      <c r="R21" t="n">
        <v>0</v>
      </c>
      <c r="S21" t="n">
        <v>0</v>
      </c>
      <c r="T21" t="inlineStr"/>
      <c r="U21" t="inlineStr"/>
      <c r="V21" t="inlineStr"/>
      <c r="W21" t="inlineStr">
        <is>
          <t>Socratic quality 3/5 (Clarification): Generic question: asks for clarification without attacking the root error. Conceptual precision 3/5 (Sufficient): Sufficient: identifies that there is an error and uses correct concepts, but the diagnosis is somewhat vague. Good overall performance; room for improvement in socratic depth.</t>
        </is>
      </c>
    </row>
    <row r="22">
      <c r="A22" t="n">
        <v>33</v>
      </c>
      <c r="B22" t="n">
        <v>11</v>
      </c>
      <c r="C22" t="n">
        <v>3</v>
      </c>
      <c r="D22" t="n">
        <v>1</v>
      </c>
      <c r="E22" t="inlineStr">
        <is>
          <t>No lo sé</t>
        </is>
      </c>
      <c r="F22" t="inlineStr">
        <is>
          <t>¿Cómo podría el interruptor conectado a R5 cambiar la corriente en el resto del circuito?</t>
        </is>
      </c>
      <c r="G22" t="n">
        <v>3</v>
      </c>
      <c r="H22" t="n">
        <v>3</v>
      </c>
      <c r="I22" t="n">
        <v>3</v>
      </c>
      <c r="J22" t="n">
        <v>5</v>
      </c>
      <c r="K22" t="n">
        <v>14</v>
      </c>
      <c r="L22" t="n">
        <v>0.679</v>
      </c>
      <c r="M22" t="n">
        <v>24</v>
      </c>
      <c r="N22" t="n">
        <v>88.34</v>
      </c>
      <c r="O22" t="inlineStr">
        <is>
          <t>AC9</t>
        </is>
      </c>
      <c r="P22" t="inlineStr">
        <is>
          <t>AC1</t>
        </is>
      </c>
      <c r="Q22" t="n">
        <v>0</v>
      </c>
      <c r="R22" t="n">
        <v>0</v>
      </c>
      <c r="S22" t="n">
        <v>0</v>
      </c>
      <c r="T22" t="inlineStr"/>
      <c r="U22" t="inlineStr"/>
      <c r="V22" t="inlineStr"/>
      <c r="W22" t="inlineStr">
        <is>
          <t>Socratic quality 3/5 (Clarification): Generic question: asks for clarification without attacking the root error. Conceptual precision 3/5 (Sufficient): Sufficient: identifies that there is an error and uses correct concepts, but the diagnosis is somewhat vague. Good overall performance; room for improvement in socratic depth.</t>
        </is>
      </c>
    </row>
    <row r="23">
      <c r="A23" t="n">
        <v>34</v>
      </c>
      <c r="B23" t="n">
        <v>12</v>
      </c>
      <c r="C23" t="n">
        <v>1</v>
      </c>
      <c r="D23" t="n">
        <v>1</v>
      </c>
      <c r="E23" t="inlineStr">
        <is>
          <t>Todas las resistencias</t>
        </is>
      </c>
      <c r="F23" t="inlineStr">
        <is>
          <t>¿Consideras el efecto de la rama del interruptor abierto entre N2 y N3 en la circulación de corriente?</t>
        </is>
      </c>
      <c r="G23" t="n">
        <v>3</v>
      </c>
      <c r="H23" t="n">
        <v>3</v>
      </c>
      <c r="I23" t="n">
        <v>3</v>
      </c>
      <c r="J23" t="n">
        <v>5</v>
      </c>
      <c r="K23" t="n">
        <v>14</v>
      </c>
      <c r="L23" t="n">
        <v>0.9409999999999999</v>
      </c>
      <c r="M23" t="n">
        <v>32</v>
      </c>
      <c r="N23" t="n">
        <v>63.74</v>
      </c>
      <c r="O23" t="inlineStr">
        <is>
          <t>AC9</t>
        </is>
      </c>
      <c r="P23" t="inlineStr">
        <is>
          <t>AC1</t>
        </is>
      </c>
      <c r="Q23" t="n">
        <v>0</v>
      </c>
      <c r="R23" t="n">
        <v>0</v>
      </c>
      <c r="S23" t="n">
        <v>0</v>
      </c>
      <c r="T23" t="inlineStr"/>
      <c r="U23" t="inlineStr"/>
      <c r="V23" t="inlineStr"/>
      <c r="W23" t="inlineStr">
        <is>
          <t>Socratic quality 3/5 (Clarification): Generic question: asks for clarification without attacking the root error. Conceptual precision 3/5 (Sufficient): Sufficient: identifies that there is an error and uses correct concepts, but the diagnosis is somewhat vague. Good overall performance; room for improvement in socratic depth.</t>
        </is>
      </c>
    </row>
    <row r="24">
      <c r="A24" t="n">
        <v>35</v>
      </c>
      <c r="B24" t="n">
        <v>12</v>
      </c>
      <c r="C24" t="n">
        <v>2</v>
      </c>
      <c r="D24" t="n">
        <v>1</v>
      </c>
      <c r="E24" t="inlineStr">
        <is>
          <t>R1 y R2</t>
        </is>
      </c>
      <c r="F24" t="inlineStr">
        <is>
          <t>¿Cómo afecta el estado del interruptor entre N2 y N3 a la circulación de corriente por R1 y R2?</t>
        </is>
      </c>
      <c r="G24" t="n">
        <v>4</v>
      </c>
      <c r="H24" t="n">
        <v>3</v>
      </c>
      <c r="I24" t="n">
        <v>3</v>
      </c>
      <c r="J24" t="n">
        <v>5</v>
      </c>
      <c r="K24" t="n">
        <v>15</v>
      </c>
      <c r="L24" t="n">
        <v>0.839</v>
      </c>
      <c r="M24" t="n">
        <v>32</v>
      </c>
      <c r="N24" t="n">
        <v>71.48</v>
      </c>
      <c r="O24" t="inlineStr">
        <is>
          <t>AC9</t>
        </is>
      </c>
      <c r="P24" t="inlineStr">
        <is>
          <t>AC1</t>
        </is>
      </c>
      <c r="Q24" t="n">
        <v>0</v>
      </c>
      <c r="R24" t="n">
        <v>0</v>
      </c>
      <c r="S24" t="n">
        <v>0</v>
      </c>
      <c r="T24" t="inlineStr"/>
      <c r="U24" t="inlineStr"/>
      <c r="V24" t="inlineStr"/>
      <c r="W24" t="inlineStr">
        <is>
          <t>Socratic quality 4/5 (Scaffolding for detection): Scaffolding for detection: identifies the error area and asks a question that confronts the theory. Conceptual precision 3/5 (Sufficient): Sufficient: identifies that there is an error and uses correct concepts, but the diagnosis is somewhat vague. Good overall performance; room for improvement in socratic depth.</t>
        </is>
      </c>
    </row>
    <row r="25">
      <c r="A25" t="n">
        <v>36</v>
      </c>
      <c r="B25" t="n">
        <v>12</v>
      </c>
      <c r="C25" t="n">
        <v>3</v>
      </c>
      <c r="D25" t="n">
        <v>1</v>
      </c>
      <c r="E25" t="inlineStr">
        <is>
          <t>R1, R2 y R4</t>
        </is>
      </c>
      <c r="F25" t="inlineStr">
        <is>
          <t>¿Cómo piensas que el interruptor entre N2 y N3 altera la circulación de corriente a través de R1, R2 y R4?</t>
        </is>
      </c>
      <c r="G25" t="n">
        <v>3</v>
      </c>
      <c r="H25" t="n">
        <v>5</v>
      </c>
      <c r="I25" t="n">
        <v>3</v>
      </c>
      <c r="J25" t="n">
        <v>5</v>
      </c>
      <c r="K25" t="n">
        <v>16</v>
      </c>
      <c r="L25" t="n">
        <v>0.895</v>
      </c>
      <c r="M25" t="n">
        <v>38</v>
      </c>
      <c r="N25" t="n">
        <v>67.06</v>
      </c>
      <c r="O25" t="inlineStr"/>
      <c r="P25" t="inlineStr">
        <is>
          <t>AC1</t>
        </is>
      </c>
      <c r="Q25" t="n">
        <v>0</v>
      </c>
      <c r="R25" t="n">
        <v>1</v>
      </c>
      <c r="S25" t="n">
        <v>0</v>
      </c>
      <c r="T25" t="inlineStr"/>
      <c r="U25" t="inlineStr"/>
      <c r="V25" t="inlineStr"/>
      <c r="W25" t="inlineStr">
        <is>
          <t>Socratic quality 3/5 (Clarification): Generic question: asks for clarification without attacking the root error. Conceptual precision 5/5 (Excellent): Excellent: identifies the specific alternative conception and connects it with the circuit topology. Good overall performance; room for improvement in socratic depth.</t>
        </is>
      </c>
    </row>
    <row r="26">
      <c r="A26" t="n">
        <v>37</v>
      </c>
      <c r="B26" t="n">
        <v>13</v>
      </c>
      <c r="C26" t="n">
        <v>1</v>
      </c>
      <c r="D26" t="n">
        <v>1</v>
      </c>
      <c r="E26" t="inlineStr">
        <is>
          <t>R1, R2, R4 y R5</t>
        </is>
      </c>
      <c r="F26" t="inlineStr">
        <is>
          <t>¿Cuál de las resistencias que mencionaste tiene sus dos terminales conectadas directamente al mismo nodo, lo que significa que no contribuye a la diferencia de potencial entre N2 y 0?</t>
        </is>
      </c>
      <c r="G26" t="n">
        <v>3</v>
      </c>
      <c r="H26" t="n">
        <v>3</v>
      </c>
      <c r="I26" t="n">
        <v>2</v>
      </c>
      <c r="J26" t="n">
        <v>5</v>
      </c>
      <c r="K26" t="n">
        <v>13</v>
      </c>
      <c r="L26" t="n">
        <v>1.161</v>
      </c>
      <c r="M26" t="n">
        <v>45</v>
      </c>
      <c r="N26" t="n">
        <v>51.68</v>
      </c>
      <c r="O26" t="inlineStr">
        <is>
          <t>AC6</t>
        </is>
      </c>
      <c r="P26" t="inlineStr">
        <is>
          <t>AC6, AC9</t>
        </is>
      </c>
      <c r="Q26" t="n">
        <v>0.5</v>
      </c>
      <c r="R26" t="n">
        <v>1</v>
      </c>
      <c r="S26" t="n">
        <v>0.667</v>
      </c>
      <c r="T26" t="inlineStr"/>
      <c r="U26" t="inlineStr"/>
      <c r="V26" t="inlineStr"/>
      <c r="W26" t="inlineStr">
        <is>
          <t>Socratic quality 3/5 (Clarification): Generic question: asks for clarification without attacking the root error. Conceptual precision 3/5 (Sufficient): Sufficient: identifies that there is an error and uses correct concepts, but the diagnosis is somewhat vague. Good overall performance; room for improvement in socratic depth.</t>
        </is>
      </c>
    </row>
    <row r="27">
      <c r="A27" t="n">
        <v>38</v>
      </c>
      <c r="B27" t="n">
        <v>13</v>
      </c>
      <c r="C27" t="n">
        <v>2</v>
      </c>
      <c r="D27" t="n">
        <v>1</v>
      </c>
      <c r="E27" t="inlineStr">
        <is>
          <t>R1, R2, R3 y R4</t>
        </is>
      </c>
      <c r="F27" t="inlineStr">
        <is>
          <t>¿Cuál de estas resistencias tiene ambos terminales conectados directamente a un solo nodo, lo que las hace irrelevantes para la diferencia de potencial entre N2 y 0?</t>
        </is>
      </c>
      <c r="G27" t="n">
        <v>3</v>
      </c>
      <c r="H27" t="n">
        <v>3</v>
      </c>
      <c r="I27" t="n">
        <v>2</v>
      </c>
      <c r="J27" t="n">
        <v>5</v>
      </c>
      <c r="K27" t="n">
        <v>13</v>
      </c>
      <c r="L27" t="n">
        <v>0.844</v>
      </c>
      <c r="M27" t="n">
        <v>40</v>
      </c>
      <c r="N27" t="n">
        <v>71.09999999999999</v>
      </c>
      <c r="O27" t="inlineStr">
        <is>
          <t>AC1</t>
        </is>
      </c>
      <c r="P27" t="inlineStr">
        <is>
          <t>AC6, AC9</t>
        </is>
      </c>
      <c r="Q27" t="n">
        <v>0</v>
      </c>
      <c r="R27" t="n">
        <v>0</v>
      </c>
      <c r="S27" t="n">
        <v>0</v>
      </c>
      <c r="T27" t="inlineStr"/>
      <c r="U27" t="inlineStr"/>
      <c r="V27" t="inlineStr"/>
      <c r="W27" t="inlineStr">
        <is>
          <t>Socratic quality 3/5 (Clarification): Generic question: asks for clarification without attacking the root error. Conceptual precision 3/5 (Sufficient): Sufficient: identifies that there is an error and uses correct concepts, but the diagnosis is somewhat vague. Good overall performance; room for improvement in socratic depth.</t>
        </is>
      </c>
    </row>
    <row r="28">
      <c r="A28" t="n">
        <v>39</v>
      </c>
      <c r="B28" t="n">
        <v>13</v>
      </c>
      <c r="C28" t="n">
        <v>3</v>
      </c>
      <c r="D28" t="n">
        <v>1</v>
      </c>
      <c r="E28" t="inlineStr">
        <is>
          <t>R1 y R2 y R4 hacen un divisor de corriente</t>
        </is>
      </c>
      <c r="F28" t="inlineStr">
        <is>
          <t>¿Cómo afectan las resistencias con ambos terminales conectados a un solo nodo a la diferencia de potencial entre N2 y 0 en tu circuito?</t>
        </is>
      </c>
      <c r="G28" t="n">
        <v>3</v>
      </c>
      <c r="H28" t="n">
        <v>4</v>
      </c>
      <c r="I28" t="n">
        <v>3</v>
      </c>
      <c r="J28" t="n">
        <v>5</v>
      </c>
      <c r="K28" t="n">
        <v>15</v>
      </c>
      <c r="L28" t="n">
        <v>0.899</v>
      </c>
      <c r="M28" t="n">
        <v>35</v>
      </c>
      <c r="N28" t="n">
        <v>66.78</v>
      </c>
      <c r="O28" t="inlineStr"/>
      <c r="P28" t="inlineStr">
        <is>
          <t>AC6, AC9</t>
        </is>
      </c>
      <c r="Q28" t="n">
        <v>0</v>
      </c>
      <c r="R28" t="n">
        <v>1</v>
      </c>
      <c r="S28" t="n">
        <v>0</v>
      </c>
      <c r="T28" t="inlineStr"/>
      <c r="U28" t="inlineStr"/>
      <c r="V28" t="inlineStr"/>
      <c r="W28" t="inlineStr">
        <is>
          <t>Socratic quality 3/5 (Clarification): Generic question: asks for clarification without attacking the root error. Conceptual precision 4/5 (Good): Good: clearly identifies the alternative conception with precise technical language. Good overall performance; room for improvement in socratic depth.</t>
        </is>
      </c>
    </row>
    <row r="29">
      <c r="A29" t="n">
        <v>40</v>
      </c>
      <c r="B29" t="n">
        <v>14</v>
      </c>
      <c r="C29" t="n">
        <v>1</v>
      </c>
      <c r="D29" t="n">
        <v>1</v>
      </c>
      <c r="E29" t="inlineStr">
        <is>
          <t>R1 y R2 y R4 hacen un divisor de tensión, r3 no cuenta por estar en corto</t>
        </is>
      </c>
      <c r="F29" t="inlineStr">
        <is>
          <t>¿Crees que la presencia del interruptor abierto entre N2 y N3 afecta el valor de la resistencia R3 en tu análisis?</t>
        </is>
      </c>
      <c r="G29" t="n">
        <v>3</v>
      </c>
      <c r="H29" t="n">
        <v>5</v>
      </c>
      <c r="I29" t="n">
        <v>3</v>
      </c>
      <c r="J29" t="n">
        <v>5</v>
      </c>
      <c r="K29" t="n">
        <v>16</v>
      </c>
      <c r="L29" t="n">
        <v>1.151</v>
      </c>
      <c r="M29" t="n">
        <v>33</v>
      </c>
      <c r="N29" t="n">
        <v>52.14</v>
      </c>
      <c r="O29" t="inlineStr">
        <is>
          <t>AC1</t>
        </is>
      </c>
      <c r="P29" t="inlineStr">
        <is>
          <t>AC1</t>
        </is>
      </c>
      <c r="Q29" t="n">
        <v>1</v>
      </c>
      <c r="R29" t="n">
        <v>1</v>
      </c>
      <c r="S29" t="n">
        <v>1</v>
      </c>
      <c r="T29" t="inlineStr"/>
      <c r="U29" t="inlineStr"/>
      <c r="V29" t="inlineStr"/>
      <c r="W29" t="inlineStr">
        <is>
          <t>Socratic quality 3/5 (Clarification): Generic question: asks for clarification without attacking the root error. Conceptual precision 5/5 (Excellent): Excellent: identifies the specific alternative conception and connects it with the circuit topology. Good overall performance; room for improvement in socratic depth.</t>
        </is>
      </c>
    </row>
    <row r="30">
      <c r="A30" t="n">
        <v>41</v>
      </c>
      <c r="B30" t="n">
        <v>14</v>
      </c>
      <c r="C30" t="n">
        <v>2</v>
      </c>
      <c r="D30" t="n">
        <v>1</v>
      </c>
      <c r="E30" t="inlineStr">
        <is>
          <t>No tengo en cuenta R3 porque el interruptor está cerrado</t>
        </is>
      </c>
      <c r="F30" t="inlineStr">
        <is>
          <t>¿Consideras cómo un interruptor cerrado afecta la continuidad del circuito y, por lo tanto, la relevancia de una resistencia en él?</t>
        </is>
      </c>
      <c r="G30" t="n">
        <v>3</v>
      </c>
      <c r="H30" t="n">
        <v>3</v>
      </c>
      <c r="I30" t="n">
        <v>3</v>
      </c>
      <c r="J30" t="n">
        <v>5</v>
      </c>
      <c r="K30" t="n">
        <v>14</v>
      </c>
      <c r="L30" t="n">
        <v>0.836</v>
      </c>
      <c r="M30" t="n">
        <v>35</v>
      </c>
      <c r="N30" t="n">
        <v>71.81</v>
      </c>
      <c r="O30" t="inlineStr">
        <is>
          <t>AC1, AC9</t>
        </is>
      </c>
      <c r="P30" t="inlineStr">
        <is>
          <t>AC1</t>
        </is>
      </c>
      <c r="Q30" t="n">
        <v>1</v>
      </c>
      <c r="R30" t="n">
        <v>0.5</v>
      </c>
      <c r="S30" t="n">
        <v>0.667</v>
      </c>
      <c r="T30" t="inlineStr"/>
      <c r="U30" t="inlineStr"/>
      <c r="V30" t="inlineStr"/>
      <c r="W30" t="inlineStr">
        <is>
          <t>Socratic quality 3/5 (Clarification): Generic question: asks for clarification without attacking the root error. Conceptual precision 3/5 (Sufficient): Sufficient: identifies that there is an error and uses correct concepts, but the diagnosis is somewhat vague. Good overall performance; room for improvement in socratic depth.</t>
        </is>
      </c>
    </row>
    <row r="31">
      <c r="A31" t="n">
        <v>42</v>
      </c>
      <c r="B31" t="n">
        <v>14</v>
      </c>
      <c r="C31" t="n">
        <v>3</v>
      </c>
      <c r="D31" t="n">
        <v>1</v>
      </c>
      <c r="E31" t="inlineStr">
        <is>
          <t>No tengo en cuenta R5 porque está en circuito abierto</t>
        </is>
      </c>
      <c r="F31" t="inlineStr">
        <is>
          <t>¿Crees que el estado del interruptor afecta la continuidad y, por lo tanto, la importancia de R5 en tu análisis?</t>
        </is>
      </c>
      <c r="G31" t="n">
        <v>3</v>
      </c>
      <c r="H31" t="n">
        <v>2</v>
      </c>
      <c r="I31" t="n">
        <v>5</v>
      </c>
      <c r="J31" t="n">
        <v>5</v>
      </c>
      <c r="K31" t="n">
        <v>15</v>
      </c>
      <c r="L31" t="n">
        <v>0.777</v>
      </c>
      <c r="M31" t="n">
        <v>32</v>
      </c>
      <c r="N31" t="n">
        <v>77.23999999999999</v>
      </c>
      <c r="O31" t="inlineStr">
        <is>
          <t>AC6, AC9</t>
        </is>
      </c>
      <c r="P31" t="inlineStr">
        <is>
          <t>AC1</t>
        </is>
      </c>
      <c r="Q31" t="n">
        <v>0</v>
      </c>
      <c r="R31" t="n">
        <v>0</v>
      </c>
      <c r="S31" t="n">
        <v>0</v>
      </c>
      <c r="T31" t="inlineStr"/>
      <c r="U31" t="inlineStr"/>
      <c r="V31" t="inlineStr"/>
      <c r="W31" t="inlineStr">
        <is>
          <t>Socratic quality 3/5 (Clarification): Generic question: asks for clarification without attacking the root error. Conceptual precision 2/5 (Poor): Poor: responds generically without diagnosing the conceptual error. Good overall performance; room for improvement in socratic depth.</t>
        </is>
      </c>
    </row>
    <row r="32">
      <c r="A32" t="n">
        <v>43</v>
      </c>
      <c r="B32" t="n">
        <v>15</v>
      </c>
      <c r="C32" t="n">
        <v>1</v>
      </c>
      <c r="D32" t="n">
        <v>3</v>
      </c>
      <c r="E32" t="inlineStr">
        <is>
          <t>R4 y R5 dado que las dos resistencia forman un divisor de tensión</t>
        </is>
      </c>
      <c r="F32" t="inlineStr">
        <is>
          <t>¿Cómo se relaciona la conexión de R4 y R5 con el nodo N2 comparada con cómo estás viendo el rol de R3 en este circuito?</t>
        </is>
      </c>
      <c r="G32" t="n">
        <v>3</v>
      </c>
      <c r="H32" t="n">
        <v>2</v>
      </c>
      <c r="I32" t="n">
        <v>5</v>
      </c>
      <c r="J32" t="n">
        <v>5</v>
      </c>
      <c r="K32" t="n">
        <v>15</v>
      </c>
      <c r="L32" t="n">
        <v>1.033</v>
      </c>
      <c r="M32" t="n">
        <v>37</v>
      </c>
      <c r="N32" t="n">
        <v>58.11</v>
      </c>
      <c r="O32" t="inlineStr">
        <is>
          <t>AC9</t>
        </is>
      </c>
      <c r="P32" t="inlineStr"/>
      <c r="Q32" t="n">
        <v>1</v>
      </c>
      <c r="R32" t="n">
        <v>0</v>
      </c>
      <c r="S32" t="n">
        <v>0</v>
      </c>
      <c r="T32" t="inlineStr"/>
      <c r="U32" t="inlineStr"/>
      <c r="V32" t="inlineStr"/>
      <c r="W32" t="inlineStr">
        <is>
          <t>Socratic quality 3/5 (Clarification): Generic question: asks for clarification without attacking the root error. Conceptual precision 2/5 (Poor): Poor: responds generically without diagnosing the conceptual error. Good overall performance; room for improvement in socratic depth.</t>
        </is>
      </c>
    </row>
    <row r="33">
      <c r="A33" t="n">
        <v>44</v>
      </c>
      <c r="B33" t="n">
        <v>15</v>
      </c>
      <c r="C33" t="n">
        <v>2</v>
      </c>
      <c r="D33" t="n">
        <v>3</v>
      </c>
      <c r="E33" t="inlineStr">
        <is>
          <t>R4 y R5 dado que se pide la tensión en R4</t>
        </is>
      </c>
      <c r="F33" t="inlineStr">
        <is>
          <t>¿Cómo afecta la conexión de R4 y R5 a la tensión medida en R4 comparada con el papel que juega R3 en esta configuración?</t>
        </is>
      </c>
      <c r="G33" t="n">
        <v>4</v>
      </c>
      <c r="H33" t="n">
        <v>2</v>
      </c>
      <c r="I33" t="n">
        <v>5</v>
      </c>
      <c r="J33" t="n">
        <v>5</v>
      </c>
      <c r="K33" t="n">
        <v>16</v>
      </c>
      <c r="L33" t="n">
        <v>1.008</v>
      </c>
      <c r="M33" t="n">
        <v>36</v>
      </c>
      <c r="N33" t="n">
        <v>59.55</v>
      </c>
      <c r="O33" t="inlineStr">
        <is>
          <t>AC9</t>
        </is>
      </c>
      <c r="P33" t="inlineStr"/>
      <c r="Q33" t="n">
        <v>1</v>
      </c>
      <c r="R33" t="n">
        <v>0</v>
      </c>
      <c r="S33" t="n">
        <v>0</v>
      </c>
      <c r="T33" t="inlineStr"/>
      <c r="U33" t="inlineStr"/>
      <c r="V33" t="inlineStr"/>
      <c r="W33" t="inlineStr">
        <is>
          <t>Socratic quality 4/5 (Scaffolding for detection): Scaffolding for detection: identifies the error area and asks a question that confronts the theory. Conceptual precision 2/5 (Poor): Poor: responds generically without diagnosing the conceptual error. Good overall performance; room for improvement in socratic depth.</t>
        </is>
      </c>
    </row>
    <row r="34">
      <c r="A34" t="n">
        <v>45</v>
      </c>
      <c r="B34" t="n">
        <v>15</v>
      </c>
      <c r="C34" t="n">
        <v>3</v>
      </c>
      <c r="D34" t="n">
        <v>3</v>
      </c>
      <c r="E34" t="inlineStr">
        <is>
          <t>R4 y R5 por identificar un divisor de tensión</t>
        </is>
      </c>
      <c r="F34" t="inlineStr">
        <is>
          <t>¿Cómo cambia la presencia de R4 y R5 en relación a R3 afectarías la tensión medida en R4?</t>
        </is>
      </c>
      <c r="G34" t="n">
        <v>4</v>
      </c>
      <c r="H34" t="n">
        <v>2</v>
      </c>
      <c r="I34" t="n">
        <v>5</v>
      </c>
      <c r="J34" t="n">
        <v>5</v>
      </c>
      <c r="K34" t="n">
        <v>16</v>
      </c>
      <c r="L34" t="n">
        <v>1.086</v>
      </c>
      <c r="M34" t="n">
        <v>30</v>
      </c>
      <c r="N34" t="n">
        <v>55.25</v>
      </c>
      <c r="O34" t="inlineStr">
        <is>
          <t>AC9</t>
        </is>
      </c>
      <c r="P34" t="inlineStr"/>
      <c r="Q34" t="n">
        <v>1</v>
      </c>
      <c r="R34" t="n">
        <v>0</v>
      </c>
      <c r="S34" t="n">
        <v>0</v>
      </c>
      <c r="T34" t="inlineStr"/>
      <c r="U34" t="inlineStr"/>
      <c r="V34" t="inlineStr"/>
      <c r="W34" t="inlineStr">
        <is>
          <t>Socratic quality 4/5 (Scaffolding for detection): Scaffolding for detection: identifies the error area and asks a question that confronts the theory. Conceptual precision 2/5 (Poor): Poor: responds generically without diagnosing the conceptual error. Good overall performance; room for improvement in socratic depth.</t>
        </is>
      </c>
    </row>
    <row r="35">
      <c r="A35" t="n">
        <v>46</v>
      </c>
      <c r="B35" t="n">
        <v>16</v>
      </c>
      <c r="C35" t="n">
        <v>1</v>
      </c>
      <c r="D35" t="n">
        <v>3</v>
      </c>
      <c r="E35" t="inlineStr">
        <is>
          <t>R4 y R5 hacen un divisor de tensión</t>
        </is>
      </c>
      <c r="F35" t="inlineStr">
        <is>
          <t>¿Cómo se relaciona la conexión de R4 y R5 con el nodo N2 comparado con cómo están conectados a la fuente V1?</t>
        </is>
      </c>
      <c r="G35" t="n">
        <v>3</v>
      </c>
      <c r="H35" t="n">
        <v>2</v>
      </c>
      <c r="I35" t="n">
        <v>5</v>
      </c>
      <c r="J35" t="n">
        <v>5</v>
      </c>
      <c r="K35" t="n">
        <v>15</v>
      </c>
      <c r="L35" t="n">
        <v>0.913</v>
      </c>
      <c r="M35" t="n">
        <v>33</v>
      </c>
      <c r="N35" t="n">
        <v>65.75</v>
      </c>
      <c r="O35" t="inlineStr">
        <is>
          <t>AC9</t>
        </is>
      </c>
      <c r="P35" t="inlineStr">
        <is>
          <t>AC13</t>
        </is>
      </c>
      <c r="Q35" t="n">
        <v>0</v>
      </c>
      <c r="R35" t="n">
        <v>0</v>
      </c>
      <c r="S35" t="n">
        <v>0</v>
      </c>
      <c r="T35" t="inlineStr"/>
      <c r="U35" t="inlineStr"/>
      <c r="V35" t="inlineStr"/>
      <c r="W35" t="inlineStr">
        <is>
          <t>Socratic quality 3/5 (Clarification): Generic question: asks for clarification without attacking the root error. Conceptual precision 2/5 (Poor): Poor: responds generically without diagnosing the conceptual error. Good overall performance; room for improvement in socratic depth.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Generation date</t>
        </is>
      </c>
      <c r="B2" t="inlineStr">
        <is>
          <t>2026-05-21T12:14:42.659194</t>
        </is>
      </c>
    </row>
    <row r="3">
      <c r="A3" t="inlineStr">
        <is>
          <t>Method</t>
        </is>
      </c>
      <c r="B3" t="inlineStr">
        <is>
          <t>RAG</t>
        </is>
      </c>
    </row>
    <row r="4">
      <c r="A4" t="inlineStr">
        <is>
          <t>Models evaluated</t>
        </is>
      </c>
      <c r="B4" t="inlineStr">
        <is>
          <t>qwen2.5:latest</t>
        </is>
      </c>
    </row>
    <row r="5">
      <c r="A5" t="inlineStr">
        <is>
          <t>Exercises covered</t>
        </is>
      </c>
      <c r="B5" t="inlineStr">
        <is>
          <t>1, 3</t>
        </is>
      </c>
    </row>
    <row r="6">
      <c r="A6" t="inlineStr">
        <is>
          <t>Total evaluations</t>
        </is>
      </c>
      <c r="B6" t="n">
        <v>34</v>
      </c>
    </row>
    <row r="7">
      <c r="A7" t="inlineStr">
        <is>
          <t>UPV Ollama URL</t>
        </is>
      </c>
      <c r="B7" t="inlineStr">
        <is>
          <t>https://ollama.gti-ia.upv.es:443</t>
        </is>
      </c>
    </row>
    <row r="8">
      <c r="A8" t="inlineStr">
        <is>
          <t>PoliGPT URL</t>
        </is>
      </c>
      <c r="B8" t="inlineStr">
        <is>
          <t>https://api.poligpt.upv.es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Model</t>
        </is>
      </c>
      <c r="C1" t="inlineStr">
        <is>
          <t>samples</t>
        </is>
      </c>
      <c r="D1" t="inlineStr">
        <is>
          <t>avg_latency</t>
        </is>
      </c>
      <c r="E1" t="inlineStr">
        <is>
          <t>p95_latency</t>
        </is>
      </c>
      <c r="F1" t="inlineStr">
        <is>
          <t>throughput</t>
        </is>
      </c>
      <c r="G1" t="inlineStr">
        <is>
          <t>avg_tokens</t>
        </is>
      </c>
      <c r="H1" t="inlineStr">
        <is>
          <t>socratic_format</t>
        </is>
      </c>
      <c r="I1" t="inlineStr">
        <is>
          <t>conceptual_correctness</t>
        </is>
      </c>
      <c r="J1" t="inlineStr">
        <is>
          <t>adaptability</t>
        </is>
      </c>
      <c r="K1" t="inlineStr">
        <is>
          <t>reflection_generation</t>
        </is>
      </c>
      <c r="L1" t="inlineStr">
        <is>
          <t>score_total</t>
        </is>
      </c>
      <c r="M1" t="inlineStr">
        <is>
          <t>pct_socratic</t>
        </is>
      </c>
      <c r="N1" t="inlineStr">
        <is>
          <t>pct_score_15</t>
        </is>
      </c>
      <c r="O1" t="inlineStr">
        <is>
          <t>faithfulness</t>
        </is>
      </c>
      <c r="P1" t="inlineStr">
        <is>
          <t>relevance</t>
        </is>
      </c>
      <c r="Q1" t="inlineStr">
        <is>
          <t>pct_cot</t>
        </is>
      </c>
    </row>
    <row r="2">
      <c r="A2" t="n">
        <v>1</v>
      </c>
      <c r="B2" t="inlineStr">
        <is>
          <t>qwen2.5:latest</t>
        </is>
      </c>
      <c r="C2">
        <f>COUNTA('Results_qwen2.5_latest'!A2:A10000)</f>
        <v/>
      </c>
      <c r="D2">
        <f>IFERROR(AVERAGE('Results_qwen2.5_latest'!L2:L10000),"")</f>
        <v/>
      </c>
      <c r="E2">
        <f>IFERROR(PERCENTILE('Results_qwen2.5_latest'!L2:L10000,0.95),"")</f>
        <v/>
      </c>
      <c r="F2">
        <f>IFERROR(IF(AVERAGE('Results_qwen2.5_latest'!L2:L10000)&gt;0,60/AVERAGE('Results_qwen2.5_latest'!L2:L10000),0),"")</f>
        <v/>
      </c>
      <c r="G2">
        <f>IFERROR(AVERAGE('Results_qwen2.5_latest'!M2:M10000),"")</f>
        <v/>
      </c>
      <c r="H2">
        <f>IFERROR(AVERAGE('Results_qwen2.5_latest'!G2:G10000),"")</f>
        <v/>
      </c>
      <c r="I2">
        <f>IFERROR(AVERAGE('Results_qwen2.5_latest'!H2:H10000),"")</f>
        <v/>
      </c>
      <c r="J2">
        <f>IFERROR(AVERAGE('Results_qwen2.5_latest'!I2:I10000),"")</f>
        <v/>
      </c>
      <c r="K2">
        <f>IFERROR(AVERAGE('Results_qwen2.5_latest'!J2:J10000),"")</f>
        <v/>
      </c>
      <c r="L2">
        <f>IFERROR(AVERAGE('Results_qwen2.5_latest'!K2:K10000),"")</f>
        <v/>
      </c>
      <c r="M2">
        <f>IFERROR(COUNTIF('Results_qwen2.5_latest'!G2:G10000,"&gt;=4")/COUNTA('Results_qwen2.5_latest'!G2:G10000)*100,"")</f>
        <v/>
      </c>
      <c r="N2">
        <f>IFERROR(COUNTIF('Results_qwen2.5_latest'!K2:K10000,"&gt;=15")/COUNTA('Results_qwen2.5_latest'!K2:K10000)*100,"")</f>
        <v/>
      </c>
      <c r="O2">
        <f>IFERROR(AVERAGE('Results_qwen2.5_latest'!T2:T10000),"")</f>
        <v/>
      </c>
      <c r="P2">
        <f>IFERROR(AVERAGE('Results_qwen2.5_latest'!U2:U10000),"")</f>
        <v/>
      </c>
      <c r="Q2">
        <f>IFERROR(COUNTIF('Results_qwen2.5_latest'!V2:V10000,"&lt;&gt;")/COUNTA('Results_qwen2.5_latest'!A2:A10000)*100,"")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Arch.</t>
        </is>
      </c>
      <c r="C1" t="inlineStr">
        <is>
          <t>samples</t>
        </is>
      </c>
      <c r="D1" t="inlineStr">
        <is>
          <t>avg_latency (s)</t>
        </is>
      </c>
      <c r="E1" t="inlineStr">
        <is>
          <t>avg_tokens</t>
        </is>
      </c>
      <c r="F1" t="inlineStr">
        <is>
          <t>socraticity (0-5)</t>
        </is>
      </c>
      <c r="G1" t="inlineStr">
        <is>
          <t>conceptual correctness (0-5)</t>
        </is>
      </c>
      <c r="H1" t="inlineStr">
        <is>
          <t>consistency (0-5)</t>
        </is>
      </c>
      <c r="I1" t="inlineStr">
        <is>
          <t>hallucination rate (0-5)</t>
        </is>
      </c>
      <c r="J1" t="inlineStr">
        <is>
          <t>temperature</t>
        </is>
      </c>
    </row>
    <row r="2">
      <c r="A2" t="inlineStr">
        <is>
          <t>qwen2.5:latest</t>
        </is>
      </c>
      <c r="B2" t="inlineStr">
        <is>
          <t>RAG-UPV</t>
        </is>
      </c>
      <c r="C2">
        <f>COUNTA('Results_qwen2.5_latest'!A2:A10000)</f>
        <v/>
      </c>
      <c r="D2">
        <f>IFERROR(AVERAGE('Results_qwen2.5_latest'!L2:L10000),"")</f>
        <v/>
      </c>
      <c r="E2">
        <f>IFERROR(AVERAGE('Results_qwen2.5_latest'!M2:M10000),"")</f>
        <v/>
      </c>
      <c r="F2">
        <f>IFERROR(AVERAGE('Results_qwen2.5_latest'!G2:G10000),"")</f>
        <v/>
      </c>
      <c r="G2">
        <f>IFERROR(AVERAGE('Results_qwen2.5_latest'!H2:H10000),"")</f>
        <v/>
      </c>
      <c r="H2">
        <f>IFERROR(AVERAGE('Results_qwen2.5_latest'!I2:I10000),"")</f>
        <v/>
      </c>
      <c r="I2">
        <f>IFERROR(AVERAGE('Results_qwen2.5_latest'!J2:J10000),"")</f>
        <v/>
      </c>
      <c r="J2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avg_latency</t>
        </is>
      </c>
      <c r="C1" t="inlineStr">
        <is>
          <t>p95_latency</t>
        </is>
      </c>
      <c r="D1" t="inlineStr">
        <is>
          <t>throughput</t>
        </is>
      </c>
      <c r="E1" t="inlineStr">
        <is>
          <t>avg_tokens</t>
        </is>
      </c>
    </row>
    <row r="2">
      <c r="A2" t="inlineStr">
        <is>
          <t>qwen2.5:latest</t>
        </is>
      </c>
      <c r="B2">
        <f>IFERROR(AVERAGE('Results_qwen2.5_latest'!L2:L10000),"")</f>
        <v/>
      </c>
      <c r="C2">
        <f>IFERROR(PERCENTILE('Results_qwen2.5_latest'!L2:L10000,0.95),"")</f>
        <v/>
      </c>
      <c r="D2">
        <f>IFERROR(IF(AVERAGE('Results_qwen2.5_latest'!L2:L10000)&gt;0,60/AVERAGE('Results_qwen2.5_latest'!L2:L10000),0),"")</f>
        <v/>
      </c>
      <c r="E2">
        <f>IFERROR(AVERAGE('Results_qwen2.5_latest'!M2:M10000),"")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faithfulness</t>
        </is>
      </c>
      <c r="C1" t="inlineStr">
        <is>
          <t>relevance</t>
        </is>
      </c>
      <c r="D1" t="inlineStr">
        <is>
          <t>pct_cot</t>
        </is>
      </c>
    </row>
    <row r="2">
      <c r="A2" t="inlineStr">
        <is>
          <t>qwen2.5:latest</t>
        </is>
      </c>
      <c r="B2">
        <f>IFERROR(AVERAGE('Results_qwen2.5_latest'!T2:T10000),"")</f>
        <v/>
      </c>
      <c r="C2">
        <f>IFERROR(AVERAGE('Results_qwen2.5_latest'!U2:U10000),"")</f>
        <v/>
      </c>
      <c r="D2">
        <f>IFERROR(COUNTIF('Results_qwen2.5_latest'!V2:V10000,"&lt;&gt;")/COUNTA('Results_qwen2.5_latest'!A2:A10000)*100,"")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2026-05-21T10:14:42Z</dcterms:created>
  <dcterms:modified xmlns:dcterms="http://purl.org/dc/terms/" xmlns:xsi="http://www.w3.org/2001/XMLSchema-instance" xsi:type="dcterms:W3CDTF">2026-05-21T10:14:42Z</dcterms:modified>
</cp:coreProperties>
</file>