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lts_gemma3_27b" sheetId="1" state="visible" r:id="rId1"/>
    <sheet xmlns:r="http://schemas.openxmlformats.org/officeDocument/2006/relationships" name="Results_gemma3_4b" sheetId="2" state="visible" r:id="rId2"/>
    <sheet xmlns:r="http://schemas.openxmlformats.org/officeDocument/2006/relationships" name="Results_qwen2.5_latest" sheetId="3" state="visible" r:id="rId3"/>
    <sheet xmlns:r="http://schemas.openxmlformats.org/officeDocument/2006/relationships" name="Metadata" sheetId="4" state="visible" r:id="rId4"/>
    <sheet xmlns:r="http://schemas.openxmlformats.org/officeDocument/2006/relationships" name="Ranking" sheetId="5" state="visible" r:id="rId5"/>
    <sheet xmlns:r="http://schemas.openxmlformats.org/officeDocument/2006/relationships" name="Results_Article" sheetId="6" state="visible" r:id="rId6"/>
    <sheet xmlns:r="http://schemas.openxmlformats.org/officeDocument/2006/relationships" name="Efficiency" sheetId="7" state="visible" r:id="rId7"/>
    <sheet xmlns:r="http://schemas.openxmlformats.org/officeDocument/2006/relationships" name="CoT Analysis" sheetId="8" state="visible" r:id="rId8"/>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43"/>
  <sheetViews>
    <sheetView workbookViewId="0">
      <selection activeCell="A1" sqref="A1"/>
    </sheetView>
  </sheetViews>
  <sheetFormatPr baseColWidth="8" defaultRowHeight="15"/>
  <sheetData>
    <row r="1">
      <c r="A1" t="inlineStr">
        <is>
          <t>ID</t>
        </is>
      </c>
      <c r="B1" t="inlineStr">
        <is>
          <t>Conversation</t>
        </is>
      </c>
      <c r="C1" t="inlineStr">
        <is>
          <t>Turn</t>
        </is>
      </c>
      <c r="D1" t="inlineStr">
        <is>
          <t>Exercise</t>
        </is>
      </c>
      <c r="E1" t="inlineStr">
        <is>
          <t>Student Answer</t>
        </is>
      </c>
      <c r="F1" t="inlineStr">
        <is>
          <t>Tutor Socratic Response</t>
        </is>
      </c>
      <c r="G1" t="inlineStr">
        <is>
          <t>Socratic Quality</t>
        </is>
      </c>
      <c r="H1" t="inlineStr">
        <is>
          <t>Conceptual Precision</t>
        </is>
      </c>
      <c r="I1" t="inlineStr">
        <is>
          <t>Consistency</t>
        </is>
      </c>
      <c r="J1" t="inlineStr">
        <is>
          <t>Hallucination Rate</t>
        </is>
      </c>
      <c r="K1" t="inlineStr">
        <is>
          <t>Total Score</t>
        </is>
      </c>
      <c r="L1" t="inlineStr">
        <is>
          <t>Latency (s)</t>
        </is>
      </c>
      <c r="M1" t="inlineStr">
        <is>
          <t>Tokens</t>
        </is>
      </c>
      <c r="N1" t="inlineStr">
        <is>
          <t>Throughput (resp/min)</t>
        </is>
      </c>
      <c r="O1" t="inlineStr">
        <is>
          <t>Expected ACs</t>
        </is>
      </c>
      <c r="P1" t="inlineStr">
        <is>
          <t>Detected ACs</t>
        </is>
      </c>
      <c r="Q1" t="inlineStr">
        <is>
          <t>AC Precision</t>
        </is>
      </c>
      <c r="R1" t="inlineStr">
        <is>
          <t>AC Recall</t>
        </is>
      </c>
      <c r="S1" t="inlineStr">
        <is>
          <t>AC F1</t>
        </is>
      </c>
      <c r="T1" t="inlineStr">
        <is>
          <t>Faithfulness</t>
        </is>
      </c>
      <c r="U1" t="inlineStr">
        <is>
          <t>Relevance</t>
        </is>
      </c>
      <c r="V1" t="inlineStr">
        <is>
          <t>Think Content</t>
        </is>
      </c>
      <c r="W1" t="inlineStr">
        <is>
          <t>Constructive Feedback</t>
        </is>
      </c>
    </row>
    <row r="2">
      <c r="A2" t="n">
        <v>85</v>
      </c>
      <c r="B2" t="n">
        <v>29</v>
      </c>
      <c r="C2" t="n">
        <v>1</v>
      </c>
      <c r="D2" t="n">
        <v>1</v>
      </c>
      <c r="E2" t="inlineStr">
        <is>
          <t>R1 y R2 dado que las dos resistencia forman un divisor de tensión</t>
        </is>
      </c>
      <c r="F2" t="inlineStr">
        <is>
          <t>Considerando que el interruptor entre N2 y N3 está abierto, ¿cómo afecta esto al flujo de corriente a través de todas las resistencias conectadas a esos nodos?</t>
        </is>
      </c>
      <c r="G2" t="n">
        <v>4</v>
      </c>
      <c r="H2" t="n">
        <v>4</v>
      </c>
      <c r="I2" t="n">
        <v>3</v>
      </c>
      <c r="J2" t="n">
        <v>5</v>
      </c>
      <c r="K2" t="n">
        <v>16</v>
      </c>
      <c r="L2" t="n">
        <v>1.772</v>
      </c>
      <c r="M2" t="n">
        <v>36</v>
      </c>
      <c r="N2" t="n">
        <v>33.86</v>
      </c>
      <c r="O2" t="inlineStr">
        <is>
          <t>AC9</t>
        </is>
      </c>
      <c r="P2" t="inlineStr">
        <is>
          <t>AC1, AC9</t>
        </is>
      </c>
      <c r="Q2" t="n">
        <v>0.5</v>
      </c>
      <c r="R2" t="n">
        <v>1</v>
      </c>
      <c r="S2" t="n">
        <v>0.667</v>
      </c>
      <c r="T2" t="inlineStr"/>
      <c r="U2" t="inlineStr"/>
      <c r="V2" t="inlineStr"/>
      <c r="W2" t="inlineStr">
        <is>
          <t>Socratic quality 4/5 (Scaffolding for detection): Scaffolding for detection: identifies the error area and asks a question that confronts the theory. Conceptual precision 4/5 (Good): Good: clearly identifies the alternative conception with precise technical language. Good overall performance; room for improvement in socratic depth.</t>
        </is>
      </c>
    </row>
    <row r="3">
      <c r="A3" t="n">
        <v>86</v>
      </c>
      <c r="B3" t="n">
        <v>29</v>
      </c>
      <c r="C3" t="n">
        <v>2</v>
      </c>
      <c r="D3" t="n">
        <v>1</v>
      </c>
      <c r="E3" t="inlineStr">
        <is>
          <t>R1 y R2 dado que se pide la tensión en R2</t>
        </is>
      </c>
      <c r="F3" t="inlineStr">
        <is>
          <t>Si conoces la tensión total aplicada al divisor de tensión y la resistencia de R1, ¿qué información adicional necesitarías para calcular la caída de tensión específicamente en R2?</t>
        </is>
      </c>
      <c r="G3" t="n">
        <v>3</v>
      </c>
      <c r="H3" t="n">
        <v>3</v>
      </c>
      <c r="I3" t="n">
        <v>5</v>
      </c>
      <c r="J3" t="n">
        <v>5</v>
      </c>
      <c r="K3" t="n">
        <v>16</v>
      </c>
      <c r="L3" t="n">
        <v>1.196</v>
      </c>
      <c r="M3" t="n">
        <v>36</v>
      </c>
      <c r="N3" t="n">
        <v>50.17</v>
      </c>
      <c r="O3" t="inlineStr">
        <is>
          <t>AC9</t>
        </is>
      </c>
      <c r="P3" t="inlineStr"/>
      <c r="Q3" t="n">
        <v>1</v>
      </c>
      <c r="R3" t="n">
        <v>0</v>
      </c>
      <c r="S3" t="n">
        <v>0</v>
      </c>
      <c r="T3" t="inlineStr"/>
      <c r="U3" t="inlineStr"/>
      <c r="V3" t="inlineStr"/>
      <c r="W3" t="inlineStr">
        <is>
          <t>Socratic quality 3/5 (Clarification): Generic question: asks for clarification without attacking the root error. Conceptual precision 3/5 (Sufficient): Sufficient: identifies that there is an error and uses correct concepts, but the diagnosis is somewhat vague. Good overall performance; room for improvement in socratic depth.</t>
        </is>
      </c>
    </row>
    <row r="4">
      <c r="A4" t="n">
        <v>87</v>
      </c>
      <c r="B4" t="n">
        <v>29</v>
      </c>
      <c r="C4" t="n">
        <v>3</v>
      </c>
      <c r="D4" t="n">
        <v>1</v>
      </c>
      <c r="E4" t="inlineStr">
        <is>
          <t>R1 y R2 por identificar un divisor de tensión</t>
        </is>
      </c>
      <c r="F4" t="inlineStr">
        <is>
          <t>Dado que tienes un divisor de tensión compuesto por R1 y R2, ¿cómo se relaciona la resistencia de cada componente con la proporción de la tensión total que cae sobre ella?</t>
        </is>
      </c>
      <c r="G4" t="n">
        <v>3</v>
      </c>
      <c r="H4" t="n">
        <v>3</v>
      </c>
      <c r="I4" t="n">
        <v>5</v>
      </c>
      <c r="J4" t="n">
        <v>5</v>
      </c>
      <c r="K4" t="n">
        <v>16</v>
      </c>
      <c r="L4" t="n">
        <v>1.224</v>
      </c>
      <c r="M4" t="n">
        <v>37</v>
      </c>
      <c r="N4" t="n">
        <v>49.02</v>
      </c>
      <c r="O4" t="inlineStr">
        <is>
          <t>AC9</t>
        </is>
      </c>
      <c r="P4" t="inlineStr"/>
      <c r="Q4" t="n">
        <v>1</v>
      </c>
      <c r="R4" t="n">
        <v>0</v>
      </c>
      <c r="S4" t="n">
        <v>0</v>
      </c>
      <c r="T4" t="inlineStr"/>
      <c r="U4" t="inlineStr"/>
      <c r="V4" t="inlineStr"/>
      <c r="W4" t="inlineStr">
        <is>
          <t>Socratic quality 3/5 (Clarification): Generic question: asks for clarification without attacking the root error. Conceptual precision 3/5 (Sufficient): Sufficient: identifies that there is an error and uses correct concepts, but the diagnosis is somewhat vague. Good overall performance; room for improvement in socratic depth.</t>
        </is>
      </c>
    </row>
    <row r="5">
      <c r="A5" t="n">
        <v>88</v>
      </c>
      <c r="B5" t="n">
        <v>30</v>
      </c>
      <c r="C5" t="n">
        <v>1</v>
      </c>
      <c r="D5" t="n">
        <v>1</v>
      </c>
      <c r="E5" t="inlineStr">
        <is>
          <t>R1 y R2 hacen un divisor de tensión</t>
        </is>
      </c>
      <c r="F5" t="inlineStr">
        <is>
          <t>Considerando que el interruptor entre N2 y N3 está abierto, ¿cómo afecta esta condición al flujo de corriente a través de todas las resistencias conectadas a esos nodos?</t>
        </is>
      </c>
      <c r="G5" t="n">
        <v>4</v>
      </c>
      <c r="H5" t="n">
        <v>4</v>
      </c>
      <c r="I5" t="n">
        <v>3</v>
      </c>
      <c r="J5" t="n">
        <v>5</v>
      </c>
      <c r="K5" t="n">
        <v>16</v>
      </c>
      <c r="L5" t="n">
        <v>1.341</v>
      </c>
      <c r="M5" t="n">
        <v>37</v>
      </c>
      <c r="N5" t="n">
        <v>44.73</v>
      </c>
      <c r="O5" t="inlineStr">
        <is>
          <t>AC9</t>
        </is>
      </c>
      <c r="P5" t="inlineStr">
        <is>
          <t>AC1, AC9</t>
        </is>
      </c>
      <c r="Q5" t="n">
        <v>0.5</v>
      </c>
      <c r="R5" t="n">
        <v>1</v>
      </c>
      <c r="S5" t="n">
        <v>0.667</v>
      </c>
      <c r="T5" t="inlineStr"/>
      <c r="U5" t="inlineStr"/>
      <c r="V5" t="inlineStr"/>
      <c r="W5" t="inlineStr">
        <is>
          <t>Socratic quality 4/5 (Scaffolding for detection): Scaffolding for detection: identifies the error area and asks a question that confronts the theory. Conceptual precision 4/5 (Good): Good: clearly identifies the alternative conception with precise technical language. Good overall performance; room for improvement in socratic depth.</t>
        </is>
      </c>
    </row>
    <row r="6">
      <c r="A6" t="n">
        <v>89</v>
      </c>
      <c r="B6" t="n">
        <v>30</v>
      </c>
      <c r="C6" t="n">
        <v>2</v>
      </c>
      <c r="D6" t="n">
        <v>1</v>
      </c>
      <c r="E6" t="inlineStr">
        <is>
          <t>R1, R2, R3 y R4 porque R5 está cortocircuitada</t>
        </is>
      </c>
      <c r="F6" t="inlineStr">
        <is>
          <t>Si R5 está efectivamente en cortocircuito, ¿cómo impacta este cortocircuito en la diferencia de potencial a través de ella y, por ende, en el potencial del nodo donde se conecta?</t>
        </is>
      </c>
      <c r="G6" t="n">
        <v>3</v>
      </c>
      <c r="H6" t="n">
        <v>4</v>
      </c>
      <c r="I6" t="n">
        <v>3</v>
      </c>
      <c r="J6" t="n">
        <v>5</v>
      </c>
      <c r="K6" t="n">
        <v>15</v>
      </c>
      <c r="L6" t="n">
        <v>1.329</v>
      </c>
      <c r="M6" t="n">
        <v>42</v>
      </c>
      <c r="N6" t="n">
        <v>45.14</v>
      </c>
      <c r="O6" t="inlineStr">
        <is>
          <t>AC1, AC6</t>
        </is>
      </c>
      <c r="P6" t="inlineStr">
        <is>
          <t>AC6</t>
        </is>
      </c>
      <c r="Q6" t="n">
        <v>1</v>
      </c>
      <c r="R6" t="n">
        <v>0.5</v>
      </c>
      <c r="S6" t="n">
        <v>0.667</v>
      </c>
      <c r="T6" t="inlineStr"/>
      <c r="U6" t="inlineStr"/>
      <c r="V6" t="inlineStr"/>
      <c r="W6" t="inlineStr">
        <is>
          <t>Socratic quality 3/5 (Clarification): Generic question: asks for clarification without attacking the root error. Conceptual precision 4/5 (Good): Good: clearly identifies the alternative conception with precise technical language. Good overall performance; room for improvement in socratic depth.</t>
        </is>
      </c>
    </row>
    <row r="7">
      <c r="A7" t="n">
        <v>90</v>
      </c>
      <c r="B7" t="n">
        <v>30</v>
      </c>
      <c r="C7" t="n">
        <v>3</v>
      </c>
      <c r="D7" t="n">
        <v>1</v>
      </c>
      <c r="E7" t="inlineStr">
        <is>
          <t>R1, R2, R3 y R4 porque por R5 no circula corriente</t>
        </is>
      </c>
      <c r="F7" t="inlineStr">
        <is>
          <t>Si no circula corriente a través de R5 debido al cortocircuito, ¿cómo afecta esto a la distribución de la corriente total proveniente de la fuente a través de las ramas que contienen R3 y R4?</t>
        </is>
      </c>
      <c r="G7" t="n">
        <v>4</v>
      </c>
      <c r="H7" t="n">
        <v>3</v>
      </c>
      <c r="I7" t="n">
        <v>4</v>
      </c>
      <c r="J7" t="n">
        <v>5</v>
      </c>
      <c r="K7" t="n">
        <v>16</v>
      </c>
      <c r="L7" t="n">
        <v>1.303</v>
      </c>
      <c r="M7" t="n">
        <v>45</v>
      </c>
      <c r="N7" t="n">
        <v>46.04</v>
      </c>
      <c r="O7" t="inlineStr">
        <is>
          <t>AC1, AC6</t>
        </is>
      </c>
      <c r="P7" t="inlineStr">
        <is>
          <t>AC1, AC6</t>
        </is>
      </c>
      <c r="Q7" t="n">
        <v>1</v>
      </c>
      <c r="R7" t="n">
        <v>1</v>
      </c>
      <c r="S7" t="n">
        <v>1</v>
      </c>
      <c r="T7" t="inlineStr"/>
      <c r="U7" t="inlineStr"/>
      <c r="V7" t="inlineStr"/>
      <c r="W7" t="inlineStr">
        <is>
          <t>Socratic quality 4/5 (Scaffolding for detection): Scaffolding for detection: identifies the error area and asks a question that confronts the theory. Conceptual precision 3/5 (Sufficient): Sufficient: identifies that there is an error and uses correct concepts, but the diagnosis is somewhat vague. Good overall performance; room for improvement in socratic depth.</t>
        </is>
      </c>
    </row>
    <row r="8">
      <c r="A8" t="n">
        <v>91</v>
      </c>
      <c r="B8" t="n">
        <v>31</v>
      </c>
      <c r="C8" t="n">
        <v>1</v>
      </c>
      <c r="D8" t="n">
        <v>1</v>
      </c>
      <c r="E8" t="inlineStr">
        <is>
          <t>R1, R2, R3 y R4 porque R5 se quita</t>
        </is>
      </c>
      <c r="F8" t="inlineStr">
        <is>
          <t>Si observas cuidadosamente el netlist, ¿qué relación de conexión existe entre los terminales de la resistencia R5 y cómo afecta esto al flujo de corriente a través de ella?</t>
        </is>
      </c>
      <c r="G8" t="n">
        <v>3</v>
      </c>
      <c r="H8" t="n">
        <v>3</v>
      </c>
      <c r="I8" t="n">
        <v>3</v>
      </c>
      <c r="J8" t="n">
        <v>5</v>
      </c>
      <c r="K8" t="n">
        <v>14</v>
      </c>
      <c r="L8" t="n">
        <v>1.344</v>
      </c>
      <c r="M8" t="n">
        <v>37</v>
      </c>
      <c r="N8" t="n">
        <v>44.64</v>
      </c>
      <c r="O8" t="inlineStr">
        <is>
          <t>AC1, AC6</t>
        </is>
      </c>
      <c r="P8" t="inlineStr">
        <is>
          <t>AC1, AC6</t>
        </is>
      </c>
      <c r="Q8" t="n">
        <v>1</v>
      </c>
      <c r="R8" t="n">
        <v>1</v>
      </c>
      <c r="S8" t="n">
        <v>1</v>
      </c>
      <c r="T8" t="inlineStr"/>
      <c r="U8" t="inlineStr"/>
      <c r="V8" t="inlineStr"/>
      <c r="W8" t="inlineStr">
        <is>
          <t>Socratic quality 3/5 (Clarification): Generic question: asks for clarification without attacking the root error. Conceptual precision 3/5 (Sufficient): Sufficient: identifies that there is an error and uses correct concepts, but the diagnosis is somewhat vague. Good overall performance; room for improvement in socratic depth.</t>
        </is>
      </c>
    </row>
    <row r="9">
      <c r="A9" t="n">
        <v>92</v>
      </c>
      <c r="B9" t="n">
        <v>31</v>
      </c>
      <c r="C9" t="n">
        <v>2</v>
      </c>
      <c r="D9" t="n">
        <v>1</v>
      </c>
      <c r="E9" t="inlineStr">
        <is>
          <t>R1, R3 y R4 porque R2 está en paralelo con la fuente y R5 corctocircuitada</t>
        </is>
      </c>
      <c r="F9" t="inlineStr">
        <is>
          <t>Si una resistencia está en paralelo con una fuente de voltaje ideal, ¿cómo describirías la diferencia de potencial a través de esa resistencia y qué implicaciones tiene esto para la corriente que fluye a través del circuito?</t>
        </is>
      </c>
      <c r="G9" t="n">
        <v>3</v>
      </c>
      <c r="H9" t="n">
        <v>3</v>
      </c>
      <c r="I9" t="n">
        <v>3</v>
      </c>
      <c r="J9" t="n">
        <v>5</v>
      </c>
      <c r="K9" t="n">
        <v>14</v>
      </c>
      <c r="L9" t="n">
        <v>1.337</v>
      </c>
      <c r="M9" t="n">
        <v>44</v>
      </c>
      <c r="N9" t="n">
        <v>44.87</v>
      </c>
      <c r="O9" t="inlineStr">
        <is>
          <t>AC1, AC6</t>
        </is>
      </c>
      <c r="P9" t="inlineStr">
        <is>
          <t>AC1</t>
        </is>
      </c>
      <c r="Q9" t="n">
        <v>1</v>
      </c>
      <c r="R9" t="n">
        <v>0.5</v>
      </c>
      <c r="S9" t="n">
        <v>0.667</v>
      </c>
      <c r="T9" t="inlineStr"/>
      <c r="U9" t="inlineStr"/>
      <c r="V9" t="inlineStr"/>
      <c r="W9" t="inlineStr">
        <is>
          <t>Socratic quality 3/5 (Clarification): Generic question: asks for clarification without attacking the root error. Conceptual precision 3/5 (Sufficient): Sufficient: identifies that there is an error and uses correct concepts, but the diagnosis is somewhat vague. Good overall performance; room for improvement in socratic depth.</t>
        </is>
      </c>
    </row>
    <row r="10">
      <c r="A10" t="n">
        <v>93</v>
      </c>
      <c r="B10" t="n">
        <v>31</v>
      </c>
      <c r="C10" t="n">
        <v>3</v>
      </c>
      <c r="D10" t="n">
        <v>1</v>
      </c>
      <c r="E10" t="inlineStr">
        <is>
          <t>R1, R4 y R5 porque R2 se elimina y R3 también</t>
        </is>
      </c>
      <c r="F10" t="inlineStr">
        <is>
          <t>Considerando que has eliminado R2 y R3 de tu análisis, ¿cómo describirías la configuración resultante del circuito con respecto a R1, R4 y R5: están en serie, en paralelo o una combinación de ambas?</t>
        </is>
      </c>
      <c r="G10" t="n">
        <v>3</v>
      </c>
      <c r="H10" t="n">
        <v>3</v>
      </c>
      <c r="I10" t="n">
        <v>5</v>
      </c>
      <c r="J10" t="n">
        <v>5</v>
      </c>
      <c r="K10" t="n">
        <v>16</v>
      </c>
      <c r="L10" t="n">
        <v>1.391</v>
      </c>
      <c r="M10" t="n">
        <v>48</v>
      </c>
      <c r="N10" t="n">
        <v>43.13</v>
      </c>
      <c r="O10" t="inlineStr">
        <is>
          <t>AC1, AC6</t>
        </is>
      </c>
      <c r="P10" t="inlineStr"/>
      <c r="Q10" t="n">
        <v>1</v>
      </c>
      <c r="R10" t="n">
        <v>0</v>
      </c>
      <c r="S10" t="n">
        <v>0</v>
      </c>
      <c r="T10" t="inlineStr"/>
      <c r="U10" t="inlineStr"/>
      <c r="V10" t="inlineStr"/>
      <c r="W10" t="inlineStr">
        <is>
          <t>Socratic quality 3/5 (Clarification): Generic question: asks for clarification without attacking the root error. Conceptual precision 3/5 (Sufficient): Sufficient: identifies that there is an error and uses correct concepts, but the diagnosis is somewhat vague. Good overall performance; room for improvement in socratic depth.</t>
        </is>
      </c>
    </row>
    <row r="11">
      <c r="A11" t="n">
        <v>94</v>
      </c>
      <c r="B11" t="n">
        <v>32</v>
      </c>
      <c r="C11" t="n">
        <v>1</v>
      </c>
      <c r="D11" t="n">
        <v>1</v>
      </c>
      <c r="E11" t="inlineStr">
        <is>
          <t>R1 y R4 dado que R2 está en paralelo con la fuente, R3 en circuito abierto y R5 cortocircuitada</t>
        </is>
      </c>
      <c r="F11" t="inlineStr">
        <is>
          <t>Considerando que R2 está en paralelo con la fuente, ¿cómo afecta esta configuración a la corriente que fluye a través de R2 en comparación con la corriente total proveniente de la fuente?</t>
        </is>
      </c>
      <c r="G11" t="n">
        <v>4</v>
      </c>
      <c r="H11" t="n">
        <v>3</v>
      </c>
      <c r="I11" t="n">
        <v>3</v>
      </c>
      <c r="J11" t="n">
        <v>5</v>
      </c>
      <c r="K11" t="n">
        <v>15</v>
      </c>
      <c r="L11" t="n">
        <v>1.425</v>
      </c>
      <c r="M11" t="n">
        <v>41</v>
      </c>
      <c r="N11" t="n">
        <v>42.12</v>
      </c>
      <c r="O11" t="inlineStr">
        <is>
          <t>AC1, AC6</t>
        </is>
      </c>
      <c r="P11" t="inlineStr">
        <is>
          <t>AC1</t>
        </is>
      </c>
      <c r="Q11" t="n">
        <v>1</v>
      </c>
      <c r="R11" t="n">
        <v>0.5</v>
      </c>
      <c r="S11" t="n">
        <v>0.667</v>
      </c>
      <c r="T11" t="inlineStr"/>
      <c r="U11" t="inlineStr"/>
      <c r="V11" t="inlineStr"/>
      <c r="W11" t="inlineStr">
        <is>
          <t>Socratic quality 4/5 (Scaffolding for detection): Scaffolding for detection: identifies the error area and asks a question that confronts the theory. Conceptual precision 3/5 (Sufficient): Sufficient: identifies that there is an error and uses correct concepts, but the diagnosis is somewhat vague. Good overall performance; room for improvement in socratic depth.</t>
        </is>
      </c>
    </row>
    <row r="12">
      <c r="A12" t="n">
        <v>95</v>
      </c>
      <c r="B12" t="n">
        <v>32</v>
      </c>
      <c r="C12" t="n">
        <v>2</v>
      </c>
      <c r="D12" t="n">
        <v>1</v>
      </c>
      <c r="E12" t="inlineStr">
        <is>
          <t>R1, R2 y R3 dado que R2 y R3 están en paralelo y forman un divisor de tensión con R1</t>
        </is>
      </c>
      <c r="F12" t="inlineStr">
        <is>
          <t>Si R2 y R3 están en paralelo, ¿cómo se compara el voltaje a través de R2 con el voltaje a través de R3, y cómo impacta esto en la corriente que circula por cada resistencia?</t>
        </is>
      </c>
      <c r="G12" t="n">
        <v>3</v>
      </c>
      <c r="H12" t="n">
        <v>3</v>
      </c>
      <c r="I12" t="n">
        <v>4</v>
      </c>
      <c r="J12" t="n">
        <v>5</v>
      </c>
      <c r="K12" t="n">
        <v>15</v>
      </c>
      <c r="L12" t="n">
        <v>1.332</v>
      </c>
      <c r="M12" t="n">
        <v>45</v>
      </c>
      <c r="N12" t="n">
        <v>45.04</v>
      </c>
      <c r="O12" t="inlineStr">
        <is>
          <t>AC1, AC9</t>
        </is>
      </c>
      <c r="P12" t="inlineStr">
        <is>
          <t>AC1</t>
        </is>
      </c>
      <c r="Q12" t="n">
        <v>1</v>
      </c>
      <c r="R12" t="n">
        <v>0.5</v>
      </c>
      <c r="S12" t="n">
        <v>0.667</v>
      </c>
      <c r="T12" t="inlineStr"/>
      <c r="U12" t="inlineStr"/>
      <c r="V12" t="inlineStr"/>
      <c r="W12" t="inlineStr">
        <is>
          <t>Socratic quality 3/5 (Clarification): Generic question: asks for clarification without attacking the root error. Conceptual precision 3/5 (Sufficient): Sufficient: identifies that there is an error and uses correct concepts, but the diagnosis is somewhat vague. Good overall performance; room for improvement in socratic depth.</t>
        </is>
      </c>
    </row>
    <row r="13">
      <c r="A13" t="n">
        <v>96</v>
      </c>
      <c r="B13" t="n">
        <v>32</v>
      </c>
      <c r="C13" t="n">
        <v>3</v>
      </c>
      <c r="D13" t="n">
        <v>1</v>
      </c>
      <c r="E13" t="inlineStr">
        <is>
          <t>R1, R2, R4 y R5 dado que R3 está en circuito abierto</t>
        </is>
      </c>
      <c r="F13" t="inlineStr">
        <is>
          <t>Dado que R3 está en circuito abierto, ¿cómo crees que esto afecta el flujo de corriente en el resto del circuito y, específicamente, en R4 y R5?</t>
        </is>
      </c>
      <c r="G13" t="n">
        <v>3</v>
      </c>
      <c r="H13" t="n">
        <v>3</v>
      </c>
      <c r="I13" t="n">
        <v>4</v>
      </c>
      <c r="J13" t="n">
        <v>5</v>
      </c>
      <c r="K13" t="n">
        <v>15</v>
      </c>
      <c r="L13" t="n">
        <v>1.204</v>
      </c>
      <c r="M13" t="n">
        <v>37</v>
      </c>
      <c r="N13" t="n">
        <v>49.83</v>
      </c>
      <c r="O13" t="inlineStr">
        <is>
          <t>AC1, AC6</t>
        </is>
      </c>
      <c r="P13" t="inlineStr">
        <is>
          <t>AC1</t>
        </is>
      </c>
      <c r="Q13" t="n">
        <v>1</v>
      </c>
      <c r="R13" t="n">
        <v>0.5</v>
      </c>
      <c r="S13" t="n">
        <v>0.667</v>
      </c>
      <c r="T13" t="inlineStr"/>
      <c r="U13" t="inlineStr"/>
      <c r="V13" t="inlineStr"/>
      <c r="W13" t="inlineStr">
        <is>
          <t>Socratic quality 3/5 (Clarification): Generic question: asks for clarification without attacking the root error. Conceptual precision 3/5 (Sufficient): Sufficient: identifies that there is an error and uses correct concepts, but the diagnosis is somewhat vague. Good overall performance; room for improvement in socratic depth.</t>
        </is>
      </c>
    </row>
    <row r="14">
      <c r="A14" t="n">
        <v>97</v>
      </c>
      <c r="B14" t="n">
        <v>33</v>
      </c>
      <c r="C14" t="n">
        <v>1</v>
      </c>
      <c r="D14" t="n">
        <v>1</v>
      </c>
      <c r="E14" t="inlineStr">
        <is>
          <t>R1, R2, R4 y R5 dado que R3 sobra</t>
        </is>
      </c>
      <c r="F14" t="inlineStr">
        <is>
          <t>Si examinas cuidadosamente el netlist, ¿qué relación observas entre los nodos conectados a los terminales de R5?</t>
        </is>
      </c>
      <c r="G14" t="n">
        <v>3</v>
      </c>
      <c r="H14" t="n">
        <v>3</v>
      </c>
      <c r="I14" t="n">
        <v>3</v>
      </c>
      <c r="J14" t="n">
        <v>5</v>
      </c>
      <c r="K14" t="n">
        <v>14</v>
      </c>
      <c r="L14" t="n">
        <v>1.138</v>
      </c>
      <c r="M14" t="n">
        <v>26</v>
      </c>
      <c r="N14" t="n">
        <v>52.75</v>
      </c>
      <c r="O14" t="inlineStr">
        <is>
          <t>AC1, AC6</t>
        </is>
      </c>
      <c r="P14" t="inlineStr">
        <is>
          <t>AC6</t>
        </is>
      </c>
      <c r="Q14" t="n">
        <v>1</v>
      </c>
      <c r="R14" t="n">
        <v>0.5</v>
      </c>
      <c r="S14" t="n">
        <v>0.667</v>
      </c>
      <c r="T14" t="inlineStr"/>
      <c r="U14" t="inlineStr"/>
      <c r="V14" t="inlineStr"/>
      <c r="W14" t="inlineStr">
        <is>
          <t>Socratic quality 3/5 (Clarification): Generic question: asks for clarification without attacking the root error. Conceptual precision 3/5 (Sufficient): Sufficient: identifies that there is an error and uses correct concepts, but the diagnosis is somewhat vague. Good overall performance; room for improvement in socratic depth.</t>
        </is>
      </c>
    </row>
    <row r="15">
      <c r="A15" t="n">
        <v>98</v>
      </c>
      <c r="B15" t="n">
        <v>33</v>
      </c>
      <c r="C15" t="n">
        <v>2</v>
      </c>
      <c r="D15" t="n">
        <v>1</v>
      </c>
      <c r="E15" t="inlineStr">
        <is>
          <t>R1, R2, R4 y R5 dado que R3 no hace nada</t>
        </is>
      </c>
      <c r="F15" t="inlineStr">
        <is>
          <t>Si R3 no participa en el circuito, ¿cómo afectaría esto a la corriente que fluye a través de R5 en comparación con si R3 estuviera presente?</t>
        </is>
      </c>
      <c r="G15" t="n">
        <v>3</v>
      </c>
      <c r="H15" t="n">
        <v>2</v>
      </c>
      <c r="I15" t="n">
        <v>3</v>
      </c>
      <c r="J15" t="n">
        <v>5</v>
      </c>
      <c r="K15" t="n">
        <v>13</v>
      </c>
      <c r="L15" t="n">
        <v>1.143</v>
      </c>
      <c r="M15" t="n">
        <v>36</v>
      </c>
      <c r="N15" t="n">
        <v>52.51</v>
      </c>
      <c r="O15" t="inlineStr">
        <is>
          <t>AC1, AC6</t>
        </is>
      </c>
      <c r="P15" t="inlineStr">
        <is>
          <t>AC1</t>
        </is>
      </c>
      <c r="Q15" t="n">
        <v>1</v>
      </c>
      <c r="R15" t="n">
        <v>0.5</v>
      </c>
      <c r="S15" t="n">
        <v>0.667</v>
      </c>
      <c r="T15" t="inlineStr"/>
      <c r="U15" t="inlineStr"/>
      <c r="V15" t="inlineStr"/>
      <c r="W15" t="inlineStr">
        <is>
          <t>Socratic quality 3/5 (Clarification): Generic question: asks for clarification without attacking the root error. Conceptual precision 2/5 (Poor): Poor: responds generically without diagnosing the conceptual error. Good overall performance; room for improvement in socratic depth.</t>
        </is>
      </c>
    </row>
    <row r="16">
      <c r="A16" t="n">
        <v>99</v>
      </c>
      <c r="B16" t="n">
        <v>33</v>
      </c>
      <c r="C16" t="n">
        <v>3</v>
      </c>
      <c r="D16" t="n">
        <v>1</v>
      </c>
      <c r="E16" t="inlineStr">
        <is>
          <t>R1, R2 y R4 dado que son las resistencias que forman parte del circuito.</t>
        </is>
      </c>
      <c r="F16" t="inlineStr">
        <is>
          <t>Considerando que un circuito completo requiere un camino cerrado para el flujo de corriente, ¿cómo describirías la función de R5 en relación con completar ese camino?</t>
        </is>
      </c>
      <c r="G16" t="n">
        <v>3</v>
      </c>
      <c r="H16" t="n">
        <v>3</v>
      </c>
      <c r="I16" t="n">
        <v>3</v>
      </c>
      <c r="J16" t="n">
        <v>5</v>
      </c>
      <c r="K16" t="n">
        <v>14</v>
      </c>
      <c r="L16" t="n">
        <v>1.108</v>
      </c>
      <c r="M16" t="n">
        <v>33</v>
      </c>
      <c r="N16" t="n">
        <v>54.17</v>
      </c>
      <c r="O16" t="inlineStr"/>
      <c r="P16" t="inlineStr">
        <is>
          <t>AC1, AC9</t>
        </is>
      </c>
      <c r="Q16" t="n">
        <v>0</v>
      </c>
      <c r="R16" t="n">
        <v>1</v>
      </c>
      <c r="S16" t="n">
        <v>0</v>
      </c>
      <c r="T16" t="inlineStr"/>
      <c r="U16" t="inlineStr"/>
      <c r="V16" t="inlineStr"/>
      <c r="W16" t="inlineStr">
        <is>
          <t>Socratic quality 3/5 (Clarification): Generic question: asks for clarification without attacking the root error. Conceptual precision 3/5 (Sufficient): Sufficient: identifies that there is an error and uses correct concepts, but the diagnosis is somewhat vague. Good overall performance; room for improvement in socratic depth.</t>
        </is>
      </c>
    </row>
    <row r="17">
      <c r="A17" t="n">
        <v>100</v>
      </c>
      <c r="B17" t="n">
        <v>34</v>
      </c>
      <c r="C17" t="n">
        <v>1</v>
      </c>
      <c r="D17" t="n">
        <v>1</v>
      </c>
      <c r="E17" t="inlineStr">
        <is>
          <t>R1, R2 y R4 dado que R2 y R4 están en paralelo y forma un divisor de tensión con R1.</t>
        </is>
      </c>
      <c r="F17" t="inlineStr">
        <is>
          <t>Considerando el interruptor abierto entre N2 y N3, ¿cómo afecta esto al flujo de corriente a través de cada una de las resistencias que mencionaste y, por lo tanto, a su contribución a la diferencia de potencial entre N2 y 0?</t>
        </is>
      </c>
      <c r="G17" t="n">
        <v>4</v>
      </c>
      <c r="H17" t="n">
        <v>4</v>
      </c>
      <c r="I17" t="n">
        <v>3</v>
      </c>
      <c r="J17" t="n">
        <v>5</v>
      </c>
      <c r="K17" t="n">
        <v>16</v>
      </c>
      <c r="L17" t="n">
        <v>1.704</v>
      </c>
      <c r="M17" t="n">
        <v>55</v>
      </c>
      <c r="N17" t="n">
        <v>35.2</v>
      </c>
      <c r="O17" t="inlineStr"/>
      <c r="P17" t="inlineStr">
        <is>
          <t>AC1, AC9</t>
        </is>
      </c>
      <c r="Q17" t="n">
        <v>0</v>
      </c>
      <c r="R17" t="n">
        <v>1</v>
      </c>
      <c r="S17" t="n">
        <v>0</v>
      </c>
      <c r="T17" t="inlineStr"/>
      <c r="U17" t="inlineStr"/>
      <c r="V17" t="inlineStr"/>
      <c r="W17" t="inlineStr">
        <is>
          <t>Socratic quality 4/5 (Scaffolding for detection): Scaffolding for detection: identifies the error area and asks a question that confronts the theory. Conceptual precision 4/5 (Good): Good: clearly identifies the alternative conception with precise technical language. Good overall performance; room for improvement in socratic depth.</t>
        </is>
      </c>
    </row>
    <row r="18">
      <c r="A18" t="n">
        <v>101</v>
      </c>
      <c r="B18" t="n">
        <v>34</v>
      </c>
      <c r="C18" t="n">
        <v>2</v>
      </c>
      <c r="D18" t="n">
        <v>1</v>
      </c>
      <c r="E18" t="inlineStr">
        <is>
          <t>R1, R2 y R4 dado que R3 está en abierto y R5 cortocircuitada</t>
        </is>
      </c>
      <c r="F18" t="inlineStr">
        <is>
          <t>Si R5 está en cortocircuito, ¿cómo impacta esto en la corriente que fluye a través de R4 y, consecuentemente, en la efectividad de R2 y R4 como divisor de tensión con R1?</t>
        </is>
      </c>
      <c r="G18" t="n">
        <v>3</v>
      </c>
      <c r="H18" t="n">
        <v>4</v>
      </c>
      <c r="I18" t="n">
        <v>5</v>
      </c>
      <c r="J18" t="n">
        <v>5</v>
      </c>
      <c r="K18" t="n">
        <v>17</v>
      </c>
      <c r="L18" t="n">
        <v>1.397</v>
      </c>
      <c r="M18" t="n">
        <v>50</v>
      </c>
      <c r="N18" t="n">
        <v>42.94</v>
      </c>
      <c r="O18" t="inlineStr">
        <is>
          <t>AC1, AC6</t>
        </is>
      </c>
      <c r="P18" t="inlineStr">
        <is>
          <t>AC1, AC6</t>
        </is>
      </c>
      <c r="Q18" t="n">
        <v>1</v>
      </c>
      <c r="R18" t="n">
        <v>1</v>
      </c>
      <c r="S18" t="n">
        <v>1</v>
      </c>
      <c r="T18" t="inlineStr"/>
      <c r="U18" t="inlineStr"/>
      <c r="V18" t="inlineStr"/>
      <c r="W18" t="inlineStr">
        <is>
          <t>Socratic quality 3/5 (Clarification): Generic question: asks for clarification without attacking the root error. Conceptual precision 4/5 (Good): Good: clearly identifies the alternative conception with precise technical language. High-performing tutor: expert socratic guidance with precise diagnosis.</t>
        </is>
      </c>
    </row>
    <row r="19">
      <c r="A19" t="n">
        <v>102</v>
      </c>
      <c r="B19" t="n">
        <v>34</v>
      </c>
      <c r="C19" t="n">
        <v>3</v>
      </c>
      <c r="D19" t="n">
        <v>1</v>
      </c>
      <c r="E19" t="inlineStr">
        <is>
          <t>R1, R2 y R4 dado que solo por estas resistencias circula una corriente diferente de cero</t>
        </is>
      </c>
      <c r="F19" t="inlineStr">
        <is>
          <t>Dado que R3 está abierto y R5 en cortocircuito, ¿cómo describirías la configuración resultante en términos de caminos alternativos para la corriente y cómo esto influye en la resistencia total del circuito?</t>
        </is>
      </c>
      <c r="G19" t="n">
        <v>3</v>
      </c>
      <c r="H19" t="n">
        <v>4</v>
      </c>
      <c r="I19" t="n">
        <v>3</v>
      </c>
      <c r="J19" t="n">
        <v>5</v>
      </c>
      <c r="K19" t="n">
        <v>15</v>
      </c>
      <c r="L19" t="n">
        <v>1.303</v>
      </c>
      <c r="M19" t="n">
        <v>43</v>
      </c>
      <c r="N19" t="n">
        <v>46.06</v>
      </c>
      <c r="O19" t="inlineStr"/>
      <c r="P19" t="inlineStr">
        <is>
          <t>AC1, AC6, AC9</t>
        </is>
      </c>
      <c r="Q19" t="n">
        <v>0</v>
      </c>
      <c r="R19" t="n">
        <v>1</v>
      </c>
      <c r="S19" t="n">
        <v>0</v>
      </c>
      <c r="T19" t="inlineStr"/>
      <c r="U19" t="inlineStr"/>
      <c r="V19" t="inlineStr"/>
      <c r="W19" t="inlineStr">
        <is>
          <t>Socratic quality 3/5 (Clarification): Generic question: asks for clarification without attacking the root error. Conceptual precision 4/5 (Good): Good: clearly identifies the alternative conception with precise technical language. Good overall performance; room for improvement in socratic depth.</t>
        </is>
      </c>
    </row>
    <row r="20">
      <c r="A20" t="n">
        <v>103</v>
      </c>
      <c r="B20" t="n">
        <v>35</v>
      </c>
      <c r="C20" t="n">
        <v>1</v>
      </c>
      <c r="D20" t="n">
        <v>1</v>
      </c>
      <c r="E20" t="inlineStr">
        <is>
          <t>R1, R2 y R4 dado que por R3 y por R5 no circula corriente</t>
        </is>
      </c>
      <c r="F20" t="inlineStr">
        <is>
          <t>Considerando el netlist, ¿qué condición eléctrica comparten los terminales de R5 y cómo afecta esto al flujo de corriente a través de ella?</t>
        </is>
      </c>
      <c r="G20" t="n">
        <v>3</v>
      </c>
      <c r="H20" t="n">
        <v>3</v>
      </c>
      <c r="I20" t="n">
        <v>3</v>
      </c>
      <c r="J20" t="n">
        <v>5</v>
      </c>
      <c r="K20" t="n">
        <v>14</v>
      </c>
      <c r="L20" t="n">
        <v>1.254</v>
      </c>
      <c r="M20" t="n">
        <v>31</v>
      </c>
      <c r="N20" t="n">
        <v>47.83</v>
      </c>
      <c r="O20" t="inlineStr">
        <is>
          <t>AC1, AC6</t>
        </is>
      </c>
      <c r="P20" t="inlineStr">
        <is>
          <t>AC1, AC6</t>
        </is>
      </c>
      <c r="Q20" t="n">
        <v>1</v>
      </c>
      <c r="R20" t="n">
        <v>1</v>
      </c>
      <c r="S20" t="n">
        <v>1</v>
      </c>
      <c r="T20" t="inlineStr"/>
      <c r="U20" t="inlineStr"/>
      <c r="V20" t="inlineStr"/>
      <c r="W20" t="inlineStr">
        <is>
          <t>Socratic quality 3/5 (Clarification): Generic question: asks for clarification without attacking the root error. Conceptual precision 3/5 (Sufficient): Sufficient: identifies that there is an error and uses correct concepts, but the diagnosis is somewhat vague. Good overall performance; room for improvement in socratic depth.</t>
        </is>
      </c>
    </row>
    <row r="21">
      <c r="A21" t="n">
        <v>104</v>
      </c>
      <c r="B21" t="n">
        <v>35</v>
      </c>
      <c r="C21" t="n">
        <v>2</v>
      </c>
      <c r="D21" t="n">
        <v>1</v>
      </c>
      <c r="E21" t="inlineStr">
        <is>
          <t>R1, R2 y R4 dado que R3 y R5 se pueden quitar</t>
        </is>
      </c>
      <c r="F21" t="inlineStr">
        <is>
          <t>Si R3 y R5 no tienen corriente circulando, ¿cómo describirías la diferencia de potencial entre sus terminales y qué implicaciones tiene esto para la configuración del circuito?</t>
        </is>
      </c>
      <c r="G21" t="n">
        <v>3</v>
      </c>
      <c r="H21" t="n">
        <v>3</v>
      </c>
      <c r="I21" t="n">
        <v>3</v>
      </c>
      <c r="J21" t="n">
        <v>5</v>
      </c>
      <c r="K21" t="n">
        <v>14</v>
      </c>
      <c r="L21" t="n">
        <v>1.184</v>
      </c>
      <c r="M21" t="n">
        <v>37</v>
      </c>
      <c r="N21" t="n">
        <v>50.68</v>
      </c>
      <c r="O21" t="inlineStr">
        <is>
          <t>AC1, AC6</t>
        </is>
      </c>
      <c r="P21" t="inlineStr">
        <is>
          <t>AC1, AC6, AC9</t>
        </is>
      </c>
      <c r="Q21" t="n">
        <v>0.667</v>
      </c>
      <c r="R21" t="n">
        <v>1</v>
      </c>
      <c r="S21" t="n">
        <v>0.8</v>
      </c>
      <c r="T21" t="inlineStr"/>
      <c r="U21" t="inlineStr"/>
      <c r="V21" t="inlineStr"/>
      <c r="W21" t="inlineStr">
        <is>
          <t>Socratic quality 3/5 (Clarification): Generic question: asks for clarification without attacking the root error. Conceptual precision 3/5 (Sufficient): Sufficient: identifies that there is an error and uses correct concepts, but the diagnosis is somewhat vague. Good overall performance; room for improvement in socratic depth.</t>
        </is>
      </c>
    </row>
    <row r="22">
      <c r="A22" t="n">
        <v>105</v>
      </c>
      <c r="B22" t="n">
        <v>35</v>
      </c>
      <c r="C22" t="n">
        <v>3</v>
      </c>
      <c r="D22" t="n">
        <v>1</v>
      </c>
      <c r="E22" t="inlineStr">
        <is>
          <t>R1, R2 y R4 dado que R3 y R5 no influyen para nada en la diferencia de potencial que se pide</t>
        </is>
      </c>
      <c r="F22" t="inlineStr">
        <is>
          <t>Si R3 y R5 no influyen en la diferencia de potencial, ¿cómo describirías la configuración de los componentes en términos de conexiones en serie y en paralelo, y cómo afectaría esto al cálculo de la resistencia equivalente del circuito?</t>
        </is>
      </c>
      <c r="G22" t="n">
        <v>3</v>
      </c>
      <c r="H22" t="n">
        <v>3</v>
      </c>
      <c r="I22" t="n">
        <v>3</v>
      </c>
      <c r="J22" t="n">
        <v>5</v>
      </c>
      <c r="K22" t="n">
        <v>14</v>
      </c>
      <c r="L22" t="n">
        <v>1.396</v>
      </c>
      <c r="M22" t="n">
        <v>49</v>
      </c>
      <c r="N22" t="n">
        <v>42.97</v>
      </c>
      <c r="O22" t="inlineStr">
        <is>
          <t>AC1, AC6</t>
        </is>
      </c>
      <c r="P22" t="inlineStr"/>
      <c r="Q22" t="n">
        <v>1</v>
      </c>
      <c r="R22" t="n">
        <v>0</v>
      </c>
      <c r="S22" t="n">
        <v>0</v>
      </c>
      <c r="T22" t="inlineStr"/>
      <c r="U22" t="inlineStr"/>
      <c r="V22" t="inlineStr"/>
      <c r="W22" t="inlineStr">
        <is>
          <t>Socratic quality 3/5 (Clarification): Generic question: asks for clarification without attacking the root error. Conceptual precision 3/5 (Sufficient): Sufficient: identifies that there is an error and uses correct concepts, but the diagnosis is somewhat vague. Good overall performance; room for improvement in socratic depth.</t>
        </is>
      </c>
    </row>
    <row r="23">
      <c r="A23" t="n">
        <v>106</v>
      </c>
      <c r="B23" t="n">
        <v>36</v>
      </c>
      <c r="C23" t="n">
        <v>1</v>
      </c>
      <c r="D23" t="n">
        <v>1</v>
      </c>
      <c r="E23" t="inlineStr">
        <is>
          <t>R1, R2 y R4 dado que R3 y R5 sobran</t>
        </is>
      </c>
      <c r="F23" t="inlineStr">
        <is>
          <t>Si observas cuidadosamente la conexión entre los nodos N2 y N3, ¿qué implicación tiene el estado del interruptor en la posible circulación de corriente a través de R3?</t>
        </is>
      </c>
      <c r="G23" t="n">
        <v>3</v>
      </c>
      <c r="H23" t="n">
        <v>4</v>
      </c>
      <c r="I23" t="n">
        <v>3</v>
      </c>
      <c r="J23" t="n">
        <v>5</v>
      </c>
      <c r="K23" t="n">
        <v>15</v>
      </c>
      <c r="L23" t="n">
        <v>1.349</v>
      </c>
      <c r="M23" t="n">
        <v>38</v>
      </c>
      <c r="N23" t="n">
        <v>44.47</v>
      </c>
      <c r="O23" t="inlineStr">
        <is>
          <t>AC1, AC6</t>
        </is>
      </c>
      <c r="P23" t="inlineStr">
        <is>
          <t>AC1</t>
        </is>
      </c>
      <c r="Q23" t="n">
        <v>1</v>
      </c>
      <c r="R23" t="n">
        <v>0.5</v>
      </c>
      <c r="S23" t="n">
        <v>0.667</v>
      </c>
      <c r="T23" t="inlineStr"/>
      <c r="U23" t="inlineStr"/>
      <c r="V23" t="inlineStr"/>
      <c r="W23" t="inlineStr">
        <is>
          <t>Socratic quality 3/5 (Clarification): Generic question: asks for clarification without attacking the root error. Conceptual precision 4/5 (Good): Good: clearly identifies the alternative conception with precise technical language. Good overall performance; room for improvement in socratic depth.</t>
        </is>
      </c>
    </row>
    <row r="24">
      <c r="A24" t="n">
        <v>107</v>
      </c>
      <c r="B24" t="n">
        <v>36</v>
      </c>
      <c r="C24" t="n">
        <v>2</v>
      </c>
      <c r="D24" t="n">
        <v>1</v>
      </c>
      <c r="E24" t="inlineStr">
        <is>
          <t>R1, R2 y R4 dado que R3 sobra</t>
        </is>
      </c>
      <c r="F24" t="inlineStr">
        <is>
          <t>Considerando que la corriente busca el camino de menor resistencia, ¿cómo afectaría la presencia de R3 al flujo de corriente entre los nodos N2 y N3, en comparación con el camino a través de R4?</t>
        </is>
      </c>
      <c r="G24" t="n">
        <v>3</v>
      </c>
      <c r="H24" t="n">
        <v>3</v>
      </c>
      <c r="I24" t="n">
        <v>4</v>
      </c>
      <c r="J24" t="n">
        <v>5</v>
      </c>
      <c r="K24" t="n">
        <v>15</v>
      </c>
      <c r="L24" t="n">
        <v>1.342</v>
      </c>
      <c r="M24" t="n">
        <v>46</v>
      </c>
      <c r="N24" t="n">
        <v>44.71</v>
      </c>
      <c r="O24" t="inlineStr">
        <is>
          <t>AC1</t>
        </is>
      </c>
      <c r="P24" t="inlineStr">
        <is>
          <t>AC1, AC9</t>
        </is>
      </c>
      <c r="Q24" t="n">
        <v>0.5</v>
      </c>
      <c r="R24" t="n">
        <v>1</v>
      </c>
      <c r="S24" t="n">
        <v>0.667</v>
      </c>
      <c r="T24" t="inlineStr"/>
      <c r="U24" t="inlineStr"/>
      <c r="V24" t="inlineStr"/>
      <c r="W24" t="inlineStr">
        <is>
          <t>Socratic quality 3/5 (Clarification): Generic question: asks for clarification without attacking the root error. Conceptual precision 3/5 (Sufficient): Sufficient: identifies that there is an error and uses correct concepts, but the diagnosis is somewhat vague. Good overall performance; room for improvement in socratic depth.</t>
        </is>
      </c>
    </row>
    <row r="25">
      <c r="A25" t="n">
        <v>108</v>
      </c>
      <c r="B25" t="n">
        <v>36</v>
      </c>
      <c r="C25" t="n">
        <v>3</v>
      </c>
      <c r="D25" t="n">
        <v>1</v>
      </c>
      <c r="E25" t="inlineStr">
        <is>
          <t>R1, R2 y R4 dado que R5 sobra</t>
        </is>
      </c>
      <c r="F25" t="inlineStr">
        <is>
          <t>Si R5 estuviera presente y conectado en paralelo con R4, ¿cómo cambiaría la resistencia total del circuito y, por lo tanto, la corriente que fluye desde la fuente?</t>
        </is>
      </c>
      <c r="G25" t="n">
        <v>3</v>
      </c>
      <c r="H25" t="n">
        <v>3</v>
      </c>
      <c r="I25" t="n">
        <v>4</v>
      </c>
      <c r="J25" t="n">
        <v>5</v>
      </c>
      <c r="K25" t="n">
        <v>15</v>
      </c>
      <c r="L25" t="n">
        <v>1.23</v>
      </c>
      <c r="M25" t="n">
        <v>39</v>
      </c>
      <c r="N25" t="n">
        <v>48.79</v>
      </c>
      <c r="O25" t="inlineStr">
        <is>
          <t>AC6</t>
        </is>
      </c>
      <c r="P25" t="inlineStr">
        <is>
          <t>AC1, AC9</t>
        </is>
      </c>
      <c r="Q25" t="n">
        <v>0</v>
      </c>
      <c r="R25" t="n">
        <v>0</v>
      </c>
      <c r="S25" t="n">
        <v>0</v>
      </c>
      <c r="T25" t="inlineStr"/>
      <c r="U25" t="inlineStr"/>
      <c r="V25" t="inlineStr"/>
      <c r="W25" t="inlineStr">
        <is>
          <t>Socratic quality 3/5 (Clarification): Generic question: asks for clarification without attacking the root error. Conceptual precision 3/5 (Sufficient): Sufficient: identifies that there is an error and uses correct concepts, but the diagnosis is somewhat vague. Good overall performance; room for improvement in socratic depth.</t>
        </is>
      </c>
    </row>
    <row r="26">
      <c r="A26" t="n">
        <v>109</v>
      </c>
      <c r="B26" t="n">
        <v>37</v>
      </c>
      <c r="C26" t="n">
        <v>1</v>
      </c>
      <c r="D26" t="n">
        <v>1</v>
      </c>
      <c r="E26" t="inlineStr">
        <is>
          <t>R1, R2 y R4 dado que R3 está en abierto</t>
        </is>
      </c>
      <c r="F26" t="inlineStr">
        <is>
          <t>Considerando que el interruptor entre N2 y N3 está abierto, ¿qué implicaciones tiene esto para la corriente que podría fluir a través de cualquier componente conectado a esos nodos?</t>
        </is>
      </c>
      <c r="G26" t="n">
        <v>3</v>
      </c>
      <c r="H26" t="n">
        <v>4</v>
      </c>
      <c r="I26" t="n">
        <v>3</v>
      </c>
      <c r="J26" t="n">
        <v>5</v>
      </c>
      <c r="K26" t="n">
        <v>15</v>
      </c>
      <c r="L26" t="n">
        <v>1.34</v>
      </c>
      <c r="M26" t="n">
        <v>39</v>
      </c>
      <c r="N26" t="n">
        <v>44.76</v>
      </c>
      <c r="O26" t="inlineStr">
        <is>
          <t>AC1</t>
        </is>
      </c>
      <c r="P26" t="inlineStr">
        <is>
          <t>AC1</t>
        </is>
      </c>
      <c r="Q26" t="n">
        <v>1</v>
      </c>
      <c r="R26" t="n">
        <v>1</v>
      </c>
      <c r="S26" t="n">
        <v>1</v>
      </c>
      <c r="T26" t="inlineStr"/>
      <c r="U26" t="inlineStr"/>
      <c r="V26" t="inlineStr"/>
      <c r="W26" t="inlineStr">
        <is>
          <t>Socratic quality 3/5 (Clarification): Generic question: asks for clarification without attacking the root error. Conceptual precision 4/5 (Good): Good: clearly identifies the alternative conception with precise technical language. Good overall performance; room for improvement in socratic depth.</t>
        </is>
      </c>
    </row>
    <row r="27">
      <c r="A27" t="n">
        <v>110</v>
      </c>
      <c r="B27" t="n">
        <v>37</v>
      </c>
      <c r="C27" t="n">
        <v>2</v>
      </c>
      <c r="D27" t="n">
        <v>1</v>
      </c>
      <c r="E27" t="inlineStr">
        <is>
          <t>R1, R2 y R4 dado que  R5 cortocircuitada</t>
        </is>
      </c>
      <c r="F27" t="inlineStr">
        <is>
          <t>Si R5 está en cortocircuito, ¿cómo afecta esto a la diferencia de potencial a través de ella y, por lo tanto, a la corriente que fluye a través del circuito en paralelo con R4?</t>
        </is>
      </c>
      <c r="G27" t="n">
        <v>4</v>
      </c>
      <c r="H27" t="n">
        <v>4</v>
      </c>
      <c r="I27" t="n">
        <v>4</v>
      </c>
      <c r="J27" t="n">
        <v>5</v>
      </c>
      <c r="K27" t="n">
        <v>17</v>
      </c>
      <c r="L27" t="n">
        <v>1.308</v>
      </c>
      <c r="M27" t="n">
        <v>45</v>
      </c>
      <c r="N27" t="n">
        <v>45.86</v>
      </c>
      <c r="O27" t="inlineStr">
        <is>
          <t>AC6</t>
        </is>
      </c>
      <c r="P27" t="inlineStr">
        <is>
          <t>AC1, AC6</t>
        </is>
      </c>
      <c r="Q27" t="n">
        <v>0.5</v>
      </c>
      <c r="R27" t="n">
        <v>1</v>
      </c>
      <c r="S27" t="n">
        <v>0.667</v>
      </c>
      <c r="T27" t="inlineStr"/>
      <c r="U27" t="inlineStr"/>
      <c r="V27" t="inlineStr"/>
      <c r="W27" t="inlineStr">
        <is>
          <t>Socratic quality 4/5 (Scaffolding for detection): Scaffolding for detection: identifies the error area and asks a question that confronts the theory. Conceptual precision 4/5 (Good): Good: clearly identifies the alternative conception with precise technical language. High-performing tutor: expert socratic guidance with precise diagnosis.</t>
        </is>
      </c>
    </row>
    <row r="28">
      <c r="A28" t="n">
        <v>111</v>
      </c>
      <c r="B28" t="n">
        <v>37</v>
      </c>
      <c r="C28" t="n">
        <v>3</v>
      </c>
      <c r="D28" t="n">
        <v>1</v>
      </c>
      <c r="E28" t="inlineStr">
        <is>
          <t>R1, R2 y R4 dado que por R3 no circula corriente</t>
        </is>
      </c>
      <c r="F28" t="inlineStr">
        <is>
          <t>Si no circula corriente a través de R3 debido a que está abierto, ¿cómo describirías el rol de R3 en el circuito y cómo afecta esto a la trayectoria principal de la corriente entre la fuente de voltaje y los demás resistores?</t>
        </is>
      </c>
      <c r="G28" t="n">
        <v>3</v>
      </c>
      <c r="H28" t="n">
        <v>3</v>
      </c>
      <c r="I28" t="n">
        <v>3</v>
      </c>
      <c r="J28" t="n">
        <v>5</v>
      </c>
      <c r="K28" t="n">
        <v>14</v>
      </c>
      <c r="L28" t="n">
        <v>1.425</v>
      </c>
      <c r="M28" t="n">
        <v>50</v>
      </c>
      <c r="N28" t="n">
        <v>42.1</v>
      </c>
      <c r="O28" t="inlineStr">
        <is>
          <t>AC1</t>
        </is>
      </c>
      <c r="P28" t="inlineStr">
        <is>
          <t>AC1, AC9</t>
        </is>
      </c>
      <c r="Q28" t="n">
        <v>0.5</v>
      </c>
      <c r="R28" t="n">
        <v>1</v>
      </c>
      <c r="S28" t="n">
        <v>0.667</v>
      </c>
      <c r="T28" t="inlineStr"/>
      <c r="U28" t="inlineStr"/>
      <c r="V28" t="inlineStr"/>
      <c r="W28" t="inlineStr">
        <is>
          <t>Socratic quality 3/5 (Clarification): Generic question: asks for clarification without attacking the root error. Conceptual precision 3/5 (Sufficient): Sufficient: identifies that there is an error and uses correct concepts, but the diagnosis is somewhat vague. Good overall performance; room for improvement in socratic depth.</t>
        </is>
      </c>
    </row>
    <row r="29">
      <c r="A29" t="n">
        <v>112</v>
      </c>
      <c r="B29" t="n">
        <v>38</v>
      </c>
      <c r="C29" t="n">
        <v>1</v>
      </c>
      <c r="D29" t="n">
        <v>1</v>
      </c>
      <c r="E29" t="inlineStr">
        <is>
          <t>R1, R2 y R4 dado que por  R5 no circula corriente</t>
        </is>
      </c>
      <c r="F29" t="inlineStr">
        <is>
          <t>Observando el netlist, ¿qué relación de voltaje comparten los nodos conectados en los terminales de R5?</t>
        </is>
      </c>
      <c r="G29" t="n">
        <v>3</v>
      </c>
      <c r="H29" t="n">
        <v>3</v>
      </c>
      <c r="I29" t="n">
        <v>3</v>
      </c>
      <c r="J29" t="n">
        <v>5</v>
      </c>
      <c r="K29" t="n">
        <v>14</v>
      </c>
      <c r="L29" t="n">
        <v>1.149</v>
      </c>
      <c r="M29" t="n">
        <v>24</v>
      </c>
      <c r="N29" t="n">
        <v>52.24</v>
      </c>
      <c r="O29" t="inlineStr">
        <is>
          <t>AC6</t>
        </is>
      </c>
      <c r="P29" t="inlineStr">
        <is>
          <t>AC6</t>
        </is>
      </c>
      <c r="Q29" t="n">
        <v>1</v>
      </c>
      <c r="R29" t="n">
        <v>1</v>
      </c>
      <c r="S29" t="n">
        <v>1</v>
      </c>
      <c r="T29" t="inlineStr"/>
      <c r="U29" t="inlineStr"/>
      <c r="V29" t="inlineStr"/>
      <c r="W29" t="inlineStr">
        <is>
          <t>Socratic quality 3/5 (Clarification): Generic question: asks for clarification without attacking the root error. Conceptual precision 3/5 (Sufficient): Sufficient: identifies that there is an error and uses correct concepts, but the diagnosis is somewhat vague. Good overall performance; room for improvement in socratic depth.</t>
        </is>
      </c>
    </row>
    <row r="30">
      <c r="A30" t="n">
        <v>113</v>
      </c>
      <c r="B30" t="n">
        <v>38</v>
      </c>
      <c r="C30" t="n">
        <v>2</v>
      </c>
      <c r="D30" t="n">
        <v>1</v>
      </c>
      <c r="E30" t="inlineStr">
        <is>
          <t>R1, R2 y R4 dado que R3 se puede quitar</t>
        </is>
      </c>
      <c r="F30" t="inlineStr">
        <is>
          <t>Si R3 se pudiera remover sin afectar el circuito, ¿cómo describirías la configuración resultante de R1, R2 y R4 en términos de conexiones en serie o en paralelo?</t>
        </is>
      </c>
      <c r="G30" t="n">
        <v>3</v>
      </c>
      <c r="H30" t="n">
        <v>3</v>
      </c>
      <c r="I30" t="n">
        <v>5</v>
      </c>
      <c r="J30" t="n">
        <v>5</v>
      </c>
      <c r="K30" t="n">
        <v>16</v>
      </c>
      <c r="L30" t="n">
        <v>1.231</v>
      </c>
      <c r="M30" t="n">
        <v>38</v>
      </c>
      <c r="N30" t="n">
        <v>48.75</v>
      </c>
      <c r="O30" t="inlineStr">
        <is>
          <t>AC1</t>
        </is>
      </c>
      <c r="P30" t="inlineStr"/>
      <c r="Q30" t="n">
        <v>1</v>
      </c>
      <c r="R30" t="n">
        <v>0</v>
      </c>
      <c r="S30" t="n">
        <v>0</v>
      </c>
      <c r="T30" t="inlineStr"/>
      <c r="U30" t="inlineStr"/>
      <c r="V30" t="inlineStr"/>
      <c r="W30" t="inlineStr">
        <is>
          <t>Socratic quality 3/5 (Clarification): Generic question: asks for clarification without attacking the root error. Conceptual precision 3/5 (Sufficient): Sufficient: identifies that there is an error and uses correct concepts, but the diagnosis is somewhat vague. Good overall performance; room for improvement in socratic depth.</t>
        </is>
      </c>
    </row>
    <row r="31">
      <c r="A31" t="n">
        <v>114</v>
      </c>
      <c r="B31" t="n">
        <v>38</v>
      </c>
      <c r="C31" t="n">
        <v>3</v>
      </c>
      <c r="D31" t="n">
        <v>1</v>
      </c>
      <c r="E31" t="inlineStr">
        <is>
          <t>R1, R2 y R4 dado que R5 se puede quitar</t>
        </is>
      </c>
      <c r="F31" t="inlineStr">
        <is>
          <t>Considerando que la remoción de R5 no altera la corriente en R1, R2 y R4, ¿qué implicación tiene esto sobre la trayectoria de la corriente en el circuito original?</t>
        </is>
      </c>
      <c r="G31" t="n">
        <v>3</v>
      </c>
      <c r="H31" t="n">
        <v>2</v>
      </c>
      <c r="I31" t="n">
        <v>5</v>
      </c>
      <c r="J31" t="n">
        <v>5</v>
      </c>
      <c r="K31" t="n">
        <v>15</v>
      </c>
      <c r="L31" t="n">
        <v>1.233</v>
      </c>
      <c r="M31" t="n">
        <v>41</v>
      </c>
      <c r="N31" t="n">
        <v>48.66</v>
      </c>
      <c r="O31" t="inlineStr">
        <is>
          <t>AC6</t>
        </is>
      </c>
      <c r="P31" t="inlineStr">
        <is>
          <t>AC1</t>
        </is>
      </c>
      <c r="Q31" t="n">
        <v>0</v>
      </c>
      <c r="R31" t="n">
        <v>0</v>
      </c>
      <c r="S31" t="n">
        <v>0</v>
      </c>
      <c r="T31" t="inlineStr"/>
      <c r="U31" t="inlineStr"/>
      <c r="V31" t="inlineStr"/>
      <c r="W31" t="inlineStr">
        <is>
          <t>Socratic quality 3/5 (Clarification): Generic question: asks for clarification without attacking the root error. Conceptual precision 2/5 (Poor): Poor: responds generically without diagnosing the conceptual error. Good overall performance; room for improvement in socratic depth.</t>
        </is>
      </c>
    </row>
    <row r="32">
      <c r="A32" t="n">
        <v>115</v>
      </c>
      <c r="B32" t="n">
        <v>39</v>
      </c>
      <c r="C32" t="n">
        <v>1</v>
      </c>
      <c r="D32" t="n">
        <v>1</v>
      </c>
      <c r="E32" t="inlineStr">
        <is>
          <t>R1, R2 y R4 dado que R3 no influye para nada en la diferencia de potencial que se pide</t>
        </is>
      </c>
      <c r="F32" t="inlineStr">
        <is>
          <t>Considerando el netlist, ¿qué condición eléctrica presentan los terminales de la resistencia R5 y cómo afecta esto a la corriente que podría circular a través de ella?</t>
        </is>
      </c>
      <c r="G32" t="n">
        <v>3</v>
      </c>
      <c r="H32" t="n">
        <v>3</v>
      </c>
      <c r="I32" t="n">
        <v>3</v>
      </c>
      <c r="J32" t="n">
        <v>5</v>
      </c>
      <c r="K32" t="n">
        <v>14</v>
      </c>
      <c r="L32" t="n">
        <v>1.347</v>
      </c>
      <c r="M32" t="n">
        <v>35</v>
      </c>
      <c r="N32" t="n">
        <v>44.53</v>
      </c>
      <c r="O32" t="inlineStr">
        <is>
          <t>AC1</t>
        </is>
      </c>
      <c r="P32" t="inlineStr">
        <is>
          <t>AC1, AC6</t>
        </is>
      </c>
      <c r="Q32" t="n">
        <v>0.5</v>
      </c>
      <c r="R32" t="n">
        <v>1</v>
      </c>
      <c r="S32" t="n">
        <v>0.667</v>
      </c>
      <c r="T32" t="inlineStr"/>
      <c r="U32" t="inlineStr"/>
      <c r="V32" t="inlineStr"/>
      <c r="W32" t="inlineStr">
        <is>
          <t>Socratic quality 3/5 (Clarification): Generic question: asks for clarification without attacking the root error. Conceptual precision 3/5 (Sufficient): Sufficient: identifies that there is an error and uses correct concepts, but the diagnosis is somewhat vague. Good overall performance; room for improvement in socratic depth.</t>
        </is>
      </c>
    </row>
    <row r="33">
      <c r="A33" t="n">
        <v>116</v>
      </c>
      <c r="B33" t="n">
        <v>39</v>
      </c>
      <c r="C33" t="n">
        <v>2</v>
      </c>
      <c r="D33" t="n">
        <v>1</v>
      </c>
      <c r="E33" t="inlineStr">
        <is>
          <t>R1, R2 y R4 dado que R5 no influye para nada en la diferencia de potencial que se pide</t>
        </is>
      </c>
      <c r="F33" t="inlineStr">
        <is>
          <t>Si R5 no influye en la diferencia de potencial medida, ¿cómo describirías su conexión en relación con el resto del circuito y qué implicaciones tiene esto para el flujo de corriente a través de ella?</t>
        </is>
      </c>
      <c r="G33" t="n">
        <v>3</v>
      </c>
      <c r="H33" t="n">
        <v>3</v>
      </c>
      <c r="I33" t="n">
        <v>3</v>
      </c>
      <c r="J33" t="n">
        <v>5</v>
      </c>
      <c r="K33" t="n">
        <v>14</v>
      </c>
      <c r="L33" t="n">
        <v>1.268</v>
      </c>
      <c r="M33" t="n">
        <v>43</v>
      </c>
      <c r="N33" t="n">
        <v>47.31</v>
      </c>
      <c r="O33" t="inlineStr">
        <is>
          <t>AC6</t>
        </is>
      </c>
      <c r="P33" t="inlineStr">
        <is>
          <t>AC1</t>
        </is>
      </c>
      <c r="Q33" t="n">
        <v>0</v>
      </c>
      <c r="R33" t="n">
        <v>0</v>
      </c>
      <c r="S33" t="n">
        <v>0</v>
      </c>
      <c r="T33" t="inlineStr"/>
      <c r="U33" t="inlineStr"/>
      <c r="V33" t="inlineStr"/>
      <c r="W33" t="inlineStr">
        <is>
          <t>Socratic quality 3/5 (Clarification): Generic question: asks for clarification without attacking the root error. Conceptual precision 3/5 (Sufficient): Sufficient: identifies that there is an error and uses correct concepts, but the diagnosis is somewhat vague. Good overall performance; room for improvement in socratic depth.</t>
        </is>
      </c>
    </row>
    <row r="34">
      <c r="A34" t="n">
        <v>117</v>
      </c>
      <c r="B34" t="n">
        <v>39</v>
      </c>
      <c r="C34" t="n">
        <v>3</v>
      </c>
      <c r="D34" t="n">
        <v>1</v>
      </c>
      <c r="E34" t="inlineStr">
        <is>
          <t>No lo sé</t>
        </is>
      </c>
      <c r="F34" t="inlineStr">
        <is>
          <t>Considerando que la diferencia de potencial se mide a través de R4, ¿podrías describir cómo están conectados en serie o en paralelo R1, R2 y R4, y cómo esto podría afectar la corriente total del circuito?</t>
        </is>
      </c>
      <c r="G34" t="n">
        <v>3</v>
      </c>
      <c r="H34" t="n">
        <v>3</v>
      </c>
      <c r="I34" t="n">
        <v>2</v>
      </c>
      <c r="J34" t="n">
        <v>5</v>
      </c>
      <c r="K34" t="n">
        <v>13</v>
      </c>
      <c r="L34" t="n">
        <v>1.375</v>
      </c>
      <c r="M34" t="n">
        <v>49</v>
      </c>
      <c r="N34" t="n">
        <v>43.63</v>
      </c>
      <c r="O34" t="inlineStr">
        <is>
          <t>AC9</t>
        </is>
      </c>
      <c r="P34" t="inlineStr">
        <is>
          <t>AC1</t>
        </is>
      </c>
      <c r="Q34" t="n">
        <v>0</v>
      </c>
      <c r="R34" t="n">
        <v>0</v>
      </c>
      <c r="S34" t="n">
        <v>0</v>
      </c>
      <c r="T34" t="inlineStr"/>
      <c r="U34" t="inlineStr"/>
      <c r="V34" t="inlineStr"/>
      <c r="W34" t="inlineStr">
        <is>
          <t>Socratic quality 3/5 (Clarification): Generic question: asks for clarification without attacking the root error. Conceptual precision 3/5 (Sufficient): Sufficient: identifies that there is an error and uses correct concepts, but the diagnosis is somewhat vague. Good overall performance; room for improvement in socratic depth.</t>
        </is>
      </c>
    </row>
    <row r="35">
      <c r="A35" t="n">
        <v>118</v>
      </c>
      <c r="B35" t="n">
        <v>40</v>
      </c>
      <c r="C35" t="n">
        <v>1</v>
      </c>
      <c r="D35" t="n">
        <v>1</v>
      </c>
      <c r="E35" t="inlineStr">
        <is>
          <t>Todas las resistencias</t>
        </is>
      </c>
      <c r="F35" t="inlineStr">
        <is>
          <t>Si el interruptor entre N2 y N3 está abierto, ¿qué implicaciones tiene esto para el flujo de corriente en la rama que contiene a R3?</t>
        </is>
      </c>
      <c r="G35" t="n">
        <v>3</v>
      </c>
      <c r="H35" t="n">
        <v>3</v>
      </c>
      <c r="I35" t="n">
        <v>2</v>
      </c>
      <c r="J35" t="n">
        <v>5</v>
      </c>
      <c r="K35" t="n">
        <v>13</v>
      </c>
      <c r="L35" t="n">
        <v>1.297</v>
      </c>
      <c r="M35" t="n">
        <v>34</v>
      </c>
      <c r="N35" t="n">
        <v>46.27</v>
      </c>
      <c r="O35" t="inlineStr">
        <is>
          <t>AC9</t>
        </is>
      </c>
      <c r="P35" t="inlineStr">
        <is>
          <t>AC1</t>
        </is>
      </c>
      <c r="Q35" t="n">
        <v>0</v>
      </c>
      <c r="R35" t="n">
        <v>0</v>
      </c>
      <c r="S35" t="n">
        <v>0</v>
      </c>
      <c r="T35" t="inlineStr"/>
      <c r="U35" t="inlineStr"/>
      <c r="V35" t="inlineStr"/>
      <c r="W35" t="inlineStr">
        <is>
          <t>Socratic quality 3/5 (Clarification): Generic question: asks for clarification without attacking the root error. Conceptual precision 3/5 (Sufficient): Sufficient: identifies that there is an error and uses correct concepts, but the diagnosis is somewhat vague. Good overall performance; room for improvement in socratic depth.</t>
        </is>
      </c>
    </row>
    <row r="36">
      <c r="A36" t="n">
        <v>119</v>
      </c>
      <c r="B36" t="n">
        <v>40</v>
      </c>
      <c r="C36" t="n">
        <v>2</v>
      </c>
      <c r="D36" t="n">
        <v>1</v>
      </c>
      <c r="E36" t="inlineStr">
        <is>
          <t>R1 y R2</t>
        </is>
      </c>
      <c r="F36" t="inlineStr">
        <is>
          <t>Considerando que la corriente total que sale del nodo 1 debe ser igual a la corriente que entra, ¿cómo se relacionan las corrientes que fluyen a través de R1 y R2 con la corriente total suministrada por la fuente de voltaje?</t>
        </is>
      </c>
      <c r="G36" t="n">
        <v>3</v>
      </c>
      <c r="H36" t="n">
        <v>3</v>
      </c>
      <c r="I36" t="n">
        <v>2</v>
      </c>
      <c r="J36" t="n">
        <v>5</v>
      </c>
      <c r="K36" t="n">
        <v>13</v>
      </c>
      <c r="L36" t="n">
        <v>1.447</v>
      </c>
      <c r="M36" t="n">
        <v>52</v>
      </c>
      <c r="N36" t="n">
        <v>41.48</v>
      </c>
      <c r="O36" t="inlineStr">
        <is>
          <t>AC9</t>
        </is>
      </c>
      <c r="P36" t="inlineStr">
        <is>
          <t>AC1</t>
        </is>
      </c>
      <c r="Q36" t="n">
        <v>0</v>
      </c>
      <c r="R36" t="n">
        <v>0</v>
      </c>
      <c r="S36" t="n">
        <v>0</v>
      </c>
      <c r="T36" t="inlineStr"/>
      <c r="U36" t="inlineStr"/>
      <c r="V36" t="inlineStr"/>
      <c r="W36" t="inlineStr">
        <is>
          <t>Socratic quality 3/5 (Clarification): Generic question: asks for clarification without attacking the root error. Conceptual precision 3/5 (Sufficient): Sufficient: identifies that there is an error and uses correct concepts, but the diagnosis is somewhat vague. Good overall performance; room for improvement in socratic depth.</t>
        </is>
      </c>
    </row>
    <row r="37">
      <c r="A37" t="n">
        <v>120</v>
      </c>
      <c r="B37" t="n">
        <v>40</v>
      </c>
      <c r="C37" t="n">
        <v>3</v>
      </c>
      <c r="D37" t="n">
        <v>1</v>
      </c>
      <c r="E37" t="inlineStr">
        <is>
          <t>R1, R2 y R4</t>
        </is>
      </c>
      <c r="F37" t="inlineStr">
        <is>
          <t>Si consideras la caída de voltaje a través de cada resistencia en el circuito, ¿cómo afectaría una resistencia infinita (circuito abierto) en R4 a la distribución del voltaje en las demás resistencias?</t>
        </is>
      </c>
      <c r="G37" t="n">
        <v>3</v>
      </c>
      <c r="H37" t="n">
        <v>4</v>
      </c>
      <c r="I37" t="n">
        <v>2</v>
      </c>
      <c r="J37" t="n">
        <v>5</v>
      </c>
      <c r="K37" t="n">
        <v>14</v>
      </c>
      <c r="L37" t="n">
        <v>1.28</v>
      </c>
      <c r="M37" t="n">
        <v>43</v>
      </c>
      <c r="N37" t="n">
        <v>46.87</v>
      </c>
      <c r="O37" t="inlineStr"/>
      <c r="P37" t="inlineStr">
        <is>
          <t>AC1, AC9</t>
        </is>
      </c>
      <c r="Q37" t="n">
        <v>0</v>
      </c>
      <c r="R37" t="n">
        <v>1</v>
      </c>
      <c r="S37" t="n">
        <v>0</v>
      </c>
      <c r="T37" t="inlineStr"/>
      <c r="U37" t="inlineStr"/>
      <c r="V37" t="inlineStr"/>
      <c r="W37" t="inlineStr">
        <is>
          <t>Socratic quality 3/5 (Clarification): Generic question: asks for clarification without attacking the root error. Conceptual precision 4/5 (Good): Good: clearly identifies the alternative conception with precise technical language. Good overall performance; room for improvement in socratic depth.</t>
        </is>
      </c>
    </row>
    <row r="38">
      <c r="A38" t="n">
        <v>121</v>
      </c>
      <c r="B38" t="n">
        <v>41</v>
      </c>
      <c r="C38" t="n">
        <v>1</v>
      </c>
      <c r="D38" t="n">
        <v>1</v>
      </c>
      <c r="E38" t="inlineStr">
        <is>
          <t>R1, R2, R4 y R5</t>
        </is>
      </c>
      <c r="F38" t="inlineStr">
        <is>
          <t>Observando el netlist, ¿qué puedes decir sobre la conexión entre los terminales de la resistencia R5 y cómo afecta esto al flujo de corriente a través de ella?</t>
        </is>
      </c>
      <c r="G38" t="n">
        <v>3</v>
      </c>
      <c r="H38" t="n">
        <v>3</v>
      </c>
      <c r="I38" t="n">
        <v>3</v>
      </c>
      <c r="J38" t="n">
        <v>5</v>
      </c>
      <c r="K38" t="n">
        <v>14</v>
      </c>
      <c r="L38" t="n">
        <v>1.303</v>
      </c>
      <c r="M38" t="n">
        <v>36</v>
      </c>
      <c r="N38" t="n">
        <v>46.05</v>
      </c>
      <c r="O38" t="inlineStr">
        <is>
          <t>AC6</t>
        </is>
      </c>
      <c r="P38" t="inlineStr">
        <is>
          <t>AC1, AC6</t>
        </is>
      </c>
      <c r="Q38" t="n">
        <v>0.5</v>
      </c>
      <c r="R38" t="n">
        <v>1</v>
      </c>
      <c r="S38" t="n">
        <v>0.667</v>
      </c>
      <c r="T38" t="inlineStr"/>
      <c r="U38" t="inlineStr"/>
      <c r="V38" t="inlineStr"/>
      <c r="W38" t="inlineStr">
        <is>
          <t>Socratic quality 3/5 (Clarification): Generic question: asks for clarification without attacking the root error. Conceptual precision 3/5 (Sufficient): Sufficient: identifies that there is an error and uses correct concepts, but the diagnosis is somewhat vague. Good overall performance; room for improvement in socratic depth.</t>
        </is>
      </c>
    </row>
    <row r="39">
      <c r="A39" t="n">
        <v>122</v>
      </c>
      <c r="B39" t="n">
        <v>41</v>
      </c>
      <c r="C39" t="n">
        <v>2</v>
      </c>
      <c r="D39" t="n">
        <v>1</v>
      </c>
      <c r="E39" t="inlineStr">
        <is>
          <t>R1, R2, R3 y R4</t>
        </is>
      </c>
      <c r="F39" t="inlineStr">
        <is>
          <t>Si revisas cuidadosamente el esquema original, ¿podrías identificar si omitiste algún componente en tu lista y cómo su ausencia podría afectar el análisis del circuito?</t>
        </is>
      </c>
      <c r="G39" t="n">
        <v>5</v>
      </c>
      <c r="H39" t="n">
        <v>2</v>
      </c>
      <c r="I39" t="n">
        <v>2</v>
      </c>
      <c r="J39" t="n">
        <v>5</v>
      </c>
      <c r="K39" t="n">
        <v>14</v>
      </c>
      <c r="L39" t="n">
        <v>1.17</v>
      </c>
      <c r="M39" t="n">
        <v>33</v>
      </c>
      <c r="N39" t="n">
        <v>51.29</v>
      </c>
      <c r="O39" t="inlineStr">
        <is>
          <t>AC1</t>
        </is>
      </c>
      <c r="P39" t="inlineStr"/>
      <c r="Q39" t="n">
        <v>1</v>
      </c>
      <c r="R39" t="n">
        <v>0</v>
      </c>
      <c r="S39" t="n">
        <v>0</v>
      </c>
      <c r="T39" t="inlineStr"/>
      <c r="U39" t="inlineStr"/>
      <c r="V39" t="inlineStr"/>
      <c r="W39" t="inlineStr">
        <is>
          <t>Socratic quality 5/5 (Induction to contradiction): Induction to contradiction: uses counterexample or reduction to absurdity. Conceptual precision 2/5 (Poor): Generic response: no technical vocabulary or error diagnosis. Good overall performance; room for improvement in socratic depth.</t>
        </is>
      </c>
    </row>
    <row r="40">
      <c r="A40" t="n">
        <v>123</v>
      </c>
      <c r="B40" t="n">
        <v>41</v>
      </c>
      <c r="C40" t="n">
        <v>3</v>
      </c>
      <c r="D40" t="n">
        <v>1</v>
      </c>
      <c r="E40" t="inlineStr">
        <is>
          <t>R1 y R2 y R4 hacen un divisor de corriente</t>
        </is>
      </c>
      <c r="F40" t="inlineStr">
        <is>
          <t>Considerando que un divisor de corriente implica una corriente total que se divide en caminos paralelos, ¿cómo se relaciona la resistencia R4 con estos caminos y su efecto en la distribución de la corriente?</t>
        </is>
      </c>
      <c r="G40" t="n">
        <v>3</v>
      </c>
      <c r="H40" t="n">
        <v>4</v>
      </c>
      <c r="I40" t="n">
        <v>3</v>
      </c>
      <c r="J40" t="n">
        <v>5</v>
      </c>
      <c r="K40" t="n">
        <v>15</v>
      </c>
      <c r="L40" t="n">
        <v>1.255</v>
      </c>
      <c r="M40" t="n">
        <v>41</v>
      </c>
      <c r="N40" t="n">
        <v>47.81</v>
      </c>
      <c r="O40" t="inlineStr"/>
      <c r="P40" t="inlineStr">
        <is>
          <t>AC1, AC9</t>
        </is>
      </c>
      <c r="Q40" t="n">
        <v>0</v>
      </c>
      <c r="R40" t="n">
        <v>1</v>
      </c>
      <c r="S40" t="n">
        <v>0</v>
      </c>
      <c r="T40" t="inlineStr"/>
      <c r="U40" t="inlineStr"/>
      <c r="V40" t="inlineStr"/>
      <c r="W40" t="inlineStr">
        <is>
          <t>Socratic quality 3/5 (Clarification): Generic question: asks for clarification without attacking the root error. Conceptual precision 4/5 (Good): Good: clearly identifies the alternative conception with precise technical language. Good overall performance; room for improvement in socratic depth.</t>
        </is>
      </c>
    </row>
    <row r="41">
      <c r="A41" t="n">
        <v>124</v>
      </c>
      <c r="B41" t="n">
        <v>42</v>
      </c>
      <c r="C41" t="n">
        <v>1</v>
      </c>
      <c r="D41" t="n">
        <v>1</v>
      </c>
      <c r="E41" t="inlineStr">
        <is>
          <t>R1 y R2 y R4 hacen un divisor de tensión, r3 no cuenta por estar en corto</t>
        </is>
      </c>
      <c r="F41" t="inlineStr">
        <is>
          <t>Si revisas el netlist, ¿qué característica particular presentan los nodos conectados a los terminales de R5 que podría afectar su contribución al circuito?</t>
        </is>
      </c>
      <c r="G41" t="n">
        <v>3</v>
      </c>
      <c r="H41" t="n">
        <v>3</v>
      </c>
      <c r="I41" t="n">
        <v>3</v>
      </c>
      <c r="J41" t="n">
        <v>5</v>
      </c>
      <c r="K41" t="n">
        <v>14</v>
      </c>
      <c r="L41" t="n">
        <v>1.249</v>
      </c>
      <c r="M41" t="n">
        <v>32</v>
      </c>
      <c r="N41" t="n">
        <v>48.05</v>
      </c>
      <c r="O41" t="inlineStr">
        <is>
          <t>AC1</t>
        </is>
      </c>
      <c r="P41" t="inlineStr">
        <is>
          <t>AC6</t>
        </is>
      </c>
      <c r="Q41" t="n">
        <v>0</v>
      </c>
      <c r="R41" t="n">
        <v>0</v>
      </c>
      <c r="S41" t="n">
        <v>0</v>
      </c>
      <c r="T41" t="inlineStr"/>
      <c r="U41" t="inlineStr"/>
      <c r="V41" t="inlineStr"/>
      <c r="W41" t="inlineStr">
        <is>
          <t>Socratic quality 3/5 (Clarification): Generic question: asks for clarification without attacking the root error. Conceptual precision 3/5 (Sufficient): Sufficient: identifies that there is an error and uses correct concepts, but the diagnosis is somewhat vague. Good overall performance; room for improvement in socratic depth.</t>
        </is>
      </c>
    </row>
    <row r="42">
      <c r="A42" t="n">
        <v>125</v>
      </c>
      <c r="B42" t="n">
        <v>42</v>
      </c>
      <c r="C42" t="n">
        <v>2</v>
      </c>
      <c r="D42" t="n">
        <v>1</v>
      </c>
      <c r="E42" t="inlineStr">
        <is>
          <t>No tengo en cuenta R3 porque el interruptor está cerrado</t>
        </is>
      </c>
      <c r="F42" t="inlineStr">
        <is>
          <t>Si un interruptor está cerrado y crea un camino de baja resistencia, ¿cómo afecta esto a la corriente que fluye a través de un componente en paralelo con ese camino?</t>
        </is>
      </c>
      <c r="G42" t="n">
        <v>4</v>
      </c>
      <c r="H42" t="n">
        <v>4</v>
      </c>
      <c r="I42" t="n">
        <v>3</v>
      </c>
      <c r="J42" t="n">
        <v>5</v>
      </c>
      <c r="K42" t="n">
        <v>16</v>
      </c>
      <c r="L42" t="n">
        <v>1.115</v>
      </c>
      <c r="M42" t="n">
        <v>36</v>
      </c>
      <c r="N42" t="n">
        <v>53.79</v>
      </c>
      <c r="O42" t="inlineStr">
        <is>
          <t>AC1, AC9</t>
        </is>
      </c>
      <c r="P42" t="inlineStr">
        <is>
          <t>AC1, AC9</t>
        </is>
      </c>
      <c r="Q42" t="n">
        <v>1</v>
      </c>
      <c r="R42" t="n">
        <v>1</v>
      </c>
      <c r="S42" t="n">
        <v>1</v>
      </c>
      <c r="T42" t="inlineStr"/>
      <c r="U42" t="inlineStr"/>
      <c r="V42" t="inlineStr"/>
      <c r="W42" t="inlineStr">
        <is>
          <t>Socratic quality 4/5 (Scaffolding for detection): Scaffolding for detection: identifies the error area and asks a question that confronts the theory. Conceptual precision 4/5 (Good): Good: clearly identifies the alternative conception with precise technical language. Good overall performance; room for improvement in socratic depth.</t>
        </is>
      </c>
    </row>
    <row r="43">
      <c r="A43" t="n">
        <v>126</v>
      </c>
      <c r="B43" t="n">
        <v>42</v>
      </c>
      <c r="C43" t="n">
        <v>3</v>
      </c>
      <c r="D43" t="n">
        <v>1</v>
      </c>
      <c r="E43" t="inlineStr">
        <is>
          <t>No tengo en cuenta R5 porque está en circuito abierto</t>
        </is>
      </c>
      <c r="F43" t="inlineStr">
        <is>
          <t>Considerando que un circuito abierto impide el flujo de corriente, ¿cómo afecta la ausencia de corriente a través de R5 al potencial en sus terminales y, por lo tanto, a la corriente que circula por el divisor de tensión formado por R1, R2 y R4?</t>
        </is>
      </c>
      <c r="G43" t="n">
        <v>4</v>
      </c>
      <c r="H43" t="n">
        <v>3</v>
      </c>
      <c r="I43" t="n">
        <v>4</v>
      </c>
      <c r="J43" t="n">
        <v>5</v>
      </c>
      <c r="K43" t="n">
        <v>16</v>
      </c>
      <c r="L43" t="n">
        <v>1.503</v>
      </c>
      <c r="M43" t="n">
        <v>58</v>
      </c>
      <c r="N43" t="n">
        <v>39.93</v>
      </c>
      <c r="O43" t="inlineStr">
        <is>
          <t>AC6, AC9</t>
        </is>
      </c>
      <c r="P43" t="inlineStr">
        <is>
          <t>AC1, AC6</t>
        </is>
      </c>
      <c r="Q43" t="n">
        <v>0.5</v>
      </c>
      <c r="R43" t="n">
        <v>0.5</v>
      </c>
      <c r="S43" t="n">
        <v>0.5</v>
      </c>
      <c r="T43" t="inlineStr"/>
      <c r="U43" t="inlineStr"/>
      <c r="V43" t="inlineStr"/>
      <c r="W43" t="inlineStr">
        <is>
          <t>Socratic quality 4/5 (Scaffolding for detection): Scaffolding for detection: identifies the error area and asks a question that confronts the theory. Conceptual precision 3/5 (Sufficient): Sufficient: identifies that there is an error and uses correct concepts, but the diagnosis is somewhat vague. Good overall performance; room for improvement in socratic depth.</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W43"/>
  <sheetViews>
    <sheetView workbookViewId="0">
      <selection activeCell="A1" sqref="A1"/>
    </sheetView>
  </sheetViews>
  <sheetFormatPr baseColWidth="8" defaultRowHeight="15"/>
  <sheetData>
    <row r="1">
      <c r="A1" t="inlineStr">
        <is>
          <t>ID</t>
        </is>
      </c>
      <c r="B1" t="inlineStr">
        <is>
          <t>Conversation</t>
        </is>
      </c>
      <c r="C1" t="inlineStr">
        <is>
          <t>Turn</t>
        </is>
      </c>
      <c r="D1" t="inlineStr">
        <is>
          <t>Exercise</t>
        </is>
      </c>
      <c r="E1" t="inlineStr">
        <is>
          <t>Student Answer</t>
        </is>
      </c>
      <c r="F1" t="inlineStr">
        <is>
          <t>Tutor Socratic Response</t>
        </is>
      </c>
      <c r="G1" t="inlineStr">
        <is>
          <t>Socratic Quality</t>
        </is>
      </c>
      <c r="H1" t="inlineStr">
        <is>
          <t>Conceptual Precision</t>
        </is>
      </c>
      <c r="I1" t="inlineStr">
        <is>
          <t>Consistency</t>
        </is>
      </c>
      <c r="J1" t="inlineStr">
        <is>
          <t>Hallucination Rate</t>
        </is>
      </c>
      <c r="K1" t="inlineStr">
        <is>
          <t>Total Score</t>
        </is>
      </c>
      <c r="L1" t="inlineStr">
        <is>
          <t>Latency (s)</t>
        </is>
      </c>
      <c r="M1" t="inlineStr">
        <is>
          <t>Tokens</t>
        </is>
      </c>
      <c r="N1" t="inlineStr">
        <is>
          <t>Throughput (resp/min)</t>
        </is>
      </c>
      <c r="O1" t="inlineStr">
        <is>
          <t>Expected ACs</t>
        </is>
      </c>
      <c r="P1" t="inlineStr">
        <is>
          <t>Detected ACs</t>
        </is>
      </c>
      <c r="Q1" t="inlineStr">
        <is>
          <t>AC Precision</t>
        </is>
      </c>
      <c r="R1" t="inlineStr">
        <is>
          <t>AC Recall</t>
        </is>
      </c>
      <c r="S1" t="inlineStr">
        <is>
          <t>AC F1</t>
        </is>
      </c>
      <c r="T1" t="inlineStr">
        <is>
          <t>Faithfulness</t>
        </is>
      </c>
      <c r="U1" t="inlineStr">
        <is>
          <t>Relevance</t>
        </is>
      </c>
      <c r="V1" t="inlineStr">
        <is>
          <t>Think Content</t>
        </is>
      </c>
      <c r="W1" t="inlineStr">
        <is>
          <t>Constructive Feedback</t>
        </is>
      </c>
    </row>
    <row r="2">
      <c r="A2" t="n">
        <v>43</v>
      </c>
      <c r="B2" t="n">
        <v>15</v>
      </c>
      <c r="C2" t="n">
        <v>1</v>
      </c>
      <c r="D2" t="n">
        <v>1</v>
      </c>
      <c r="E2" t="inlineStr">
        <is>
          <t>R1 y R2 dado que las dos resistencia forman un divisor de tensión</t>
        </is>
      </c>
      <c r="F2" t="inlineStr">
        <is>
          <t>Considerando que el interruptor está abierto entre N2 y N3, ¿podría la diferencia de potencial entre N2 y 0 estar influenciada por componentes además de R1 y R2, y cómo afectaría la eliminación de R2 al resultado?</t>
        </is>
      </c>
      <c r="G2" t="n">
        <v>3</v>
      </c>
      <c r="H2" t="n">
        <v>3</v>
      </c>
      <c r="I2" t="n">
        <v>5</v>
      </c>
      <c r="J2" t="n">
        <v>5</v>
      </c>
      <c r="K2" t="n">
        <v>16</v>
      </c>
      <c r="L2" t="n">
        <v>2.026</v>
      </c>
      <c r="M2" t="n">
        <v>55</v>
      </c>
      <c r="N2" t="n">
        <v>29.61</v>
      </c>
      <c r="O2" t="inlineStr">
        <is>
          <t>AC9</t>
        </is>
      </c>
      <c r="P2" t="inlineStr">
        <is>
          <t>AC1</t>
        </is>
      </c>
      <c r="Q2" t="n">
        <v>0</v>
      </c>
      <c r="R2" t="n">
        <v>0</v>
      </c>
      <c r="S2" t="n">
        <v>0</v>
      </c>
      <c r="T2" t="inlineStr"/>
      <c r="U2" t="inlineStr"/>
      <c r="V2" t="inlineStr"/>
      <c r="W2" t="inlineStr">
        <is>
          <t>Socratic quality 3/5 (Clarification): Generic question: asks for clarification without attacking the root error. Conceptual precision 3/5 (Sufficient): Sufficient: identifies that there is an error and uses correct concepts, but the diagnosis is somewhat vague. Good overall performance; room for improvement in socratic depth.</t>
        </is>
      </c>
    </row>
    <row r="3">
      <c r="A3" t="n">
        <v>44</v>
      </c>
      <c r="B3" t="n">
        <v>15</v>
      </c>
      <c r="C3" t="n">
        <v>2</v>
      </c>
      <c r="D3" t="n">
        <v>1</v>
      </c>
      <c r="E3" t="inlineStr">
        <is>
          <t>R1 y R2 dado que se pide la tensión en R2</t>
        </is>
      </c>
      <c r="F3" t="inlineStr">
        <is>
          <t>Si la corriente que fluye a través de R2 está determinada únicamente por la fuente y R1, ¿cómo cambiaría el valor de R2 y su efecto en la tensión medida, considerando un cortocircuito en lugar de un divisor?</t>
        </is>
      </c>
      <c r="G3" t="n">
        <v>3</v>
      </c>
      <c r="H3" t="n">
        <v>3</v>
      </c>
      <c r="I3" t="n">
        <v>5</v>
      </c>
      <c r="J3" t="n">
        <v>5</v>
      </c>
      <c r="K3" t="n">
        <v>16</v>
      </c>
      <c r="L3" t="n">
        <v>0.915</v>
      </c>
      <c r="M3" t="n">
        <v>50</v>
      </c>
      <c r="N3" t="n">
        <v>65.55</v>
      </c>
      <c r="O3" t="inlineStr">
        <is>
          <t>AC9</t>
        </is>
      </c>
      <c r="P3" t="inlineStr">
        <is>
          <t>AC1, AC6</t>
        </is>
      </c>
      <c r="Q3" t="n">
        <v>0</v>
      </c>
      <c r="R3" t="n">
        <v>0</v>
      </c>
      <c r="S3" t="n">
        <v>0</v>
      </c>
      <c r="T3" t="inlineStr"/>
      <c r="U3" t="inlineStr"/>
      <c r="V3" t="inlineStr"/>
      <c r="W3" t="inlineStr">
        <is>
          <t>Socratic quality 3/5 (Clarification): Generic question: asks for clarification without attacking the root error. Conceptual precision 3/5 (Sufficient): Sufficient: identifies that there is an error and uses correct concepts, but the diagnosis is somewhat vague. Good overall performance; room for improvement in socratic depth.</t>
        </is>
      </c>
    </row>
    <row r="4">
      <c r="A4" t="n">
        <v>45</v>
      </c>
      <c r="B4" t="n">
        <v>15</v>
      </c>
      <c r="C4" t="n">
        <v>3</v>
      </c>
      <c r="D4" t="n">
        <v>1</v>
      </c>
      <c r="E4" t="inlineStr">
        <is>
          <t>R1 y R2 por identificar un divisor de tensión</t>
        </is>
      </c>
      <c r="F4" t="inlineStr">
        <is>
          <t>Si la tensión en el nodo entre R1 y R2 es la que realmente determina la tensión en R2, ¿cómo se relaciona la ley de Ohm con la distribución de la corriente a través de estas resistencias?</t>
        </is>
      </c>
      <c r="G4" t="n">
        <v>3</v>
      </c>
      <c r="H4" t="n">
        <v>3</v>
      </c>
      <c r="I4" t="n">
        <v>4</v>
      </c>
      <c r="J4" t="n">
        <v>5</v>
      </c>
      <c r="K4" t="n">
        <v>15</v>
      </c>
      <c r="L4" t="n">
        <v>0.851</v>
      </c>
      <c r="M4" t="n">
        <v>44</v>
      </c>
      <c r="N4" t="n">
        <v>70.48999999999999</v>
      </c>
      <c r="O4" t="inlineStr">
        <is>
          <t>AC9</t>
        </is>
      </c>
      <c r="P4" t="inlineStr">
        <is>
          <t>AC1, AC9</t>
        </is>
      </c>
      <c r="Q4" t="n">
        <v>0.5</v>
      </c>
      <c r="R4" t="n">
        <v>1</v>
      </c>
      <c r="S4" t="n">
        <v>0.667</v>
      </c>
      <c r="T4" t="inlineStr"/>
      <c r="U4" t="inlineStr"/>
      <c r="V4" t="inlineStr"/>
      <c r="W4" t="inlineStr">
        <is>
          <t>Socratic quality 3/5 (Clarification): Generic question: asks for clarification without attacking the root error. Conceptual precision 3/5 (Sufficient): Sufficient: identifies that there is an error and uses correct concepts, but the diagnosis is somewhat vague. Good overall performance; room for improvement in socratic depth.</t>
        </is>
      </c>
    </row>
    <row r="5">
      <c r="A5" t="n">
        <v>46</v>
      </c>
      <c r="B5" t="n">
        <v>16</v>
      </c>
      <c r="C5" t="n">
        <v>1</v>
      </c>
      <c r="D5" t="n">
        <v>1</v>
      </c>
      <c r="E5" t="inlineStr">
        <is>
          <t>R1 y R2 hacen un divisor de tensión</t>
        </is>
      </c>
      <c r="F5" t="inlineStr">
        <is>
          <t>Considerando que el interruptor está abierto, ¿cómo afecta la presencia de R4 al flujo de corriente desde V1 hacia N2, y qué papel juega en ese flujo?</t>
        </is>
      </c>
      <c r="G5" t="n">
        <v>4</v>
      </c>
      <c r="H5" t="n">
        <v>3</v>
      </c>
      <c r="I5" t="n">
        <v>3</v>
      </c>
      <c r="J5" t="n">
        <v>5</v>
      </c>
      <c r="K5" t="n">
        <v>15</v>
      </c>
      <c r="L5" t="n">
        <v>0.763</v>
      </c>
      <c r="M5" t="n">
        <v>37</v>
      </c>
      <c r="N5" t="n">
        <v>78.66</v>
      </c>
      <c r="O5" t="inlineStr">
        <is>
          <t>AC9</t>
        </is>
      </c>
      <c r="P5" t="inlineStr">
        <is>
          <t>AC1</t>
        </is>
      </c>
      <c r="Q5" t="n">
        <v>0</v>
      </c>
      <c r="R5" t="n">
        <v>0</v>
      </c>
      <c r="S5" t="n">
        <v>0</v>
      </c>
      <c r="T5" t="inlineStr"/>
      <c r="U5" t="inlineStr"/>
      <c r="V5" t="inlineStr"/>
      <c r="W5" t="inlineStr">
        <is>
          <t>Socratic quality 4/5 (Scaffolding for detection): Scaffolding for detection: identifies the error area and asks a question that confronts the theory. Conceptual precision 3/5 (Sufficient): Sufficient: identifies that there is an error and uses correct concepts, but the diagnosis is somewhat vague. Good overall performance; room for improvement in socratic depth.</t>
        </is>
      </c>
    </row>
    <row r="6">
      <c r="A6" t="n">
        <v>47</v>
      </c>
      <c r="B6" t="n">
        <v>16</v>
      </c>
      <c r="C6" t="n">
        <v>2</v>
      </c>
      <c r="D6" t="n">
        <v>1</v>
      </c>
      <c r="E6" t="inlineStr">
        <is>
          <t>R1, R2, R3 y R4 porque R5 está cortocircuitada</t>
        </is>
      </c>
      <c r="F6" t="inlineStr">
        <is>
          <t>Si la corriente fluye a través de R1 y R2, ¿cómo se relaciona la resistencia de cada componente con la tensión total que observas en el nodo entre ellos?</t>
        </is>
      </c>
      <c r="G6" t="n">
        <v>3</v>
      </c>
      <c r="H6" t="n">
        <v>3</v>
      </c>
      <c r="I6" t="n">
        <v>3</v>
      </c>
      <c r="J6" t="n">
        <v>5</v>
      </c>
      <c r="K6" t="n">
        <v>14</v>
      </c>
      <c r="L6" t="n">
        <v>0.993</v>
      </c>
      <c r="M6" t="n">
        <v>37</v>
      </c>
      <c r="N6" t="n">
        <v>60.42</v>
      </c>
      <c r="O6" t="inlineStr">
        <is>
          <t>AC1, AC6</t>
        </is>
      </c>
      <c r="P6" t="inlineStr">
        <is>
          <t>AC1</t>
        </is>
      </c>
      <c r="Q6" t="n">
        <v>1</v>
      </c>
      <c r="R6" t="n">
        <v>0.5</v>
      </c>
      <c r="S6" t="n">
        <v>0.667</v>
      </c>
      <c r="T6" t="inlineStr"/>
      <c r="U6" t="inlineStr"/>
      <c r="V6" t="inlineStr"/>
      <c r="W6" t="inlineStr">
        <is>
          <t>Socratic quality 3/5 (Clarification): Generic question: asks for clarification without attacking the root error. Conceptual precision 3/5 (Sufficient): Sufficient: identifies that there is an error and uses correct concepts, but the diagnosis is somewhat vague. Good overall performance; room for improvement in socratic depth.</t>
        </is>
      </c>
    </row>
    <row r="7">
      <c r="A7" t="n">
        <v>48</v>
      </c>
      <c r="B7" t="n">
        <v>16</v>
      </c>
      <c r="C7" t="n">
        <v>3</v>
      </c>
      <c r="D7" t="n">
        <v>1</v>
      </c>
      <c r="E7" t="inlineStr">
        <is>
          <t>R1, R2, R3 y R4 porque por R5 no circula corriente</t>
        </is>
      </c>
      <c r="F7" t="inlineStr">
        <is>
          <t>Si R5 está cortocircuitada, ¿cómo crees que esto modifica la distribución de la carga entre R1 y R2, y qué implicaciones tiene para la tensión medida en el nodo entre ellos?</t>
        </is>
      </c>
      <c r="G7" t="n">
        <v>3</v>
      </c>
      <c r="H7" t="n">
        <v>3</v>
      </c>
      <c r="I7" t="n">
        <v>4</v>
      </c>
      <c r="J7" t="n">
        <v>5</v>
      </c>
      <c r="K7" t="n">
        <v>15</v>
      </c>
      <c r="L7" t="n">
        <v>1.02</v>
      </c>
      <c r="M7" t="n">
        <v>44</v>
      </c>
      <c r="N7" t="n">
        <v>58.83</v>
      </c>
      <c r="O7" t="inlineStr">
        <is>
          <t>AC1, AC6</t>
        </is>
      </c>
      <c r="P7" t="inlineStr"/>
      <c r="Q7" t="n">
        <v>1</v>
      </c>
      <c r="R7" t="n">
        <v>0</v>
      </c>
      <c r="S7" t="n">
        <v>0</v>
      </c>
      <c r="T7" t="inlineStr"/>
      <c r="U7" t="inlineStr"/>
      <c r="V7" t="inlineStr"/>
      <c r="W7" t="inlineStr">
        <is>
          <t>Socratic quality 3/5 (Clarification): Generic question: asks for clarification without attacking the root error. Conceptual precision 3/5 (Sufficient): Sufficient: identifies that there is an error and uses correct concepts, but the diagnosis is somewhat vague. Good overall performance; room for improvement in socratic depth.</t>
        </is>
      </c>
    </row>
    <row r="8">
      <c r="A8" t="n">
        <v>49</v>
      </c>
      <c r="B8" t="n">
        <v>17</v>
      </c>
      <c r="C8" t="n">
        <v>1</v>
      </c>
      <c r="D8" t="n">
        <v>1</v>
      </c>
      <c r="E8" t="inlineStr">
        <is>
          <t>R1, R2, R3 y R4 porque R5 se quita</t>
        </is>
      </c>
      <c r="F8" t="inlineStr">
        <is>
          <t>Considerando que el interruptor entre N2 y N3 está abierto, ¿podría la eliminación de R3 afectar la trayectoria que permite el flujo de corriente desde la fuente hacia N2, y si es así, ¿cómo influye esto en la caída de potencial en esa rama del circuito?</t>
        </is>
      </c>
      <c r="G8" t="n">
        <v>4</v>
      </c>
      <c r="H8" t="n">
        <v>3</v>
      </c>
      <c r="I8" t="n">
        <v>3</v>
      </c>
      <c r="J8" t="n">
        <v>5</v>
      </c>
      <c r="K8" t="n">
        <v>15</v>
      </c>
      <c r="L8" t="n">
        <v>0.913</v>
      </c>
      <c r="M8" t="n">
        <v>61</v>
      </c>
      <c r="N8" t="n">
        <v>65.73</v>
      </c>
      <c r="O8" t="inlineStr">
        <is>
          <t>AC1, AC6</t>
        </is>
      </c>
      <c r="P8" t="inlineStr">
        <is>
          <t>AC1, AC9</t>
        </is>
      </c>
      <c r="Q8" t="n">
        <v>0.5</v>
      </c>
      <c r="R8" t="n">
        <v>0.5</v>
      </c>
      <c r="S8" t="n">
        <v>0.5</v>
      </c>
      <c r="T8" t="inlineStr"/>
      <c r="U8" t="inlineStr"/>
      <c r="V8" t="inlineStr"/>
      <c r="W8" t="inlineStr">
        <is>
          <t>Socratic quality 4/5 (Scaffolding for detection): Scaffolding for detection: identifies the error area and asks a question that confronts the theory. Conceptual precision 3/5 (Sufficient): Sufficient: identifies that there is an error and uses correct concepts, but the diagnosis is somewhat vague. Good overall performance; room for improvement in socratic depth.</t>
        </is>
      </c>
    </row>
    <row r="9">
      <c r="A9" t="n">
        <v>50</v>
      </c>
      <c r="B9" t="n">
        <v>17</v>
      </c>
      <c r="C9" t="n">
        <v>2</v>
      </c>
      <c r="D9" t="n">
        <v>1</v>
      </c>
      <c r="E9" t="inlineStr">
        <is>
          <t>R1, R3 y R4 porque R2 está en paralelo con la fuente y R5 corctocircuitada</t>
        </is>
      </c>
      <c r="F9" t="inlineStr">
        <is>
          <t>Si eliminamos R3, ¿qué efecto tendría esto en la relación entre la corriente que fluye a través de R1 y R4, y cómo podría esto afectar la tensión total medida en esos componentes?</t>
        </is>
      </c>
      <c r="G9" t="n">
        <v>3</v>
      </c>
      <c r="H9" t="n">
        <v>3</v>
      </c>
      <c r="I9" t="n">
        <v>4</v>
      </c>
      <c r="J9" t="n">
        <v>5</v>
      </c>
      <c r="K9" t="n">
        <v>15</v>
      </c>
      <c r="L9" t="n">
        <v>0.796</v>
      </c>
      <c r="M9" t="n">
        <v>43</v>
      </c>
      <c r="N9" t="n">
        <v>75.37</v>
      </c>
      <c r="O9" t="inlineStr">
        <is>
          <t>AC1, AC6</t>
        </is>
      </c>
      <c r="P9" t="inlineStr">
        <is>
          <t>AC1</t>
        </is>
      </c>
      <c r="Q9" t="n">
        <v>1</v>
      </c>
      <c r="R9" t="n">
        <v>0.5</v>
      </c>
      <c r="S9" t="n">
        <v>0.667</v>
      </c>
      <c r="T9" t="inlineStr"/>
      <c r="U9" t="inlineStr"/>
      <c r="V9" t="inlineStr"/>
      <c r="W9" t="inlineStr">
        <is>
          <t>Socratic quality 3/5 (Clarification): Generic question: asks for clarification without attacking the root error. Conceptual precision 3/5 (Sufficient): Sufficient: identifies that there is an error and uses correct concepts, but the diagnosis is somewhat vague. Good overall performance; room for improvement in socratic depth.</t>
        </is>
      </c>
    </row>
    <row r="10">
      <c r="A10" t="n">
        <v>51</v>
      </c>
      <c r="B10" t="n">
        <v>17</v>
      </c>
      <c r="C10" t="n">
        <v>3</v>
      </c>
      <c r="D10" t="n">
        <v>1</v>
      </c>
      <c r="E10" t="inlineStr">
        <is>
          <t>R1, R4 y R5 porque R2 se elimina y R3 también</t>
        </is>
      </c>
      <c r="F10" t="inlineStr">
        <is>
          <t>Considerando que R2 ahora está efectivamente en circuito abierto, ¿cómo crees que esto alteraría la distribución de la corriente a través de los componentes conectados directamente a la fuente?</t>
        </is>
      </c>
      <c r="G10" t="n">
        <v>3</v>
      </c>
      <c r="H10" t="n">
        <v>3</v>
      </c>
      <c r="I10" t="n">
        <v>3</v>
      </c>
      <c r="J10" t="n">
        <v>5</v>
      </c>
      <c r="K10" t="n">
        <v>14</v>
      </c>
      <c r="L10" t="n">
        <v>0.748</v>
      </c>
      <c r="M10" t="n">
        <v>37</v>
      </c>
      <c r="N10" t="n">
        <v>80.17</v>
      </c>
      <c r="O10" t="inlineStr">
        <is>
          <t>AC1, AC6</t>
        </is>
      </c>
      <c r="P10" t="inlineStr">
        <is>
          <t>AC1</t>
        </is>
      </c>
      <c r="Q10" t="n">
        <v>1</v>
      </c>
      <c r="R10" t="n">
        <v>0.5</v>
      </c>
      <c r="S10" t="n">
        <v>0.667</v>
      </c>
      <c r="T10" t="inlineStr"/>
      <c r="U10" t="inlineStr"/>
      <c r="V10" t="inlineStr"/>
      <c r="W10" t="inlineStr">
        <is>
          <t>Socratic quality 3/5 (Clarification): Generic question: asks for clarification without attacking the root error. Conceptual precision 3/5 (Sufficient): Sufficient: identifies that there is an error and uses correct concepts, but the diagnosis is somewhat vague. Good overall performance; room for improvement in socratic depth.</t>
        </is>
      </c>
    </row>
    <row r="11">
      <c r="A11" t="n">
        <v>52</v>
      </c>
      <c r="B11" t="n">
        <v>18</v>
      </c>
      <c r="C11" t="n">
        <v>1</v>
      </c>
      <c r="D11" t="n">
        <v>1</v>
      </c>
      <c r="E11" t="inlineStr">
        <is>
          <t>R1 y R4 dado que R2 está en paralelo con la fuente, R3 en circuito abierto y R5 cortocircuitada</t>
        </is>
      </c>
      <c r="F11" t="inlineStr">
        <is>
          <t>Considerando que R5 está efectivamente cortocircuitada, ¿podría haber una conexión directa entre los nodos N2 y el nodo de referencia (0) que no involucra a R5?</t>
        </is>
      </c>
      <c r="G11" t="n">
        <v>3</v>
      </c>
      <c r="H11" t="n">
        <v>2</v>
      </c>
      <c r="I11" t="n">
        <v>3</v>
      </c>
      <c r="J11" t="n">
        <v>5</v>
      </c>
      <c r="K11" t="n">
        <v>13</v>
      </c>
      <c r="L11" t="n">
        <v>0.8110000000000001</v>
      </c>
      <c r="M11" t="n">
        <v>41</v>
      </c>
      <c r="N11" t="n">
        <v>74.01000000000001</v>
      </c>
      <c r="O11" t="inlineStr">
        <is>
          <t>AC1, AC6</t>
        </is>
      </c>
      <c r="P11" t="inlineStr"/>
      <c r="Q11" t="n">
        <v>1</v>
      </c>
      <c r="R11" t="n">
        <v>0</v>
      </c>
      <c r="S11" t="n">
        <v>0</v>
      </c>
      <c r="T11" t="inlineStr"/>
      <c r="U11" t="inlineStr"/>
      <c r="V11" t="inlineStr"/>
      <c r="W11" t="inlineStr">
        <is>
          <t>Socratic quality 3/5 (Clarification): Generic question: asks for clarification without attacking the root error. Conceptual precision 2/5 (Poor): Poor: responds generically without diagnosing the conceptual error. Good overall performance; room for improvement in socratic depth.</t>
        </is>
      </c>
    </row>
    <row r="12">
      <c r="A12" t="n">
        <v>53</v>
      </c>
      <c r="B12" t="n">
        <v>18</v>
      </c>
      <c r="C12" t="n">
        <v>2</v>
      </c>
      <c r="D12" t="n">
        <v>1</v>
      </c>
      <c r="E12" t="inlineStr">
        <is>
          <t>R1, R2 y R3 dado que R2 y R3 están en paralelo y forman un divisor de tensión con R1</t>
        </is>
      </c>
      <c r="F12" t="inlineStr">
        <is>
          <t>Si R3 está en circuito abierto, ¿cómo afectaría esto a la capacidad de R2 y R3 para influir en el flujo de corriente a través de R1?</t>
        </is>
      </c>
      <c r="G12" t="n">
        <v>3</v>
      </c>
      <c r="H12" t="n">
        <v>3</v>
      </c>
      <c r="I12" t="n">
        <v>5</v>
      </c>
      <c r="J12" t="n">
        <v>5</v>
      </c>
      <c r="K12" t="n">
        <v>16</v>
      </c>
      <c r="L12" t="n">
        <v>0.714</v>
      </c>
      <c r="M12" t="n">
        <v>37</v>
      </c>
      <c r="N12" t="n">
        <v>84.09</v>
      </c>
      <c r="O12" t="inlineStr">
        <is>
          <t>AC1, AC9</t>
        </is>
      </c>
      <c r="P12" t="inlineStr">
        <is>
          <t>AC1</t>
        </is>
      </c>
      <c r="Q12" t="n">
        <v>1</v>
      </c>
      <c r="R12" t="n">
        <v>0.5</v>
      </c>
      <c r="S12" t="n">
        <v>0.667</v>
      </c>
      <c r="T12" t="inlineStr"/>
      <c r="U12" t="inlineStr"/>
      <c r="V12" t="inlineStr"/>
      <c r="W12" t="inlineStr">
        <is>
          <t>Socratic quality 3/5 (Clarification): Generic question: asks for clarification without attacking the root error. Conceptual precision 3/5 (Sufficient): Sufficient: identifies that there is an error and uses correct concepts, but the diagnosis is somewhat vague. Good overall performance; room for improvement in socratic depth.</t>
        </is>
      </c>
    </row>
    <row r="13">
      <c r="A13" t="n">
        <v>54</v>
      </c>
      <c r="B13" t="n">
        <v>18</v>
      </c>
      <c r="C13" t="n">
        <v>3</v>
      </c>
      <c r="D13" t="n">
        <v>1</v>
      </c>
      <c r="E13" t="inlineStr">
        <is>
          <t>R1, R2, R4 y R5 dado que R3 está en circuito abierto</t>
        </is>
      </c>
      <c r="F13" t="inlineStr">
        <is>
          <t>Dado que R3 está en circuito abierto, ¿cómo crees que esto modifica la relación entre la tensión aplicada y la corriente que fluye a través de R4?</t>
        </is>
      </c>
      <c r="G13" t="n">
        <v>3</v>
      </c>
      <c r="H13" t="n">
        <v>4</v>
      </c>
      <c r="I13" t="n">
        <v>3</v>
      </c>
      <c r="J13" t="n">
        <v>5</v>
      </c>
      <c r="K13" t="n">
        <v>15</v>
      </c>
      <c r="L13" t="n">
        <v>0.71</v>
      </c>
      <c r="M13" t="n">
        <v>35</v>
      </c>
      <c r="N13" t="n">
        <v>84.51000000000001</v>
      </c>
      <c r="O13" t="inlineStr">
        <is>
          <t>AC1, AC6</t>
        </is>
      </c>
      <c r="P13" t="inlineStr">
        <is>
          <t>AC1, AC9</t>
        </is>
      </c>
      <c r="Q13" t="n">
        <v>0.5</v>
      </c>
      <c r="R13" t="n">
        <v>0.5</v>
      </c>
      <c r="S13" t="n">
        <v>0.5</v>
      </c>
      <c r="T13" t="inlineStr"/>
      <c r="U13" t="inlineStr"/>
      <c r="V13" t="inlineStr"/>
      <c r="W13" t="inlineStr">
        <is>
          <t>Socratic quality 3/5 (Clarification): Generic question: asks for clarification without attacking the root error. Conceptual precision 4/5 (Good): Good: clearly identifies the alternative conception with precise technical language. Good overall performance; room for improvement in socratic depth.</t>
        </is>
      </c>
    </row>
    <row r="14">
      <c r="A14" t="n">
        <v>55</v>
      </c>
      <c r="B14" t="n">
        <v>19</v>
      </c>
      <c r="C14" t="n">
        <v>1</v>
      </c>
      <c r="D14" t="n">
        <v>1</v>
      </c>
      <c r="E14" t="inlineStr">
        <is>
          <t>R1, R2, R4 y R5 dado que R3 sobra</t>
        </is>
      </c>
      <c r="F14" t="inlineStr">
        <is>
          <t>Considerando que el interruptor entre N2 y N3 está abierto, ¿podrías explicar cómo la corriente, si existiera, fluiría a través de R5 y qué efecto tendría eso en el potencial en N2 en comparación con el nodo 0?</t>
        </is>
      </c>
      <c r="G14" t="n">
        <v>5</v>
      </c>
      <c r="H14" t="n">
        <v>4</v>
      </c>
      <c r="I14" t="n">
        <v>3</v>
      </c>
      <c r="J14" t="n">
        <v>5</v>
      </c>
      <c r="K14" t="n">
        <v>17</v>
      </c>
      <c r="L14" t="n">
        <v>0.888</v>
      </c>
      <c r="M14" t="n">
        <v>56</v>
      </c>
      <c r="N14" t="n">
        <v>67.53</v>
      </c>
      <c r="O14" t="inlineStr">
        <is>
          <t>AC1, AC6</t>
        </is>
      </c>
      <c r="P14" t="inlineStr">
        <is>
          <t>AC1</t>
        </is>
      </c>
      <c r="Q14" t="n">
        <v>1</v>
      </c>
      <c r="R14" t="n">
        <v>0.5</v>
      </c>
      <c r="S14" t="n">
        <v>0.667</v>
      </c>
      <c r="T14" t="inlineStr"/>
      <c r="U14" t="inlineStr"/>
      <c r="V14" t="inlineStr"/>
      <c r="W14" t="inlineStr">
        <is>
          <t>Socratic quality 5/5 (Induction to contradiction): Induction to contradiction: uses counterexample or reduction to absurdity. Conceptual precision 4/5 (Good): Good: clearly identifies the alternative conception with precise technical language. High-performing tutor: expert socratic guidance with precise diagnosis.</t>
        </is>
      </c>
    </row>
    <row r="15">
      <c r="A15" t="n">
        <v>56</v>
      </c>
      <c r="B15" t="n">
        <v>19</v>
      </c>
      <c r="C15" t="n">
        <v>2</v>
      </c>
      <c r="D15" t="n">
        <v>1</v>
      </c>
      <c r="E15" t="inlineStr">
        <is>
          <t>R1, R2, R4 y R5 dado que R3 no hace nada</t>
        </is>
      </c>
      <c r="F15" t="inlineStr">
        <is>
          <t>Si el interruptor entre N2 y N3 permanece abierto, ¿cómo crees que la resistencia total del circuito afectaría la distribución de la corriente entre R1 y R2?</t>
        </is>
      </c>
      <c r="G15" t="n">
        <v>3</v>
      </c>
      <c r="H15" t="n">
        <v>4</v>
      </c>
      <c r="I15" t="n">
        <v>3</v>
      </c>
      <c r="J15" t="n">
        <v>5</v>
      </c>
      <c r="K15" t="n">
        <v>15</v>
      </c>
      <c r="L15" t="n">
        <v>0.777</v>
      </c>
      <c r="M15" t="n">
        <v>38</v>
      </c>
      <c r="N15" t="n">
        <v>77.22</v>
      </c>
      <c r="O15" t="inlineStr">
        <is>
          <t>AC1, AC6</t>
        </is>
      </c>
      <c r="P15" t="inlineStr">
        <is>
          <t>AC1, AC9</t>
        </is>
      </c>
      <c r="Q15" t="n">
        <v>0.5</v>
      </c>
      <c r="R15" t="n">
        <v>0.5</v>
      </c>
      <c r="S15" t="n">
        <v>0.5</v>
      </c>
      <c r="T15" t="inlineStr"/>
      <c r="U15" t="inlineStr"/>
      <c r="V15" t="inlineStr"/>
      <c r="W15" t="inlineStr">
        <is>
          <t>Socratic quality 3/5 (Clarification): Generic question: asks for clarification without attacking the root error. Conceptual precision 4/5 (Good): Good: clearly identifies the alternative conception with precise technical language. Good overall performance; room for improvement in socratic depth.</t>
        </is>
      </c>
    </row>
    <row r="16">
      <c r="A16" t="n">
        <v>57</v>
      </c>
      <c r="B16" t="n">
        <v>19</v>
      </c>
      <c r="C16" t="n">
        <v>3</v>
      </c>
      <c r="D16" t="n">
        <v>1</v>
      </c>
      <c r="E16" t="inlineStr">
        <is>
          <t>R1, R2 y R4 dado que son las resistencias que forman parte del circuito.</t>
        </is>
      </c>
      <c r="F16" t="inlineStr">
        <is>
          <t>Considerando que el interruptor entre N2 y N3 aún está abierto, ¿podrías describir cómo la presencia de R4 influiría en el flujo de corriente hacia el nodo N2?</t>
        </is>
      </c>
      <c r="G16" t="n">
        <v>3</v>
      </c>
      <c r="H16" t="n">
        <v>5</v>
      </c>
      <c r="I16" t="n">
        <v>3</v>
      </c>
      <c r="J16" t="n">
        <v>5</v>
      </c>
      <c r="K16" t="n">
        <v>16</v>
      </c>
      <c r="L16" t="n">
        <v>0.735</v>
      </c>
      <c r="M16" t="n">
        <v>42</v>
      </c>
      <c r="N16" t="n">
        <v>81.66</v>
      </c>
      <c r="O16" t="inlineStr"/>
      <c r="P16" t="inlineStr">
        <is>
          <t>AC1</t>
        </is>
      </c>
      <c r="Q16" t="n">
        <v>0</v>
      </c>
      <c r="R16" t="n">
        <v>1</v>
      </c>
      <c r="S16" t="n">
        <v>0</v>
      </c>
      <c r="T16" t="inlineStr"/>
      <c r="U16" t="inlineStr"/>
      <c r="V16" t="inlineStr"/>
      <c r="W16" t="inlineStr">
        <is>
          <t>Socratic quality 3/5 (Clarification): Generic question: asks for clarification without attacking the root error. Conceptual precision 5/5 (Excellent): Excellent: identifies the specific alternative conception and connects it with the circuit topology. Good overall performance; room for improvement in socratic depth.</t>
        </is>
      </c>
    </row>
    <row r="17">
      <c r="A17" t="n">
        <v>58</v>
      </c>
      <c r="B17" t="n">
        <v>20</v>
      </c>
      <c r="C17" t="n">
        <v>1</v>
      </c>
      <c r="D17" t="n">
        <v>1</v>
      </c>
      <c r="E17" t="inlineStr">
        <is>
          <t>R1, R2 y R4 dado que R2 y R4 están en paralelo y forma un divisor de tensión con R1.</t>
        </is>
      </c>
      <c r="F17" t="inlineStr">
        <is>
          <t>Considerando que el interruptor entre N2 y N3 está abierto, ¿cómo afecta la presencia de R5, que está directamente cortocircuitada a N3, al camino que permite la caída de potencial entre N2 y tierra?</t>
        </is>
      </c>
      <c r="G17" t="n">
        <v>4</v>
      </c>
      <c r="H17" t="n">
        <v>5</v>
      </c>
      <c r="I17" t="n">
        <v>3</v>
      </c>
      <c r="J17" t="n">
        <v>5</v>
      </c>
      <c r="K17" t="n">
        <v>17</v>
      </c>
      <c r="L17" t="n">
        <v>0.845</v>
      </c>
      <c r="M17" t="n">
        <v>50</v>
      </c>
      <c r="N17" t="n">
        <v>71.04000000000001</v>
      </c>
      <c r="O17" t="inlineStr"/>
      <c r="P17" t="inlineStr">
        <is>
          <t>AC1, AC9</t>
        </is>
      </c>
      <c r="Q17" t="n">
        <v>0</v>
      </c>
      <c r="R17" t="n">
        <v>1</v>
      </c>
      <c r="S17" t="n">
        <v>0</v>
      </c>
      <c r="T17" t="inlineStr"/>
      <c r="U17" t="inlineStr"/>
      <c r="V17" t="inlineStr"/>
      <c r="W17" t="inlineStr">
        <is>
          <t>Socratic quality 4/5 (Scaffolding for detection): Scaffolding for detection: identifies the error area and asks a question that confronts the theory. Conceptual precision 5/5 (Excellent): Excellent: identifies the specific alternative conception and connects it with the circuit topology. High-performing tutor: expert socratic guidance with precise diagnosis.</t>
        </is>
      </c>
    </row>
    <row r="18">
      <c r="A18" t="n">
        <v>59</v>
      </c>
      <c r="B18" t="n">
        <v>20</v>
      </c>
      <c r="C18" t="n">
        <v>2</v>
      </c>
      <c r="D18" t="n">
        <v>1</v>
      </c>
      <c r="E18" t="inlineStr">
        <is>
          <t>R1, R2 y R4 dado que R3 está en abierto y R5 cortocircuitada</t>
        </is>
      </c>
      <c r="F18" t="inlineStr">
        <is>
          <t>Si el objetivo es medir la corriente que fluye a través de R1, ¿qué consideraciones serían cruciales al tener en cuenta la conexión directa de R5 a tierra a través del interruptor?</t>
        </is>
      </c>
      <c r="G18" t="n">
        <v>3</v>
      </c>
      <c r="H18" t="n">
        <v>3</v>
      </c>
      <c r="I18" t="n">
        <v>3</v>
      </c>
      <c r="J18" t="n">
        <v>5</v>
      </c>
      <c r="K18" t="n">
        <v>14</v>
      </c>
      <c r="L18" t="n">
        <v>0.845</v>
      </c>
      <c r="M18" t="n">
        <v>42</v>
      </c>
      <c r="N18" t="n">
        <v>71.03</v>
      </c>
      <c r="O18" t="inlineStr">
        <is>
          <t>AC1, AC6</t>
        </is>
      </c>
      <c r="P18" t="inlineStr">
        <is>
          <t>AC1, AC9</t>
        </is>
      </c>
      <c r="Q18" t="n">
        <v>0.5</v>
      </c>
      <c r="R18" t="n">
        <v>0.5</v>
      </c>
      <c r="S18" t="n">
        <v>0.5</v>
      </c>
      <c r="T18" t="inlineStr"/>
      <c r="U18" t="inlineStr"/>
      <c r="V18" t="inlineStr"/>
      <c r="W18" t="inlineStr">
        <is>
          <t>Socratic quality 3/5 (Clarification): Generic question: asks for clarification without attacking the root error. Conceptual precision 3/5 (Sufficient): Sufficient: identifies that there is an error and uses correct concepts, but the diagnosis is somewhat vague. Good overall performance; room for improvement in socratic depth.</t>
        </is>
      </c>
    </row>
    <row r="19">
      <c r="A19" t="n">
        <v>60</v>
      </c>
      <c r="B19" t="n">
        <v>20</v>
      </c>
      <c r="C19" t="n">
        <v>3</v>
      </c>
      <c r="D19" t="n">
        <v>1</v>
      </c>
      <c r="E19" t="inlineStr">
        <is>
          <t>R1, R2 y R4 dado que solo por estas resistencias circula una corriente diferente de cero</t>
        </is>
      </c>
      <c r="F19" t="inlineStr">
        <is>
          <t>Considerando que R5 está cortocircuitada, ¿cómo influye esta conexión en la distribución de la corriente a través de R1, R2 y R4 en comparación con un circuito abierto de R5?</t>
        </is>
      </c>
      <c r="G19" t="n">
        <v>4</v>
      </c>
      <c r="H19" t="n">
        <v>3</v>
      </c>
      <c r="I19" t="n">
        <v>5</v>
      </c>
      <c r="J19" t="n">
        <v>5</v>
      </c>
      <c r="K19" t="n">
        <v>17</v>
      </c>
      <c r="L19" t="n">
        <v>0.777</v>
      </c>
      <c r="M19" t="n">
        <v>45</v>
      </c>
      <c r="N19" t="n">
        <v>77.23999999999999</v>
      </c>
      <c r="O19" t="inlineStr"/>
      <c r="P19" t="inlineStr">
        <is>
          <t>AC1</t>
        </is>
      </c>
      <c r="Q19" t="n">
        <v>0</v>
      </c>
      <c r="R19" t="n">
        <v>1</v>
      </c>
      <c r="S19" t="n">
        <v>0</v>
      </c>
      <c r="T19" t="inlineStr"/>
      <c r="U19" t="inlineStr"/>
      <c r="V19" t="inlineStr"/>
      <c r="W19" t="inlineStr">
        <is>
          <t>Socratic quality 4/5 (Scaffolding for detection): Scaffolding for detection: identifies the error area and asks a question that confronts the theory. Conceptual precision 3/5 (Sufficient): Sufficient: identifies that there is an error and uses correct concepts, but the diagnosis is somewhat vague. High-performing tutor: expert socratic guidance with precise diagnosis.</t>
        </is>
      </c>
    </row>
    <row r="20">
      <c r="A20" t="n">
        <v>61</v>
      </c>
      <c r="B20" t="n">
        <v>21</v>
      </c>
      <c r="C20" t="n">
        <v>1</v>
      </c>
      <c r="D20" t="n">
        <v>1</v>
      </c>
      <c r="E20" t="inlineStr">
        <is>
          <t>R1, R2 y R4 dado que por R3 y por R5 no circula corriente</t>
        </is>
      </c>
      <c r="F20" t="inlineStr">
        <is>
          <t>Considerando que el interruptor entre N2 y N3 está abierto, ¿qué efecto tiene la ausencia de un camino directo entre esos nodos en la distribución del potencial eléctrico a través de las resistencias conectadas?</t>
        </is>
      </c>
      <c r="G20" t="n">
        <v>3</v>
      </c>
      <c r="H20" t="n">
        <v>4</v>
      </c>
      <c r="I20" t="n">
        <v>3</v>
      </c>
      <c r="J20" t="n">
        <v>5</v>
      </c>
      <c r="K20" t="n">
        <v>15</v>
      </c>
      <c r="L20" t="n">
        <v>0.795</v>
      </c>
      <c r="M20" t="n">
        <v>43</v>
      </c>
      <c r="N20" t="n">
        <v>75.45</v>
      </c>
      <c r="O20" t="inlineStr">
        <is>
          <t>AC1, AC6</t>
        </is>
      </c>
      <c r="P20" t="inlineStr">
        <is>
          <t>AC1, AC9</t>
        </is>
      </c>
      <c r="Q20" t="n">
        <v>0.5</v>
      </c>
      <c r="R20" t="n">
        <v>0.5</v>
      </c>
      <c r="S20" t="n">
        <v>0.5</v>
      </c>
      <c r="T20" t="inlineStr"/>
      <c r="U20" t="inlineStr"/>
      <c r="V20" t="inlineStr"/>
      <c r="W20" t="inlineStr">
        <is>
          <t>Socratic quality 3/5 (Clarification): Generic question: asks for clarification without attacking the root error. Conceptual precision 4/5 (Good): Good: clearly identifies the alternative conception with precise technical language. Good overall performance; room for improvement in socratic depth.</t>
        </is>
      </c>
    </row>
    <row r="21">
      <c r="A21" t="n">
        <v>62</v>
      </c>
      <c r="B21" t="n">
        <v>21</v>
      </c>
      <c r="C21" t="n">
        <v>2</v>
      </c>
      <c r="D21" t="n">
        <v>1</v>
      </c>
      <c r="E21" t="inlineStr">
        <is>
          <t>R1, R2 y R4 dado que R3 y R5 se pueden quitar</t>
        </is>
      </c>
      <c r="F21" t="inlineStr">
        <is>
          <t>Si la corriente no puede fluir a través de R3 y R5, ¿cómo afectaría esto a la relación entre el voltaje aplicado, la resistencia y la corriente en el resto del circuito?</t>
        </is>
      </c>
      <c r="G21" t="n">
        <v>3</v>
      </c>
      <c r="H21" t="n">
        <v>3</v>
      </c>
      <c r="I21" t="n">
        <v>3</v>
      </c>
      <c r="J21" t="n">
        <v>5</v>
      </c>
      <c r="K21" t="n">
        <v>14</v>
      </c>
      <c r="L21" t="n">
        <v>0.747</v>
      </c>
      <c r="M21" t="n">
        <v>41</v>
      </c>
      <c r="N21" t="n">
        <v>80.28</v>
      </c>
      <c r="O21" t="inlineStr">
        <is>
          <t>AC1, AC6</t>
        </is>
      </c>
      <c r="P21" t="inlineStr">
        <is>
          <t>AC1, AC9</t>
        </is>
      </c>
      <c r="Q21" t="n">
        <v>0.5</v>
      </c>
      <c r="R21" t="n">
        <v>0.5</v>
      </c>
      <c r="S21" t="n">
        <v>0.5</v>
      </c>
      <c r="T21" t="inlineStr"/>
      <c r="U21" t="inlineStr"/>
      <c r="V21" t="inlineStr"/>
      <c r="W21" t="inlineStr">
        <is>
          <t>Socratic quality 3/5 (Clarification): Generic question: asks for clarification without attacking the root error. Conceptual precision 3/5 (Sufficient): Sufficient: identifies that there is an error and uses correct concepts, but the diagnosis is somewhat vague. Good overall performance; room for improvement in socratic depth.</t>
        </is>
      </c>
    </row>
    <row r="22">
      <c r="A22" t="n">
        <v>63</v>
      </c>
      <c r="B22" t="n">
        <v>21</v>
      </c>
      <c r="C22" t="n">
        <v>3</v>
      </c>
      <c r="D22" t="n">
        <v>1</v>
      </c>
      <c r="E22" t="inlineStr">
        <is>
          <t>R1, R2 y R4 dado que R3 y R5 no influyen para nada en la diferencia de potencial que se pide</t>
        </is>
      </c>
      <c r="F22" t="inlineStr">
        <is>
          <t>Considerando que R3 y R5 no están en el circuito, ¿cómo cambiaría tu comprensión de cómo el potencial eléctrico se establece a través de las resistencias R1, R2 y R4?</t>
        </is>
      </c>
      <c r="G22" t="n">
        <v>3</v>
      </c>
      <c r="H22" t="n">
        <v>2</v>
      </c>
      <c r="I22" t="n">
        <v>5</v>
      </c>
      <c r="J22" t="n">
        <v>5</v>
      </c>
      <c r="K22" t="n">
        <v>15</v>
      </c>
      <c r="L22" t="n">
        <v>0.772</v>
      </c>
      <c r="M22" t="n">
        <v>42</v>
      </c>
      <c r="N22" t="n">
        <v>77.73</v>
      </c>
      <c r="O22" t="inlineStr">
        <is>
          <t>AC1, AC6</t>
        </is>
      </c>
      <c r="P22" t="inlineStr">
        <is>
          <t>AC9</t>
        </is>
      </c>
      <c r="Q22" t="n">
        <v>0</v>
      </c>
      <c r="R22" t="n">
        <v>0</v>
      </c>
      <c r="S22" t="n">
        <v>0</v>
      </c>
      <c r="T22" t="inlineStr"/>
      <c r="U22" t="inlineStr"/>
      <c r="V22" t="inlineStr"/>
      <c r="W22" t="inlineStr">
        <is>
          <t>Socratic quality 3/5 (Clarification): Generic question: asks for clarification without attacking the root error. Conceptual precision 2/5 (Poor): Poor: responds generically without diagnosing the conceptual error. Good overall performance; room for improvement in socratic depth.</t>
        </is>
      </c>
    </row>
    <row r="23">
      <c r="A23" t="n">
        <v>64</v>
      </c>
      <c r="B23" t="n">
        <v>22</v>
      </c>
      <c r="C23" t="n">
        <v>1</v>
      </c>
      <c r="D23" t="n">
        <v>1</v>
      </c>
      <c r="E23" t="inlineStr">
        <is>
          <t>R1, R2 y R4 dado que R3 y R5 sobran</t>
        </is>
      </c>
      <c r="F23" t="inlineStr">
        <is>
          <t>Considerando que R3 y R5 están efectivamente desconectados del circuito, ¿podrías explicar qué factores, además de las resistencias que permanecen en el camino entre el nodo N2 y el nodo de referencia 0, determinan la magnitud del potencial en N2?</t>
        </is>
      </c>
      <c r="G23" t="n">
        <v>3</v>
      </c>
      <c r="H23" t="n">
        <v>3</v>
      </c>
      <c r="I23" t="n">
        <v>3</v>
      </c>
      <c r="J23" t="n">
        <v>5</v>
      </c>
      <c r="K23" t="n">
        <v>14</v>
      </c>
      <c r="L23" t="n">
        <v>0.86</v>
      </c>
      <c r="M23" t="n">
        <v>58</v>
      </c>
      <c r="N23" t="n">
        <v>69.8</v>
      </c>
      <c r="O23" t="inlineStr">
        <is>
          <t>AC1, AC6</t>
        </is>
      </c>
      <c r="P23" t="inlineStr">
        <is>
          <t>AC1, AC9</t>
        </is>
      </c>
      <c r="Q23" t="n">
        <v>0.5</v>
      </c>
      <c r="R23" t="n">
        <v>0.5</v>
      </c>
      <c r="S23" t="n">
        <v>0.5</v>
      </c>
      <c r="T23" t="inlineStr"/>
      <c r="U23" t="inlineStr"/>
      <c r="V23" t="inlineStr"/>
      <c r="W23" t="inlineStr">
        <is>
          <t>Socratic quality 3/5 (Clarification): Clarification: asks the student to explain their reasoning. Conceptual precision 3/5 (Sufficient): Sufficient: identifies that there is an error and uses correct concepts, but the diagnosis is somewhat vague. Good overall performance; room for improvement in socratic depth.</t>
        </is>
      </c>
    </row>
    <row r="24">
      <c r="A24" t="n">
        <v>65</v>
      </c>
      <c r="B24" t="n">
        <v>22</v>
      </c>
      <c r="C24" t="n">
        <v>2</v>
      </c>
      <c r="D24" t="n">
        <v>1</v>
      </c>
      <c r="E24" t="inlineStr">
        <is>
          <t>R1, R2 y R4 dado que R3 sobra</t>
        </is>
      </c>
      <c r="F24" t="inlineStr">
        <is>
          <t>Si ignoramos R3, ¿qué papel juega la relación entre la corriente que fluye a través de R1 y el voltaje a través de R2 en la determinación del potencial en N2?</t>
        </is>
      </c>
      <c r="G24" t="n">
        <v>3</v>
      </c>
      <c r="H24" t="n">
        <v>3</v>
      </c>
      <c r="I24" t="n">
        <v>4</v>
      </c>
      <c r="J24" t="n">
        <v>5</v>
      </c>
      <c r="K24" t="n">
        <v>15</v>
      </c>
      <c r="L24" t="n">
        <v>0.767</v>
      </c>
      <c r="M24" t="n">
        <v>41</v>
      </c>
      <c r="N24" t="n">
        <v>78.23</v>
      </c>
      <c r="O24" t="inlineStr">
        <is>
          <t>AC1</t>
        </is>
      </c>
      <c r="P24" t="inlineStr">
        <is>
          <t>AC1</t>
        </is>
      </c>
      <c r="Q24" t="n">
        <v>1</v>
      </c>
      <c r="R24" t="n">
        <v>1</v>
      </c>
      <c r="S24" t="n">
        <v>1</v>
      </c>
      <c r="T24" t="inlineStr"/>
      <c r="U24" t="inlineStr"/>
      <c r="V24" t="inlineStr"/>
      <c r="W24" t="inlineStr">
        <is>
          <t>Socratic quality 3/5 (Clarification): Generic question: asks for clarification without attacking the root error. Conceptual precision 3/5 (Sufficient): Sufficient: identifies that there is an error and uses correct concepts, but the diagnosis is somewhat vague. Good overall performance; room for improvement in socratic depth.</t>
        </is>
      </c>
    </row>
    <row r="25">
      <c r="A25" t="n">
        <v>66</v>
      </c>
      <c r="B25" t="n">
        <v>22</v>
      </c>
      <c r="C25" t="n">
        <v>3</v>
      </c>
      <c r="D25" t="n">
        <v>1</v>
      </c>
      <c r="E25" t="inlineStr">
        <is>
          <t>R1, R2 y R4 dado que R5 sobra</t>
        </is>
      </c>
      <c r="F25" t="inlineStr">
        <is>
          <t>Considerando que R5 está desconectado del circuito, ¿cómo crees que la distribución de la carga eléctrica se vería afectada en comparación con un circuito con una ruta completa?</t>
        </is>
      </c>
      <c r="G25" t="n">
        <v>3</v>
      </c>
      <c r="H25" t="n">
        <v>2</v>
      </c>
      <c r="I25" t="n">
        <v>3</v>
      </c>
      <c r="J25" t="n">
        <v>5</v>
      </c>
      <c r="K25" t="n">
        <v>13</v>
      </c>
      <c r="L25" t="n">
        <v>0.746</v>
      </c>
      <c r="M25" t="n">
        <v>38</v>
      </c>
      <c r="N25" t="n">
        <v>80.40000000000001</v>
      </c>
      <c r="O25" t="inlineStr">
        <is>
          <t>AC6</t>
        </is>
      </c>
      <c r="P25" t="inlineStr"/>
      <c r="Q25" t="n">
        <v>1</v>
      </c>
      <c r="R25" t="n">
        <v>0</v>
      </c>
      <c r="S25" t="n">
        <v>0</v>
      </c>
      <c r="T25" t="inlineStr"/>
      <c r="U25" t="inlineStr"/>
      <c r="V25" t="inlineStr"/>
      <c r="W25" t="inlineStr">
        <is>
          <t>Socratic quality 3/5 (Clarification): Generic question: asks for clarification without attacking the root error. Conceptual precision 2/5 (Poor): Generic response: no technical vocabulary or error diagnosis. Good overall performance; room for improvement in socratic depth.</t>
        </is>
      </c>
    </row>
    <row r="26">
      <c r="A26" t="n">
        <v>67</v>
      </c>
      <c r="B26" t="n">
        <v>23</v>
      </c>
      <c r="C26" t="n">
        <v>1</v>
      </c>
      <c r="D26" t="n">
        <v>1</v>
      </c>
      <c r="E26" t="inlineStr">
        <is>
          <t>R1, R2 y R4 dado que R3 está en abierto</t>
        </is>
      </c>
      <c r="F26" t="inlineStr">
        <is>
          <t>Considerando que R3 está físicamente en abierto, ¿cómo afecta esta condición a la capacidad de la corriente para fluir desde el nodo N2 hacia tierra, y qué papel juegan las resistencias R1, R2 y R4 en ese flujo particular?</t>
        </is>
      </c>
      <c r="G26" t="n">
        <v>4</v>
      </c>
      <c r="H26" t="n">
        <v>3</v>
      </c>
      <c r="I26" t="n">
        <v>4</v>
      </c>
      <c r="J26" t="n">
        <v>5</v>
      </c>
      <c r="K26" t="n">
        <v>16</v>
      </c>
      <c r="L26" t="n">
        <v>0.92</v>
      </c>
      <c r="M26" t="n">
        <v>53</v>
      </c>
      <c r="N26" t="n">
        <v>65.22</v>
      </c>
      <c r="O26" t="inlineStr">
        <is>
          <t>AC1</t>
        </is>
      </c>
      <c r="P26" t="inlineStr">
        <is>
          <t>AC1, AC9</t>
        </is>
      </c>
      <c r="Q26" t="n">
        <v>0.5</v>
      </c>
      <c r="R26" t="n">
        <v>1</v>
      </c>
      <c r="S26" t="n">
        <v>0.667</v>
      </c>
      <c r="T26" t="inlineStr"/>
      <c r="U26" t="inlineStr"/>
      <c r="V26" t="inlineStr"/>
      <c r="W26" t="inlineStr">
        <is>
          <t>Socratic quality 4/5 (Scaffolding for detection): Scaffolding for detection: identifies the error area and asks a question that confronts the theory. Conceptual precision 3/5 (Sufficient): Sufficient: identifies that there is an error and uses correct concepts, but the diagnosis is somewhat vague. Good overall performance; room for improvement in socratic depth.</t>
        </is>
      </c>
    </row>
    <row r="27">
      <c r="A27" t="n">
        <v>68</v>
      </c>
      <c r="B27" t="n">
        <v>23</v>
      </c>
      <c r="C27" t="n">
        <v>2</v>
      </c>
      <c r="D27" t="n">
        <v>1</v>
      </c>
      <c r="E27" t="inlineStr">
        <is>
          <t>R1, R2 y R4 dado que  R5 cortocircuitada</t>
        </is>
      </c>
      <c r="F27" t="inlineStr">
        <is>
          <t>Si R5 estuviera cortocircuitado, ¿cómo cambiaría la relación entre el voltaje aplicado y la corriente que fluye a través de la red, y qué implicaciones tendría esto para la resistencia equivalente de ese circuito?</t>
        </is>
      </c>
      <c r="G27" t="n">
        <v>3</v>
      </c>
      <c r="H27" t="n">
        <v>3</v>
      </c>
      <c r="I27" t="n">
        <v>3</v>
      </c>
      <c r="J27" t="n">
        <v>5</v>
      </c>
      <c r="K27" t="n">
        <v>14</v>
      </c>
      <c r="L27" t="n">
        <v>0.802</v>
      </c>
      <c r="M27" t="n">
        <v>47</v>
      </c>
      <c r="N27" t="n">
        <v>74.84</v>
      </c>
      <c r="O27" t="inlineStr">
        <is>
          <t>AC6</t>
        </is>
      </c>
      <c r="P27" t="inlineStr">
        <is>
          <t>AC1, AC9</t>
        </is>
      </c>
      <c r="Q27" t="n">
        <v>0</v>
      </c>
      <c r="R27" t="n">
        <v>0</v>
      </c>
      <c r="S27" t="n">
        <v>0</v>
      </c>
      <c r="T27" t="inlineStr"/>
      <c r="U27" t="inlineStr"/>
      <c r="V27" t="inlineStr"/>
      <c r="W27" t="inlineStr">
        <is>
          <t>Socratic quality 3/5 (Clarification): Generic question: asks for clarification without attacking the root error. Conceptual precision 3/5 (Sufficient): Sufficient: identifies that there is an error and uses correct concepts, but the diagnosis is somewhat vague. Good overall performance; room for improvement in socratic depth.</t>
        </is>
      </c>
    </row>
    <row r="28">
      <c r="A28" t="n">
        <v>69</v>
      </c>
      <c r="B28" t="n">
        <v>23</v>
      </c>
      <c r="C28" t="n">
        <v>3</v>
      </c>
      <c r="D28" t="n">
        <v>1</v>
      </c>
      <c r="E28" t="inlineStr">
        <is>
          <t>R1, R2 y R4 dado que por R3 no circula corriente</t>
        </is>
      </c>
      <c r="F28" t="inlineStr">
        <is>
          <t>Si R3 está en abierto, ¿cómo influye la ausencia de este componente en la distribución de la corriente a través de R1, R2 y R4, y qué consideraciones debemos tener sobre el concepto de resistencia en este escenario particular?</t>
        </is>
      </c>
      <c r="G28" t="n">
        <v>4</v>
      </c>
      <c r="H28" t="n">
        <v>3</v>
      </c>
      <c r="I28" t="n">
        <v>4</v>
      </c>
      <c r="J28" t="n">
        <v>5</v>
      </c>
      <c r="K28" t="n">
        <v>16</v>
      </c>
      <c r="L28" t="n">
        <v>0.887</v>
      </c>
      <c r="M28" t="n">
        <v>51</v>
      </c>
      <c r="N28" t="n">
        <v>67.66</v>
      </c>
      <c r="O28" t="inlineStr">
        <is>
          <t>AC1</t>
        </is>
      </c>
      <c r="P28" t="inlineStr">
        <is>
          <t>AC1</t>
        </is>
      </c>
      <c r="Q28" t="n">
        <v>1</v>
      </c>
      <c r="R28" t="n">
        <v>1</v>
      </c>
      <c r="S28" t="n">
        <v>1</v>
      </c>
      <c r="T28" t="inlineStr"/>
      <c r="U28" t="inlineStr"/>
      <c r="V28" t="inlineStr"/>
      <c r="W28" t="inlineStr">
        <is>
          <t>Socratic quality 4/5 (Scaffolding for detection): Scaffolding for detection: identifies the error area and asks a question that confronts the theory. Conceptual precision 3/5 (Sufficient): Sufficient: identifies that there is an error and uses correct concepts, but the diagnosis is somewhat vague. Good overall performance; room for improvement in socratic depth.</t>
        </is>
      </c>
    </row>
    <row r="29">
      <c r="A29" t="n">
        <v>70</v>
      </c>
      <c r="B29" t="n">
        <v>24</v>
      </c>
      <c r="C29" t="n">
        <v>1</v>
      </c>
      <c r="D29" t="n">
        <v>1</v>
      </c>
      <c r="E29" t="inlineStr">
        <is>
          <t>R1, R2 y R4 dado que por  R5 no circula corriente</t>
        </is>
      </c>
      <c r="F29" t="inlineStr">
        <is>
          <t>Considerando que el interruptor entre N2 y N3 está abierto, ¿podrías describir cómo la ausencia de flujo de corriente a través de R5 afecta tu comprensión del camino que la corriente debe tomar para establecer la diferencia de potencial entre N2 y 0?</t>
        </is>
      </c>
      <c r="G29" t="n">
        <v>3</v>
      </c>
      <c r="H29" t="n">
        <v>3</v>
      </c>
      <c r="I29" t="n">
        <v>3</v>
      </c>
      <c r="J29" t="n">
        <v>5</v>
      </c>
      <c r="K29" t="n">
        <v>14</v>
      </c>
      <c r="L29" t="n">
        <v>0.887</v>
      </c>
      <c r="M29" t="n">
        <v>56</v>
      </c>
      <c r="N29" t="n">
        <v>67.65000000000001</v>
      </c>
      <c r="O29" t="inlineStr">
        <is>
          <t>AC6</t>
        </is>
      </c>
      <c r="P29" t="inlineStr">
        <is>
          <t>AC1, AC9</t>
        </is>
      </c>
      <c r="Q29" t="n">
        <v>0</v>
      </c>
      <c r="R29" t="n">
        <v>0</v>
      </c>
      <c r="S29" t="n">
        <v>0</v>
      </c>
      <c r="T29" t="inlineStr"/>
      <c r="U29" t="inlineStr"/>
      <c r="V29" t="inlineStr"/>
      <c r="W29" t="inlineStr">
        <is>
          <t>Socratic quality 3/5 (Clarification): Generic question: asks for clarification without attacking the root error. Conceptual precision 3/5 (Sufficient): Sufficient: identifies that there is an error and uses correct concepts, but the diagnosis is somewhat vague. Good overall performance; room for improvement in socratic depth.</t>
        </is>
      </c>
    </row>
    <row r="30">
      <c r="A30" t="n">
        <v>71</v>
      </c>
      <c r="B30" t="n">
        <v>24</v>
      </c>
      <c r="C30" t="n">
        <v>2</v>
      </c>
      <c r="D30" t="n">
        <v>1</v>
      </c>
      <c r="E30" t="inlineStr">
        <is>
          <t>R1, R2 y R4 dado que R3 se puede quitar</t>
        </is>
      </c>
      <c r="F30" t="inlineStr">
        <is>
          <t>Si la corriente fluye desde la fuente a través de R1 y R2, ¿cómo crees que la presencia o ausencia de una resistencia específica, como R3, impactaría en el cálculo del voltaje a través de R2?</t>
        </is>
      </c>
      <c r="G30" t="n">
        <v>3</v>
      </c>
      <c r="H30" t="n">
        <v>3</v>
      </c>
      <c r="I30" t="n">
        <v>4</v>
      </c>
      <c r="J30" t="n">
        <v>5</v>
      </c>
      <c r="K30" t="n">
        <v>15</v>
      </c>
      <c r="L30" t="n">
        <v>0.786</v>
      </c>
      <c r="M30" t="n">
        <v>49</v>
      </c>
      <c r="N30" t="n">
        <v>76.3</v>
      </c>
      <c r="O30" t="inlineStr">
        <is>
          <t>AC1</t>
        </is>
      </c>
      <c r="P30" t="inlineStr">
        <is>
          <t>AC1</t>
        </is>
      </c>
      <c r="Q30" t="n">
        <v>1</v>
      </c>
      <c r="R30" t="n">
        <v>1</v>
      </c>
      <c r="S30" t="n">
        <v>1</v>
      </c>
      <c r="T30" t="inlineStr"/>
      <c r="U30" t="inlineStr"/>
      <c r="V30" t="inlineStr"/>
      <c r="W30" t="inlineStr">
        <is>
          <t>Socratic quality 3/5 (Clarification): Generic question: asks for clarification without attacking the root error. Conceptual precision 3/5 (Sufficient): Sufficient: identifies that there is an error and uses correct concepts, but the diagnosis is somewhat vague. Good overall performance; room for improvement in socratic depth.</t>
        </is>
      </c>
    </row>
    <row r="31">
      <c r="A31" t="n">
        <v>72</v>
      </c>
      <c r="B31" t="n">
        <v>24</v>
      </c>
      <c r="C31" t="n">
        <v>3</v>
      </c>
      <c r="D31" t="n">
        <v>1</v>
      </c>
      <c r="E31" t="inlineStr">
        <is>
          <t>R1, R2 y R4 dado que R5 se puede quitar</t>
        </is>
      </c>
      <c r="F31" t="inlineStr">
        <is>
          <t>Si se elimina R5, ¿cómo cambiaría tu enfoque para determinar la relación entre la corriente y el voltaje en el resto del circuito, considerando que aún necesitas encontrar la caída de tensión a través de R2?</t>
        </is>
      </c>
      <c r="G31" t="n">
        <v>3</v>
      </c>
      <c r="H31" t="n">
        <v>3</v>
      </c>
      <c r="I31" t="n">
        <v>4</v>
      </c>
      <c r="J31" t="n">
        <v>5</v>
      </c>
      <c r="K31" t="n">
        <v>15</v>
      </c>
      <c r="L31" t="n">
        <v>0.784</v>
      </c>
      <c r="M31" t="n">
        <v>44</v>
      </c>
      <c r="N31" t="n">
        <v>76.53</v>
      </c>
      <c r="O31" t="inlineStr">
        <is>
          <t>AC6</t>
        </is>
      </c>
      <c r="P31" t="inlineStr">
        <is>
          <t>AC1, AC9</t>
        </is>
      </c>
      <c r="Q31" t="n">
        <v>0</v>
      </c>
      <c r="R31" t="n">
        <v>0</v>
      </c>
      <c r="S31" t="n">
        <v>0</v>
      </c>
      <c r="T31" t="inlineStr"/>
      <c r="U31" t="inlineStr"/>
      <c r="V31" t="inlineStr"/>
      <c r="W31" t="inlineStr">
        <is>
          <t>Socratic quality 3/5 (Clarification): Generic question: asks for clarification without attacking the root error. Conceptual precision 3/5 (Sufficient): Sufficient: identifies that there is an error and uses correct concepts, but the diagnosis is somewhat vague. Good overall performance; room for improvement in socratic depth.</t>
        </is>
      </c>
    </row>
    <row r="32">
      <c r="A32" t="n">
        <v>73</v>
      </c>
      <c r="B32" t="n">
        <v>25</v>
      </c>
      <c r="C32" t="n">
        <v>1</v>
      </c>
      <c r="D32" t="n">
        <v>1</v>
      </c>
      <c r="E32" t="inlineStr">
        <is>
          <t>R1, R2 y R4 dado que R3 no influye para nada en la diferencia de potencial que se pide</t>
        </is>
      </c>
      <c r="F32" t="inlineStr">
        <is>
          <t>Considerando que el interruptor está abierto, ¿cómo afecta la interrupción del flujo de corriente a través de R3, y qué papel juega esta interrupción en la determinación del potencial en el nodo N2 en relación con la tierra?</t>
        </is>
      </c>
      <c r="G32" t="n">
        <v>4</v>
      </c>
      <c r="H32" t="n">
        <v>5</v>
      </c>
      <c r="I32" t="n">
        <v>3</v>
      </c>
      <c r="J32" t="n">
        <v>5</v>
      </c>
      <c r="K32" t="n">
        <v>17</v>
      </c>
      <c r="L32" t="n">
        <v>0.902</v>
      </c>
      <c r="M32" t="n">
        <v>49</v>
      </c>
      <c r="N32" t="n">
        <v>66.54000000000001</v>
      </c>
      <c r="O32" t="inlineStr">
        <is>
          <t>AC1</t>
        </is>
      </c>
      <c r="P32" t="inlineStr">
        <is>
          <t>AC1, AC9</t>
        </is>
      </c>
      <c r="Q32" t="n">
        <v>0.5</v>
      </c>
      <c r="R32" t="n">
        <v>1</v>
      </c>
      <c r="S32" t="n">
        <v>0.667</v>
      </c>
      <c r="T32" t="inlineStr"/>
      <c r="U32" t="inlineStr"/>
      <c r="V32" t="inlineStr"/>
      <c r="W32" t="inlineStr">
        <is>
          <t>Socratic quality 4/5 (Scaffolding for detection): Scaffolding for detection: identifies the error area and asks a question that confronts the theory. Conceptual precision 5/5 (Excellent): Excellent: identifies the specific alternative conception and connects it with the circuit topology. High-performing tutor: expert socratic guidance with precise diagnosis.</t>
        </is>
      </c>
    </row>
    <row r="33">
      <c r="A33" t="n">
        <v>74</v>
      </c>
      <c r="B33" t="n">
        <v>25</v>
      </c>
      <c r="C33" t="n">
        <v>2</v>
      </c>
      <c r="D33" t="n">
        <v>1</v>
      </c>
      <c r="E33" t="inlineStr">
        <is>
          <t>R1, R2 y R4 dado que R5 no influye para nada en la diferencia de potencial que se pide</t>
        </is>
      </c>
      <c r="F33" t="inlineStr">
        <is>
          <t>Si el potencial en el nodo N2 está determinado únicamente por R1, R2 y R4, ¿cómo se relaciona la carga que fluye a través de R2 con el voltaje aplicado a R1 en este circuito específico?</t>
        </is>
      </c>
      <c r="G33" t="n">
        <v>3</v>
      </c>
      <c r="H33" t="n">
        <v>3</v>
      </c>
      <c r="I33" t="n">
        <v>4</v>
      </c>
      <c r="J33" t="n">
        <v>5</v>
      </c>
      <c r="K33" t="n">
        <v>15</v>
      </c>
      <c r="L33" t="n">
        <v>0.8179999999999999</v>
      </c>
      <c r="M33" t="n">
        <v>48</v>
      </c>
      <c r="N33" t="n">
        <v>73.31999999999999</v>
      </c>
      <c r="O33" t="inlineStr">
        <is>
          <t>AC6</t>
        </is>
      </c>
      <c r="P33" t="inlineStr"/>
      <c r="Q33" t="n">
        <v>1</v>
      </c>
      <c r="R33" t="n">
        <v>0</v>
      </c>
      <c r="S33" t="n">
        <v>0</v>
      </c>
      <c r="T33" t="inlineStr"/>
      <c r="U33" t="inlineStr"/>
      <c r="V33" t="inlineStr"/>
      <c r="W33" t="inlineStr">
        <is>
          <t>Socratic quality 3/5 (Clarification): Generic question: asks for clarification without attacking the root error. Conceptual precision 3/5 (Sufficient): Sufficient: identifies that there is an error and uses correct concepts, but the diagnosis is somewhat vague. Good overall performance; room for improvement in socratic depth.</t>
        </is>
      </c>
    </row>
    <row r="34">
      <c r="A34" t="n">
        <v>75</v>
      </c>
      <c r="B34" t="n">
        <v>25</v>
      </c>
      <c r="C34" t="n">
        <v>3</v>
      </c>
      <c r="D34" t="n">
        <v>1</v>
      </c>
      <c r="E34" t="inlineStr">
        <is>
          <t>No lo sé</t>
        </is>
      </c>
      <c r="F34" t="inlineStr">
        <is>
          <t>Considerando que el circuito solo consta de R1, R2 y R4, ¿podrías describir cómo la resistencia de cada componente afecta la distribución de la corriente cuando se aplica un voltaje?</t>
        </is>
      </c>
      <c r="G34" t="n">
        <v>3</v>
      </c>
      <c r="H34" t="n">
        <v>3</v>
      </c>
      <c r="I34" t="n">
        <v>2</v>
      </c>
      <c r="J34" t="n">
        <v>5</v>
      </c>
      <c r="K34" t="n">
        <v>13</v>
      </c>
      <c r="L34" t="n">
        <v>0.757</v>
      </c>
      <c r="M34" t="n">
        <v>41</v>
      </c>
      <c r="N34" t="n">
        <v>79.22</v>
      </c>
      <c r="O34" t="inlineStr">
        <is>
          <t>AC9</t>
        </is>
      </c>
      <c r="P34" t="inlineStr">
        <is>
          <t>AC1</t>
        </is>
      </c>
      <c r="Q34" t="n">
        <v>0</v>
      </c>
      <c r="R34" t="n">
        <v>0</v>
      </c>
      <c r="S34" t="n">
        <v>0</v>
      </c>
      <c r="T34" t="inlineStr"/>
      <c r="U34" t="inlineStr"/>
      <c r="V34" t="inlineStr"/>
      <c r="W34" t="inlineStr">
        <is>
          <t>Socratic quality 3/5 (Clarification): Generic question: asks for clarification without attacking the root error. Conceptual precision 3/5 (Sufficient): Sufficient: identifies that there is an error and uses correct concepts, but the diagnosis is somewhat vague. Good overall performance; room for improvement in socratic depth.</t>
        </is>
      </c>
    </row>
    <row r="35">
      <c r="A35" t="n">
        <v>76</v>
      </c>
      <c r="B35" t="n">
        <v>26</v>
      </c>
      <c r="C35" t="n">
        <v>1</v>
      </c>
      <c r="D35" t="n">
        <v>1</v>
      </c>
      <c r="E35" t="inlineStr">
        <is>
          <t>Todas las resistencias</t>
        </is>
      </c>
      <c r="F35" t="inlineStr">
        <is>
          <t>Considerando que el interruptor entre N2 y N3 está abierto, ¿qué resistencias, al estar en un estado de circuito abierto o cortocircuito, no influyen en la diferencia de potencial entre esos dos nodos?</t>
        </is>
      </c>
      <c r="G35" t="n">
        <v>3</v>
      </c>
      <c r="H35" t="n">
        <v>3</v>
      </c>
      <c r="I35" t="n">
        <v>2</v>
      </c>
      <c r="J35" t="n">
        <v>5</v>
      </c>
      <c r="K35" t="n">
        <v>13</v>
      </c>
      <c r="L35" t="n">
        <v>0.843</v>
      </c>
      <c r="M35" t="n">
        <v>46</v>
      </c>
      <c r="N35" t="n">
        <v>71.15000000000001</v>
      </c>
      <c r="O35" t="inlineStr">
        <is>
          <t>AC9</t>
        </is>
      </c>
      <c r="P35" t="inlineStr">
        <is>
          <t>AC1, AC6, AC9</t>
        </is>
      </c>
      <c r="Q35" t="n">
        <v>0.333</v>
      </c>
      <c r="R35" t="n">
        <v>1</v>
      </c>
      <c r="S35" t="n">
        <v>0.5</v>
      </c>
      <c r="T35" t="inlineStr"/>
      <c r="U35" t="inlineStr"/>
      <c r="V35" t="inlineStr"/>
      <c r="W35" t="inlineStr">
        <is>
          <t>Socratic quality 3/5 (Clarification): Generic question: asks for clarification without attacking the root error. Conceptual precision 3/5 (Sufficient): Sufficient: identifies that there is an error and uses correct concepts, but the diagnosis is somewhat vague. Good overall performance; room for improvement in socratic depth.</t>
        </is>
      </c>
    </row>
    <row r="36">
      <c r="A36" t="n">
        <v>77</v>
      </c>
      <c r="B36" t="n">
        <v>26</v>
      </c>
      <c r="C36" t="n">
        <v>2</v>
      </c>
      <c r="D36" t="n">
        <v>1</v>
      </c>
      <c r="E36" t="inlineStr">
        <is>
          <t>R1 y R2</t>
        </is>
      </c>
      <c r="F36" t="inlineStr">
        <is>
          <t>Si el interruptor entre N2 y N3 mantiene el circuito abierto, ¿qué característica de las resistencias, específicamente en relación con la corriente, determina si una resistencia contribuye o no a la caída de tensión en un circuito dado?</t>
        </is>
      </c>
      <c r="G36" t="n">
        <v>3</v>
      </c>
      <c r="H36" t="n">
        <v>3</v>
      </c>
      <c r="I36" t="n">
        <v>2</v>
      </c>
      <c r="J36" t="n">
        <v>5</v>
      </c>
      <c r="K36" t="n">
        <v>13</v>
      </c>
      <c r="L36" t="n">
        <v>0.778</v>
      </c>
      <c r="M36" t="n">
        <v>48</v>
      </c>
      <c r="N36" t="n">
        <v>77.09</v>
      </c>
      <c r="O36" t="inlineStr">
        <is>
          <t>AC9</t>
        </is>
      </c>
      <c r="P36" t="inlineStr">
        <is>
          <t>AC1, AC9</t>
        </is>
      </c>
      <c r="Q36" t="n">
        <v>0.5</v>
      </c>
      <c r="R36" t="n">
        <v>1</v>
      </c>
      <c r="S36" t="n">
        <v>0.667</v>
      </c>
      <c r="T36" t="inlineStr"/>
      <c r="U36" t="inlineStr"/>
      <c r="V36" t="inlineStr"/>
      <c r="W36" t="inlineStr">
        <is>
          <t>Socratic quality 3/5 (Clarification): Generic question: asks for clarification without attacking the root error. Conceptual precision 3/5 (Sufficient): Sufficient: identifies that there is an error and uses correct concepts, but the diagnosis is somewhat vague. Good overall performance; room for improvement in socratic depth.</t>
        </is>
      </c>
    </row>
    <row r="37">
      <c r="A37" t="n">
        <v>78</v>
      </c>
      <c r="B37" t="n">
        <v>26</v>
      </c>
      <c r="C37" t="n">
        <v>3</v>
      </c>
      <c r="D37" t="n">
        <v>1</v>
      </c>
      <c r="E37" t="inlineStr">
        <is>
          <t>R1, R2 y R4</t>
        </is>
      </c>
      <c r="F37" t="inlineStr">
        <is>
          <t>Si el interruptor entre N2 y N3 permanece abierto, ¿qué aspecto de las resistencias, como su valor o disposición, determina directamente la magnitud de la caída de tensión en cada rama del circuito?</t>
        </is>
      </c>
      <c r="G37" t="n">
        <v>3</v>
      </c>
      <c r="H37" t="n">
        <v>4</v>
      </c>
      <c r="I37" t="n">
        <v>2</v>
      </c>
      <c r="J37" t="n">
        <v>5</v>
      </c>
      <c r="K37" t="n">
        <v>14</v>
      </c>
      <c r="L37" t="n">
        <v>0.759</v>
      </c>
      <c r="M37" t="n">
        <v>42</v>
      </c>
      <c r="N37" t="n">
        <v>79.04000000000001</v>
      </c>
      <c r="O37" t="inlineStr"/>
      <c r="P37" t="inlineStr">
        <is>
          <t>AC1, AC9</t>
        </is>
      </c>
      <c r="Q37" t="n">
        <v>0</v>
      </c>
      <c r="R37" t="n">
        <v>1</v>
      </c>
      <c r="S37" t="n">
        <v>0</v>
      </c>
      <c r="T37" t="inlineStr"/>
      <c r="U37" t="inlineStr"/>
      <c r="V37" t="inlineStr"/>
      <c r="W37" t="inlineStr">
        <is>
          <t>Socratic quality 3/5 (Clarification): Generic question: asks for clarification without attacking the root error. Conceptual precision 4/5 (Good): Good: clearly identifies the alternative conception with precise technical language. Good overall performance; room for improvement in socratic depth.</t>
        </is>
      </c>
    </row>
    <row r="38">
      <c r="A38" t="n">
        <v>79</v>
      </c>
      <c r="B38" t="n">
        <v>27</v>
      </c>
      <c r="C38" t="n">
        <v>1</v>
      </c>
      <c r="D38" t="n">
        <v>1</v>
      </c>
      <c r="E38" t="inlineStr">
        <is>
          <t>R1, R2, R4 y R5</t>
        </is>
      </c>
      <c r="F38" t="inlineStr">
        <is>
          <t>Considerando que el interruptor entre N2 y N3 está abierto, ¿podría la corriente fluir a través de R5 y, si es así, qué efecto tendría eso en la diferencia de potencial entre N2 y 0?</t>
        </is>
      </c>
      <c r="G38" t="n">
        <v>5</v>
      </c>
      <c r="H38" t="n">
        <v>3</v>
      </c>
      <c r="I38" t="n">
        <v>3</v>
      </c>
      <c r="J38" t="n">
        <v>5</v>
      </c>
      <c r="K38" t="n">
        <v>16</v>
      </c>
      <c r="L38" t="n">
        <v>0.929</v>
      </c>
      <c r="M38" t="n">
        <v>50</v>
      </c>
      <c r="N38" t="n">
        <v>64.56</v>
      </c>
      <c r="O38" t="inlineStr">
        <is>
          <t>AC6</t>
        </is>
      </c>
      <c r="P38" t="inlineStr">
        <is>
          <t>AC1</t>
        </is>
      </c>
      <c r="Q38" t="n">
        <v>0</v>
      </c>
      <c r="R38" t="n">
        <v>0</v>
      </c>
      <c r="S38" t="n">
        <v>0</v>
      </c>
      <c r="T38" t="inlineStr"/>
      <c r="U38" t="inlineStr"/>
      <c r="V38" t="inlineStr"/>
      <c r="W38" t="inlineStr">
        <is>
          <t>Socratic quality 5/5 (Induction to contradiction): Induction to contradiction: uses counterexample or reduction to absurdity. Conceptual precision 3/5 (Sufficient): Sufficient: identifies that there is an error and uses correct concepts, but the diagnosis is somewhat vague. Good overall performance; room for improvement in socratic depth.</t>
        </is>
      </c>
    </row>
    <row r="39">
      <c r="A39" t="n">
        <v>80</v>
      </c>
      <c r="B39" t="n">
        <v>27</v>
      </c>
      <c r="C39" t="n">
        <v>2</v>
      </c>
      <c r="D39" t="n">
        <v>1</v>
      </c>
      <c r="E39" t="inlineStr">
        <is>
          <t>R1, R2, R3 y R4</t>
        </is>
      </c>
      <c r="F39" t="inlineStr">
        <is>
          <t>Si el interruptor entre N2 y N3 estuviera cerrado, ¿cómo cambiaría el flujo de corriente a través de los componentes y qué implicaría eso para la medición del voltaje en N3?</t>
        </is>
      </c>
      <c r="G39" t="n">
        <v>3</v>
      </c>
      <c r="H39" t="n">
        <v>4</v>
      </c>
      <c r="I39" t="n">
        <v>2</v>
      </c>
      <c r="J39" t="n">
        <v>5</v>
      </c>
      <c r="K39" t="n">
        <v>14</v>
      </c>
      <c r="L39" t="n">
        <v>0.803</v>
      </c>
      <c r="M39" t="n">
        <v>42</v>
      </c>
      <c r="N39" t="n">
        <v>74.70999999999999</v>
      </c>
      <c r="O39" t="inlineStr">
        <is>
          <t>AC1</t>
        </is>
      </c>
      <c r="P39" t="inlineStr">
        <is>
          <t>AC1</t>
        </is>
      </c>
      <c r="Q39" t="n">
        <v>1</v>
      </c>
      <c r="R39" t="n">
        <v>1</v>
      </c>
      <c r="S39" t="n">
        <v>1</v>
      </c>
      <c r="T39" t="inlineStr"/>
      <c r="U39" t="inlineStr"/>
      <c r="V39" t="inlineStr"/>
      <c r="W39" t="inlineStr">
        <is>
          <t>Socratic quality 3/5 (Clarification): Generic question: asks for clarification without attacking the root error. Conceptual precision 4/5 (Good): Good: clearly identifies the alternative conception with precise technical language. Good overall performance; room for improvement in socratic depth.</t>
        </is>
      </c>
    </row>
    <row r="40">
      <c r="A40" t="n">
        <v>81</v>
      </c>
      <c r="B40" t="n">
        <v>27</v>
      </c>
      <c r="C40" t="n">
        <v>3</v>
      </c>
      <c r="D40" t="n">
        <v>1</v>
      </c>
      <c r="E40" t="inlineStr">
        <is>
          <t>R1 y R2 y R4 hacen un divisor de corriente</t>
        </is>
      </c>
      <c r="F40" t="inlineStr">
        <is>
          <t>Si el objetivo es obtener una caída de voltaje específica a través de R4, ¿cómo influye la combinación de R1, R2 y R4 en la distribución general de la corriente en el circuito?</t>
        </is>
      </c>
      <c r="G40" t="n">
        <v>4</v>
      </c>
      <c r="H40" t="n">
        <v>3</v>
      </c>
      <c r="I40" t="n">
        <v>5</v>
      </c>
      <c r="J40" t="n">
        <v>5</v>
      </c>
      <c r="K40" t="n">
        <v>17</v>
      </c>
      <c r="L40" t="n">
        <v>0.783</v>
      </c>
      <c r="M40" t="n">
        <v>43</v>
      </c>
      <c r="N40" t="n">
        <v>76.66</v>
      </c>
      <c r="O40" t="inlineStr"/>
      <c r="P40" t="inlineStr">
        <is>
          <t>AC1</t>
        </is>
      </c>
      <c r="Q40" t="n">
        <v>0</v>
      </c>
      <c r="R40" t="n">
        <v>1</v>
      </c>
      <c r="S40" t="n">
        <v>0</v>
      </c>
      <c r="T40" t="inlineStr"/>
      <c r="U40" t="inlineStr"/>
      <c r="V40" t="inlineStr"/>
      <c r="W40" t="inlineStr">
        <is>
          <t>Socratic quality 4/5 (Scaffolding for detection): Scaffolding for detection: identifies the error area and asks a question that confronts the theory. Conceptual precision 3/5 (Sufficient): Sufficient: identifies that there is an error and uses correct concepts, but the diagnosis is somewhat vague. High-performing tutor: expert socratic guidance with precise diagnosis.</t>
        </is>
      </c>
    </row>
    <row r="41">
      <c r="A41" t="n">
        <v>82</v>
      </c>
      <c r="B41" t="n">
        <v>28</v>
      </c>
      <c r="C41" t="n">
        <v>1</v>
      </c>
      <c r="D41" t="n">
        <v>1</v>
      </c>
      <c r="E41" t="inlineStr">
        <is>
          <t>R1 y R2 y R4 hacen un divisor de tensión, r3 no cuenta por estar en corto</t>
        </is>
      </c>
      <c r="F41" t="inlineStr">
        <is>
          <t>Considerando que el interruptor entre N2 y N3 está abierto, ¿qué efecto tiene la presencia de R5 en la trayectoria de la corriente desde V1 hacia el nodo N2, y cómo podría esto afectar la determinación de las resistencias clave que influyen en el potencial entre N2 y tierra?</t>
        </is>
      </c>
      <c r="G41" t="n">
        <v>3</v>
      </c>
      <c r="H41" t="n">
        <v>5</v>
      </c>
      <c r="I41" t="n">
        <v>3</v>
      </c>
      <c r="J41" t="n">
        <v>5</v>
      </c>
      <c r="K41" t="n">
        <v>16</v>
      </c>
      <c r="L41" t="n">
        <v>0.905</v>
      </c>
      <c r="M41" t="n">
        <v>63</v>
      </c>
      <c r="N41" t="n">
        <v>66.28</v>
      </c>
      <c r="O41" t="inlineStr">
        <is>
          <t>AC1</t>
        </is>
      </c>
      <c r="P41" t="inlineStr">
        <is>
          <t>AC1, AC9</t>
        </is>
      </c>
      <c r="Q41" t="n">
        <v>0.5</v>
      </c>
      <c r="R41" t="n">
        <v>1</v>
      </c>
      <c r="S41" t="n">
        <v>0.667</v>
      </c>
      <c r="T41" t="inlineStr"/>
      <c r="U41" t="inlineStr"/>
      <c r="V41" t="inlineStr"/>
      <c r="W41" t="inlineStr">
        <is>
          <t>Socratic quality 3/5 (Clarification): Generic question: asks for clarification without attacking the root error. Conceptual precision 5/5 (Excellent): Excellent: identifies the specific alternative conception and connects it with the circuit topology. Good overall performance; room for improvement in socratic depth.</t>
        </is>
      </c>
    </row>
    <row r="42">
      <c r="A42" t="n">
        <v>83</v>
      </c>
      <c r="B42" t="n">
        <v>28</v>
      </c>
      <c r="C42" t="n">
        <v>2</v>
      </c>
      <c r="D42" t="n">
        <v>1</v>
      </c>
      <c r="E42" t="inlineStr">
        <is>
          <t>No tengo en cuenta R3 porque el interruptor está cerrado</t>
        </is>
      </c>
      <c r="F42" t="inlineStr">
        <is>
          <t>Si el interruptor entre N2 y N3 está abierto, ¿podría explicar qué papel juega la resistencia de R3 en el cálculo de la caída de tensión en el circuito, considerando que se trata de un componente en cortocircuito?</t>
        </is>
      </c>
      <c r="G42" t="n">
        <v>3</v>
      </c>
      <c r="H42" t="n">
        <v>4</v>
      </c>
      <c r="I42" t="n">
        <v>4</v>
      </c>
      <c r="J42" t="n">
        <v>5</v>
      </c>
      <c r="K42" t="n">
        <v>16</v>
      </c>
      <c r="L42" t="n">
        <v>0.778</v>
      </c>
      <c r="M42" t="n">
        <v>50</v>
      </c>
      <c r="N42" t="n">
        <v>77.12</v>
      </c>
      <c r="O42" t="inlineStr">
        <is>
          <t>AC1, AC9</t>
        </is>
      </c>
      <c r="P42" t="inlineStr">
        <is>
          <t>AC1, AC6, AC9</t>
        </is>
      </c>
      <c r="Q42" t="n">
        <v>0.667</v>
      </c>
      <c r="R42" t="n">
        <v>1</v>
      </c>
      <c r="S42" t="n">
        <v>0.8</v>
      </c>
      <c r="T42" t="inlineStr"/>
      <c r="U42" t="inlineStr"/>
      <c r="V42" t="inlineStr"/>
      <c r="W42" t="inlineStr">
        <is>
          <t>Socratic quality 3/5 (Clarification): Generic question: asks for clarification without attacking the root error. Conceptual precision 4/5 (Good): Good: clearly identifies the alternative conception with precise technical language. Good overall performance; room for improvement in socratic depth.</t>
        </is>
      </c>
    </row>
    <row r="43">
      <c r="A43" t="n">
        <v>84</v>
      </c>
      <c r="B43" t="n">
        <v>28</v>
      </c>
      <c r="C43" t="n">
        <v>3</v>
      </c>
      <c r="D43" t="n">
        <v>1</v>
      </c>
      <c r="E43" t="inlineStr">
        <is>
          <t>No tengo en cuenta R5 porque está en circuito abierto</t>
        </is>
      </c>
      <c r="F43" t="inlineStr">
        <is>
          <t>Si el interruptor entre N2 y N3 está abierto, ¿cómo afecta la resistencia de R3 a la distribución de la corriente y, por lo tanto, a la caída de tensión que observamos en el circuito, considerando que está en un estado de circuito abierto?</t>
        </is>
      </c>
      <c r="G43" t="n">
        <v>4</v>
      </c>
      <c r="H43" t="n">
        <v>3</v>
      </c>
      <c r="I43" t="n">
        <v>2</v>
      </c>
      <c r="J43" t="n">
        <v>5</v>
      </c>
      <c r="K43" t="n">
        <v>14</v>
      </c>
      <c r="L43" t="n">
        <v>0.826</v>
      </c>
      <c r="M43" t="n">
        <v>56</v>
      </c>
      <c r="N43" t="n">
        <v>72.61</v>
      </c>
      <c r="O43" t="inlineStr">
        <is>
          <t>AC6, AC9</t>
        </is>
      </c>
      <c r="P43" t="inlineStr">
        <is>
          <t>AC1, AC9</t>
        </is>
      </c>
      <c r="Q43" t="n">
        <v>0.5</v>
      </c>
      <c r="R43" t="n">
        <v>0.5</v>
      </c>
      <c r="S43" t="n">
        <v>0.5</v>
      </c>
      <c r="T43" t="inlineStr"/>
      <c r="U43" t="inlineStr"/>
      <c r="V43" t="inlineStr"/>
      <c r="W43" t="inlineStr">
        <is>
          <t>Socratic quality 4/5 (Scaffolding for detection): Scaffolding for detection: identifies the error area and asks a question that confronts the theory. Conceptual precision 3/5 (Sufficient): Sufficient: identifies that there is an error and uses correct concepts, but the diagnosis is somewhat vague. Good overall performance; room for improvement in socratic depth.</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36"/>
  <sheetViews>
    <sheetView workbookViewId="0">
      <selection activeCell="A1" sqref="A1"/>
    </sheetView>
  </sheetViews>
  <sheetFormatPr baseColWidth="8" defaultRowHeight="15"/>
  <sheetData>
    <row r="1">
      <c r="A1" t="inlineStr">
        <is>
          <t>ID</t>
        </is>
      </c>
      <c r="B1" t="inlineStr">
        <is>
          <t>Conversation</t>
        </is>
      </c>
      <c r="C1" t="inlineStr">
        <is>
          <t>Turn</t>
        </is>
      </c>
      <c r="D1" t="inlineStr">
        <is>
          <t>Exercise</t>
        </is>
      </c>
      <c r="E1" t="inlineStr">
        <is>
          <t>Student Answer</t>
        </is>
      </c>
      <c r="F1" t="inlineStr">
        <is>
          <t>Tutor Socratic Response</t>
        </is>
      </c>
      <c r="G1" t="inlineStr">
        <is>
          <t>Socratic Quality</t>
        </is>
      </c>
      <c r="H1" t="inlineStr">
        <is>
          <t>Conceptual Precision</t>
        </is>
      </c>
      <c r="I1" t="inlineStr">
        <is>
          <t>Consistency</t>
        </is>
      </c>
      <c r="J1" t="inlineStr">
        <is>
          <t>Hallucination Rate</t>
        </is>
      </c>
      <c r="K1" t="inlineStr">
        <is>
          <t>Total Score</t>
        </is>
      </c>
      <c r="L1" t="inlineStr">
        <is>
          <t>Latency (s)</t>
        </is>
      </c>
      <c r="M1" t="inlineStr">
        <is>
          <t>Tokens</t>
        </is>
      </c>
      <c r="N1" t="inlineStr">
        <is>
          <t>Throughput (resp/min)</t>
        </is>
      </c>
      <c r="O1" t="inlineStr">
        <is>
          <t>Expected ACs</t>
        </is>
      </c>
      <c r="P1" t="inlineStr">
        <is>
          <t>Detected ACs</t>
        </is>
      </c>
      <c r="Q1" t="inlineStr">
        <is>
          <t>AC Precision</t>
        </is>
      </c>
      <c r="R1" t="inlineStr">
        <is>
          <t>AC Recall</t>
        </is>
      </c>
      <c r="S1" t="inlineStr">
        <is>
          <t>AC F1</t>
        </is>
      </c>
      <c r="T1" t="inlineStr">
        <is>
          <t>Faithfulness</t>
        </is>
      </c>
      <c r="U1" t="inlineStr">
        <is>
          <t>Relevance</t>
        </is>
      </c>
      <c r="V1" t="inlineStr">
        <is>
          <t>Think Content</t>
        </is>
      </c>
      <c r="W1" t="inlineStr">
        <is>
          <t>Constructive Feedback</t>
        </is>
      </c>
    </row>
    <row r="2">
      <c r="A2" t="n">
        <v>1</v>
      </c>
      <c r="B2" t="n">
        <v>1</v>
      </c>
      <c r="C2" t="n">
        <v>1</v>
      </c>
      <c r="D2" t="n">
        <v>1</v>
      </c>
      <c r="E2" t="inlineStr">
        <is>
          <t>R1 y R2 dado que las dos resistencia forman un divisor de tensión</t>
        </is>
      </c>
      <c r="F2" t="inlineStr">
        <is>
          <t>¿Cuál es la diferencia entre el camino a través de R3 y el resto del circuito en relación con la diferencia de potencial entre N2 y 0?</t>
        </is>
      </c>
      <c r="G2" t="n">
        <v>3</v>
      </c>
      <c r="H2" t="n">
        <v>3</v>
      </c>
      <c r="I2" t="n">
        <v>3</v>
      </c>
      <c r="J2" t="n">
        <v>5</v>
      </c>
      <c r="K2" t="n">
        <v>14</v>
      </c>
      <c r="L2" t="n">
        <v>158.584</v>
      </c>
      <c r="M2" t="n">
        <v>36</v>
      </c>
      <c r="N2" t="n">
        <v>0.38</v>
      </c>
      <c r="O2" t="inlineStr">
        <is>
          <t>AC9</t>
        </is>
      </c>
      <c r="P2" t="inlineStr">
        <is>
          <t>AC1, AC9</t>
        </is>
      </c>
      <c r="Q2" t="n">
        <v>0.5</v>
      </c>
      <c r="R2" t="n">
        <v>1</v>
      </c>
      <c r="S2" t="n">
        <v>0.667</v>
      </c>
      <c r="T2" t="inlineStr"/>
      <c r="U2" t="inlineStr"/>
      <c r="V2" t="inlineStr"/>
      <c r="W2" t="inlineStr">
        <is>
          <t>Socratic quality 3/5 (Clarification): Generic question: asks for clarification without attacking the root error. Conceptual precision 3/5 (Sufficient): Sufficient: identifies that there is an error and uses correct concepts, but the diagnosis is somewhat vague. Good overall performance; room for improvement in socratic depth.</t>
        </is>
      </c>
    </row>
    <row r="3">
      <c r="A3" t="n">
        <v>5</v>
      </c>
      <c r="B3" t="n">
        <v>2</v>
      </c>
      <c r="C3" t="n">
        <v>2</v>
      </c>
      <c r="D3" t="n">
        <v>1</v>
      </c>
      <c r="E3" t="inlineStr">
        <is>
          <t>R1, R2, R3 y R4 porque R5 está cortocircuitada</t>
        </is>
      </c>
      <c r="F3" t="inlineStr">
        <is>
          <t>¿Crees que la presencia de un cortocircuito en R5 afecta la relación de voltajes entre las resistencias que utilizas para formar el divisor de tensión?</t>
        </is>
      </c>
      <c r="G3" t="n">
        <v>3</v>
      </c>
      <c r="H3" t="n">
        <v>4</v>
      </c>
      <c r="I3" t="n">
        <v>3</v>
      </c>
      <c r="J3" t="n">
        <v>5</v>
      </c>
      <c r="K3" t="n">
        <v>15</v>
      </c>
      <c r="L3" t="n">
        <v>85.495</v>
      </c>
      <c r="M3" t="n">
        <v>40</v>
      </c>
      <c r="N3" t="n">
        <v>0.7</v>
      </c>
      <c r="O3" t="inlineStr">
        <is>
          <t>AC1, AC6</t>
        </is>
      </c>
      <c r="P3" t="inlineStr">
        <is>
          <t>AC6, AC9</t>
        </is>
      </c>
      <c r="Q3" t="n">
        <v>0.5</v>
      </c>
      <c r="R3" t="n">
        <v>0.5</v>
      </c>
      <c r="S3" t="n">
        <v>0.5</v>
      </c>
      <c r="T3" t="inlineStr"/>
      <c r="U3" t="inlineStr"/>
      <c r="V3" t="inlineStr"/>
      <c r="W3" t="inlineStr">
        <is>
          <t>Socratic quality 3/5 (Clarification): Generic question: asks for clarification without attacking the root error. Conceptual precision 4/5 (Good): Good: clearly identifies the alternative conception with precise technical language. Good overall performance; room for improvement in socratic depth.</t>
        </is>
      </c>
    </row>
    <row r="4">
      <c r="A4" t="n">
        <v>9</v>
      </c>
      <c r="B4" t="n">
        <v>3</v>
      </c>
      <c r="C4" t="n">
        <v>3</v>
      </c>
      <c r="D4" t="n">
        <v>1</v>
      </c>
      <c r="E4" t="inlineStr">
        <is>
          <t>R1, R4 y R5 porque R2 se elimina y R3 también</t>
        </is>
      </c>
      <c r="F4" t="inlineStr">
        <is>
          <t>¿Cómo afecta la conexión de R2 en paralelo con la fuente a los otros resistores del circuito?</t>
        </is>
      </c>
      <c r="G4" t="n">
        <v>4</v>
      </c>
      <c r="H4" t="n">
        <v>2</v>
      </c>
      <c r="I4" t="n">
        <v>3</v>
      </c>
      <c r="J4" t="n">
        <v>5</v>
      </c>
      <c r="K4" t="n">
        <v>14</v>
      </c>
      <c r="L4" t="n">
        <v>166.13</v>
      </c>
      <c r="M4" t="n">
        <v>27</v>
      </c>
      <c r="N4" t="n">
        <v>0.36</v>
      </c>
      <c r="O4" t="inlineStr">
        <is>
          <t>AC1, AC6</t>
        </is>
      </c>
      <c r="P4" t="inlineStr"/>
      <c r="Q4" t="n">
        <v>1</v>
      </c>
      <c r="R4" t="n">
        <v>0</v>
      </c>
      <c r="S4" t="n">
        <v>0</v>
      </c>
      <c r="T4" t="inlineStr"/>
      <c r="U4" t="inlineStr"/>
      <c r="V4" t="inlineStr"/>
      <c r="W4" t="inlineStr">
        <is>
          <t>Socratic quality 4/5 (Scaffolding for detection): Scaffolding for detection: identifies the error area and asks a question that confronts the theory. Conceptual precision 2/5 (Poor): Poor: responds generically without diagnosing the conceptual error. Good overall performance; room for improvement in socratic depth.</t>
        </is>
      </c>
    </row>
    <row r="5">
      <c r="A5" t="n">
        <v>11</v>
      </c>
      <c r="B5" t="n">
        <v>4</v>
      </c>
      <c r="C5" t="n">
        <v>2</v>
      </c>
      <c r="D5" t="n">
        <v>1</v>
      </c>
      <c r="E5" t="inlineStr">
        <is>
          <t>R1, R2 y R3 dado que R2 y R3 están en paralelo y forman un divisor de tensión con R1</t>
        </is>
      </c>
      <c r="F5" t="inlineStr">
        <is>
          <t>¿Cómo afecta la configuración del interruptor en R2 y R3 a su relación en serie o paralelo con R1?</t>
        </is>
      </c>
      <c r="G5" t="n">
        <v>4</v>
      </c>
      <c r="H5" t="n">
        <v>4</v>
      </c>
      <c r="I5" t="n">
        <v>5</v>
      </c>
      <c r="J5" t="n">
        <v>5</v>
      </c>
      <c r="K5" t="n">
        <v>18</v>
      </c>
      <c r="L5" t="n">
        <v>116.608</v>
      </c>
      <c r="M5" t="n">
        <v>30</v>
      </c>
      <c r="N5" t="n">
        <v>0.51</v>
      </c>
      <c r="O5" t="inlineStr">
        <is>
          <t>AC1, AC9</t>
        </is>
      </c>
      <c r="P5" t="inlineStr">
        <is>
          <t>AC1</t>
        </is>
      </c>
      <c r="Q5" t="n">
        <v>1</v>
      </c>
      <c r="R5" t="n">
        <v>0.5</v>
      </c>
      <c r="S5" t="n">
        <v>0.667</v>
      </c>
      <c r="T5" t="inlineStr"/>
      <c r="U5" t="inlineStr"/>
      <c r="V5" t="inlineStr"/>
      <c r="W5" t="inlineStr">
        <is>
          <t>Socratic quality 4/5 (Scaffolding for detection): Scaffolding for detection: identifies the error area and asks a question that confronts the theory. Conceptual precision 4/5 (Good): Good: clearly identifies the alternative conception with precise technical language. High-performing tutor: expert socratic guidance with precise diagnosis.</t>
        </is>
      </c>
    </row>
    <row r="6">
      <c r="A6" t="n">
        <v>12</v>
      </c>
      <c r="B6" t="n">
        <v>4</v>
      </c>
      <c r="C6" t="n">
        <v>3</v>
      </c>
      <c r="D6" t="n">
        <v>1</v>
      </c>
      <c r="E6" t="inlineStr">
        <is>
          <t>R1, R2, R4 y R5 dado que R3 está en circuito abierto</t>
        </is>
      </c>
      <c r="F6" t="inlineStr">
        <is>
          <t>¿Cómo afecta la configuración del interruptor en R3 a su interacción con los otros resistores en el circuito?</t>
        </is>
      </c>
      <c r="G6" t="n">
        <v>4</v>
      </c>
      <c r="H6" t="n">
        <v>2</v>
      </c>
      <c r="I6" t="n">
        <v>3</v>
      </c>
      <c r="J6" t="n">
        <v>5</v>
      </c>
      <c r="K6" t="n">
        <v>14</v>
      </c>
      <c r="L6" t="n">
        <v>0.912</v>
      </c>
      <c r="M6" t="n">
        <v>28</v>
      </c>
      <c r="N6" t="n">
        <v>65.77</v>
      </c>
      <c r="O6" t="inlineStr">
        <is>
          <t>AC1, AC6</t>
        </is>
      </c>
      <c r="P6" t="inlineStr">
        <is>
          <t>AC1</t>
        </is>
      </c>
      <c r="Q6" t="n">
        <v>1</v>
      </c>
      <c r="R6" t="n">
        <v>0.5</v>
      </c>
      <c r="S6" t="n">
        <v>0.667</v>
      </c>
      <c r="T6" t="inlineStr"/>
      <c r="U6" t="inlineStr"/>
      <c r="V6" t="inlineStr"/>
      <c r="W6" t="inlineStr">
        <is>
          <t>Socratic quality 4/5 (Scaffolding for detection): Scaffolding for detection: identifies the error area and asks a question that confronts the theory. Conceptual precision 2/5 (Poor): Poor: responds generically without diagnosing the conceptual error. Good overall performance; room for improvement in socratic depth.</t>
        </is>
      </c>
    </row>
    <row r="7">
      <c r="A7" t="n">
        <v>13</v>
      </c>
      <c r="B7" t="n">
        <v>5</v>
      </c>
      <c r="C7" t="n">
        <v>1</v>
      </c>
      <c r="D7" t="n">
        <v>1</v>
      </c>
      <c r="E7" t="inlineStr">
        <is>
          <t>R1, R2, R4 y R5 dado que R3 sobra</t>
        </is>
      </c>
      <c r="F7" t="inlineStr">
        <is>
          <t>¿Qué efecto tiene un interruptor abierto en la rama entre N2 y N3 sobre el flujo de corriente?</t>
        </is>
      </c>
      <c r="G7" t="n">
        <v>3</v>
      </c>
      <c r="H7" t="n">
        <v>3</v>
      </c>
      <c r="I7" t="n">
        <v>3</v>
      </c>
      <c r="J7" t="n">
        <v>5</v>
      </c>
      <c r="K7" t="n">
        <v>14</v>
      </c>
      <c r="L7" t="n">
        <v>1.026</v>
      </c>
      <c r="M7" t="n">
        <v>30</v>
      </c>
      <c r="N7" t="n">
        <v>58.49</v>
      </c>
      <c r="O7" t="inlineStr">
        <is>
          <t>AC1, AC6</t>
        </is>
      </c>
      <c r="P7" t="inlineStr">
        <is>
          <t>AC1</t>
        </is>
      </c>
      <c r="Q7" t="n">
        <v>1</v>
      </c>
      <c r="R7" t="n">
        <v>0.5</v>
      </c>
      <c r="S7" t="n">
        <v>0.667</v>
      </c>
      <c r="T7" t="inlineStr"/>
      <c r="U7" t="inlineStr"/>
      <c r="V7" t="inlineStr"/>
      <c r="W7" t="inlineStr">
        <is>
          <t>Socratic quality 3/5 (Clarification): Generic question: asks for clarification without attacking the root error. Conceptual precision 3/5 (Sufficient): Sufficient: identifies that there is an error and uses correct concepts, but the diagnosis is somewhat vague. Good overall performance; room for improvement in socratic depth.</t>
        </is>
      </c>
    </row>
    <row r="8">
      <c r="A8" t="n">
        <v>14</v>
      </c>
      <c r="B8" t="n">
        <v>5</v>
      </c>
      <c r="C8" t="n">
        <v>2</v>
      </c>
      <c r="D8" t="n">
        <v>1</v>
      </c>
      <c r="E8" t="inlineStr">
        <is>
          <t>R1, R2, R4 y R5 dado que R3 no hace nada</t>
        </is>
      </c>
      <c r="F8" t="inlineStr">
        <is>
          <t>¿Cómo cambiaría el flujo de corriente si R3 fuera un interruptor cerrado en lugar de una resistencia desactivada?</t>
        </is>
      </c>
      <c r="G8" t="n">
        <v>3</v>
      </c>
      <c r="H8" t="n">
        <v>4</v>
      </c>
      <c r="I8" t="n">
        <v>3</v>
      </c>
      <c r="J8" t="n">
        <v>5</v>
      </c>
      <c r="K8" t="n">
        <v>15</v>
      </c>
      <c r="L8" t="n">
        <v>0.872</v>
      </c>
      <c r="M8" t="n">
        <v>31</v>
      </c>
      <c r="N8" t="n">
        <v>68.79000000000001</v>
      </c>
      <c r="O8" t="inlineStr">
        <is>
          <t>AC1, AC6</t>
        </is>
      </c>
      <c r="P8" t="inlineStr">
        <is>
          <t>AC1</t>
        </is>
      </c>
      <c r="Q8" t="n">
        <v>1</v>
      </c>
      <c r="R8" t="n">
        <v>0.5</v>
      </c>
      <c r="S8" t="n">
        <v>0.667</v>
      </c>
      <c r="T8" t="inlineStr"/>
      <c r="U8" t="inlineStr"/>
      <c r="V8" t="inlineStr"/>
      <c r="W8" t="inlineStr">
        <is>
          <t>Socratic quality 3/5 (Clarification): Generic question: asks for clarification without attacking the root error. Conceptual precision 4/5 (Good): Good: clearly identifies the alternative conception with precise technical language. Good overall performance; room for improvement in socratic depth.</t>
        </is>
      </c>
    </row>
    <row r="9">
      <c r="A9" t="n">
        <v>15</v>
      </c>
      <c r="B9" t="n">
        <v>5</v>
      </c>
      <c r="C9" t="n">
        <v>3</v>
      </c>
      <c r="D9" t="n">
        <v>1</v>
      </c>
      <c r="E9" t="inlineStr">
        <is>
          <t>R1, R2 y R4 dado que son las resistencias que forman parte del circuito.</t>
        </is>
      </c>
      <c r="F9" t="inlineStr">
        <is>
          <t>¿Cómo afectaría la presencia de R3 como una resistencia activa en paralelo con R4 al flujo de corriente total?</t>
        </is>
      </c>
      <c r="G9" t="n">
        <v>3</v>
      </c>
      <c r="H9" t="n">
        <v>4</v>
      </c>
      <c r="I9" t="n">
        <v>3</v>
      </c>
      <c r="J9" t="n">
        <v>5</v>
      </c>
      <c r="K9" t="n">
        <v>15</v>
      </c>
      <c r="L9" t="n">
        <v>0.883</v>
      </c>
      <c r="M9" t="n">
        <v>33</v>
      </c>
      <c r="N9" t="n">
        <v>67.94</v>
      </c>
      <c r="O9" t="inlineStr"/>
      <c r="P9" t="inlineStr">
        <is>
          <t>AC1</t>
        </is>
      </c>
      <c r="Q9" t="n">
        <v>0</v>
      </c>
      <c r="R9" t="n">
        <v>1</v>
      </c>
      <c r="S9" t="n">
        <v>0</v>
      </c>
      <c r="T9" t="inlineStr"/>
      <c r="U9" t="inlineStr"/>
      <c r="V9" t="inlineStr"/>
      <c r="W9" t="inlineStr">
        <is>
          <t>Socratic quality 3/5 (Clarification): Generic question: asks for clarification without attacking the root error. Conceptual precision 4/5 (Good): Good: clearly identifies the alternative conception with precise technical language. Good overall performance; room for improvement in socratic depth.</t>
        </is>
      </c>
    </row>
    <row r="10">
      <c r="A10" t="n">
        <v>16</v>
      </c>
      <c r="B10" t="n">
        <v>6</v>
      </c>
      <c r="C10" t="n">
        <v>1</v>
      </c>
      <c r="D10" t="n">
        <v>1</v>
      </c>
      <c r="E10" t="inlineStr">
        <is>
          <t>R1, R2 y R4 dado que R2 y R4 están en paralelo y forma un divisor de tensión con R1.</t>
        </is>
      </c>
      <c r="F10" t="inlineStr">
        <is>
          <t>¿Cómo se vería afectada la diferencia de potencial entre N2 y 0 si el interruptor entre N2 y N3 estuviera cerrado?</t>
        </is>
      </c>
      <c r="G10" t="n">
        <v>3</v>
      </c>
      <c r="H10" t="n">
        <v>3</v>
      </c>
      <c r="I10" t="n">
        <v>3</v>
      </c>
      <c r="J10" t="n">
        <v>5</v>
      </c>
      <c r="K10" t="n">
        <v>14</v>
      </c>
      <c r="L10" t="n">
        <v>0.957</v>
      </c>
      <c r="M10" t="n">
        <v>35</v>
      </c>
      <c r="N10" t="n">
        <v>62.69</v>
      </c>
      <c r="O10" t="inlineStr"/>
      <c r="P10" t="inlineStr">
        <is>
          <t>AC1</t>
        </is>
      </c>
      <c r="Q10" t="n">
        <v>0</v>
      </c>
      <c r="R10" t="n">
        <v>1</v>
      </c>
      <c r="S10" t="n">
        <v>0</v>
      </c>
      <c r="T10" t="inlineStr"/>
      <c r="U10" t="inlineStr"/>
      <c r="V10" t="inlineStr"/>
      <c r="W10" t="inlineStr">
        <is>
          <t>Socratic quality 3/5 (Clarification): Generic question: asks for clarification without attacking the root error. Conceptual precision 3/5 (Sufficient): Sufficient: identifies that there is an error and uses correct concepts, but the diagnosis is somewhat vague. Good overall performance; room for improvement in socratic depth.</t>
        </is>
      </c>
    </row>
    <row r="11">
      <c r="A11" t="n">
        <v>17</v>
      </c>
      <c r="B11" t="n">
        <v>6</v>
      </c>
      <c r="C11" t="n">
        <v>2</v>
      </c>
      <c r="D11" t="n">
        <v>1</v>
      </c>
      <c r="E11" t="inlineStr">
        <is>
          <t>R1, R2 y R4 dado que R3 está en abierto y R5 cortocircuitada</t>
        </is>
      </c>
      <c r="F11" t="inlineStr">
        <is>
          <t>¿Cómo crees que el estado del interruptor entre N2 y N3会影响N2和0点之间的电压差？</t>
        </is>
      </c>
      <c r="G11" t="n">
        <v>1</v>
      </c>
      <c r="H11" t="n">
        <v>2</v>
      </c>
      <c r="I11" t="n">
        <v>3</v>
      </c>
      <c r="J11" t="n">
        <v>5</v>
      </c>
      <c r="K11" t="n">
        <v>11</v>
      </c>
      <c r="L11" t="n">
        <v>0.8149999999999999</v>
      </c>
      <c r="M11" t="n">
        <v>27</v>
      </c>
      <c r="N11" t="n">
        <v>73.65000000000001</v>
      </c>
      <c r="O11" t="inlineStr">
        <is>
          <t>AC1, AC6</t>
        </is>
      </c>
      <c r="P11" t="inlineStr">
        <is>
          <t>AC1</t>
        </is>
      </c>
      <c r="Q11" t="n">
        <v>1</v>
      </c>
      <c r="R11" t="n">
        <v>0.5</v>
      </c>
      <c r="S11" t="n">
        <v>0.667</v>
      </c>
      <c r="T11" t="inlineStr"/>
      <c r="U11" t="inlineStr"/>
      <c r="V11" t="inlineStr"/>
      <c r="W11" t="inlineStr">
        <is>
          <t>Socratic quality 1/5 (Instructive): Does not end with a question; the tutor is instructive. Conceptual precision 2/5 (Poor): Poor: responds generically without diagnosing the conceptual error. Acceptable performance; needs to improve precision or socratic methodology.</t>
        </is>
      </c>
    </row>
    <row r="12">
      <c r="A12" t="n">
        <v>18</v>
      </c>
      <c r="B12" t="n">
        <v>6</v>
      </c>
      <c r="C12" t="n">
        <v>3</v>
      </c>
      <c r="D12" t="n">
        <v>1</v>
      </c>
      <c r="E12" t="inlineStr">
        <is>
          <t>R1, R2 y R4 dado que solo por estas resistencias circula una corriente diferente de cero</t>
        </is>
      </c>
      <c r="F12" t="inlineStr">
        <is>
          <t>¿Cómo crees que el estado del interruptor entre N2 y N3 afectaría la distribución de corriente en este circuito?</t>
        </is>
      </c>
      <c r="G12" t="n">
        <v>3</v>
      </c>
      <c r="H12" t="n">
        <v>3</v>
      </c>
      <c r="I12" t="n">
        <v>3</v>
      </c>
      <c r="J12" t="n">
        <v>5</v>
      </c>
      <c r="K12" t="n">
        <v>14</v>
      </c>
      <c r="L12" t="n">
        <v>0.861</v>
      </c>
      <c r="M12" t="n">
        <v>31</v>
      </c>
      <c r="N12" t="n">
        <v>69.70999999999999</v>
      </c>
      <c r="O12" t="inlineStr"/>
      <c r="P12" t="inlineStr">
        <is>
          <t>AC1, AC9</t>
        </is>
      </c>
      <c r="Q12" t="n">
        <v>0</v>
      </c>
      <c r="R12" t="n">
        <v>1</v>
      </c>
      <c r="S12" t="n">
        <v>0</v>
      </c>
      <c r="T12" t="inlineStr"/>
      <c r="U12" t="inlineStr"/>
      <c r="V12" t="inlineStr"/>
      <c r="W12" t="inlineStr">
        <is>
          <t>Socratic quality 3/5 (Clarification): Generic question: asks for clarification without attacking the root error. Conceptual precision 3/5 (Sufficient): Sufficient: identifies that there is an error and uses correct concepts, but the diagnosis is somewhat vague. Good overall performance; room for improvement in socratic depth.</t>
        </is>
      </c>
    </row>
    <row r="13">
      <c r="A13" t="n">
        <v>19</v>
      </c>
      <c r="B13" t="n">
        <v>7</v>
      </c>
      <c r="C13" t="n">
        <v>1</v>
      </c>
      <c r="D13" t="n">
        <v>1</v>
      </c>
      <c r="E13" t="inlineStr">
        <is>
          <t>R1, R2 y R4 dado que por R3 y por R5 no circula corriente</t>
        </is>
      </c>
      <c r="F13" t="inlineStr">
        <is>
          <t>¿Cómo afecta la presencia de un interruptor abierto entre los nudos N2 y N3 a las resistencias en serie con él?</t>
        </is>
      </c>
      <c r="G13" t="n">
        <v>4</v>
      </c>
      <c r="H13" t="n">
        <v>4</v>
      </c>
      <c r="I13" t="n">
        <v>3</v>
      </c>
      <c r="J13" t="n">
        <v>5</v>
      </c>
      <c r="K13" t="n">
        <v>16</v>
      </c>
      <c r="L13" t="n">
        <v>1.071</v>
      </c>
      <c r="M13" t="n">
        <v>32</v>
      </c>
      <c r="N13" t="n">
        <v>56.02</v>
      </c>
      <c r="O13" t="inlineStr">
        <is>
          <t>AC1, AC6</t>
        </is>
      </c>
      <c r="P13" t="inlineStr">
        <is>
          <t>AC1, AC9</t>
        </is>
      </c>
      <c r="Q13" t="n">
        <v>0.5</v>
      </c>
      <c r="R13" t="n">
        <v>0.5</v>
      </c>
      <c r="S13" t="n">
        <v>0.5</v>
      </c>
      <c r="T13" t="inlineStr"/>
      <c r="U13" t="inlineStr"/>
      <c r="V13" t="inlineStr"/>
      <c r="W13" t="inlineStr">
        <is>
          <t>Socratic quality 4/5 (Scaffolding for detection): Scaffolding for detection: identifies the error area and asks a question that confronts the theory. Conceptual precision 4/5 (Good): Good: clearly identifies the alternative conception with precise technical language. Good overall performance; room for improvement in socratic depth.</t>
        </is>
      </c>
    </row>
    <row r="14">
      <c r="A14" t="n">
        <v>20</v>
      </c>
      <c r="B14" t="n">
        <v>7</v>
      </c>
      <c r="C14" t="n">
        <v>2</v>
      </c>
      <c r="D14" t="n">
        <v>1</v>
      </c>
      <c r="E14" t="inlineStr">
        <is>
          <t>R1, R2 y R4 dado que R3 y R5 se pueden quitar</t>
        </is>
      </c>
      <c r="F14" t="inlineStr">
        <is>
          <t>¿Cómo cambia el estado del interruptor entre los nudos N2 y N3 la interconexión eléctrica de las resistencias R1, R2, R4 con respecto a R3 y R5?</t>
        </is>
      </c>
      <c r="G14" t="n">
        <v>4</v>
      </c>
      <c r="H14" t="n">
        <v>3</v>
      </c>
      <c r="I14" t="n">
        <v>5</v>
      </c>
      <c r="J14" t="n">
        <v>5</v>
      </c>
      <c r="K14" t="n">
        <v>17</v>
      </c>
      <c r="L14" t="n">
        <v>0.973</v>
      </c>
      <c r="M14" t="n">
        <v>48</v>
      </c>
      <c r="N14" t="n">
        <v>61.69</v>
      </c>
      <c r="O14" t="inlineStr">
        <is>
          <t>AC1, AC6</t>
        </is>
      </c>
      <c r="P14" t="inlineStr">
        <is>
          <t>AC1, AC9</t>
        </is>
      </c>
      <c r="Q14" t="n">
        <v>0.5</v>
      </c>
      <c r="R14" t="n">
        <v>0.5</v>
      </c>
      <c r="S14" t="n">
        <v>0.5</v>
      </c>
      <c r="T14" t="inlineStr"/>
      <c r="U14" t="inlineStr"/>
      <c r="V14" t="inlineStr"/>
      <c r="W14" t="inlineStr">
        <is>
          <t>Socratic quality 4/5 (Scaffolding for detection): Scaffolding for detection: identifies the error area and asks a question that confronts the theory. Conceptual precision 3/5 (Sufficient): Sufficient: identifies that there is an error and uses correct concepts, but the diagnosis is somewhat vague. High-performing tutor: expert socratic guidance with precise diagnosis.</t>
        </is>
      </c>
    </row>
    <row r="15">
      <c r="A15" t="n">
        <v>21</v>
      </c>
      <c r="B15" t="n">
        <v>7</v>
      </c>
      <c r="C15" t="n">
        <v>3</v>
      </c>
      <c r="D15" t="n">
        <v>1</v>
      </c>
      <c r="E15" t="inlineStr">
        <is>
          <t>R1, R2 y R4 dado que R3 y R5 no influyen para nada en la diferencia de potencial que se pide</t>
        </is>
      </c>
      <c r="F15" t="inlineStr">
        <is>
          <t>¿Cómo relacionas la existencia o ausencia de corriente en R3 y R5 con el valor de la diferencia de potencial entre los nudos involucrados?</t>
        </is>
      </c>
      <c r="G15" t="n">
        <v>3</v>
      </c>
      <c r="H15" t="n">
        <v>3</v>
      </c>
      <c r="I15" t="n">
        <v>3</v>
      </c>
      <c r="J15" t="n">
        <v>5</v>
      </c>
      <c r="K15" t="n">
        <v>14</v>
      </c>
      <c r="L15" t="n">
        <v>0.976</v>
      </c>
      <c r="M15" t="n">
        <v>39</v>
      </c>
      <c r="N15" t="n">
        <v>61.46</v>
      </c>
      <c r="O15" t="inlineStr">
        <is>
          <t>AC1, AC6</t>
        </is>
      </c>
      <c r="P15" t="inlineStr">
        <is>
          <t>AC1</t>
        </is>
      </c>
      <c r="Q15" t="n">
        <v>1</v>
      </c>
      <c r="R15" t="n">
        <v>0.5</v>
      </c>
      <c r="S15" t="n">
        <v>0.667</v>
      </c>
      <c r="T15" t="inlineStr"/>
      <c r="U15" t="inlineStr"/>
      <c r="V15" t="inlineStr"/>
      <c r="W15" t="inlineStr">
        <is>
          <t>Socratic quality 3/5 (Clarification): Generic question: asks for clarification without attacking the root error. Conceptual precision 3/5 (Sufficient): Sufficient: identifies that there is an error and uses correct concepts, but the diagnosis is somewhat vague. Good overall performance; room for improvement in socratic depth.</t>
        </is>
      </c>
    </row>
    <row r="16">
      <c r="A16" t="n">
        <v>22</v>
      </c>
      <c r="B16" t="n">
        <v>8</v>
      </c>
      <c r="C16" t="n">
        <v>1</v>
      </c>
      <c r="D16" t="n">
        <v>1</v>
      </c>
      <c r="E16" t="inlineStr">
        <is>
          <t>R1, R2 y R4 dado que R3 y R5 sobran</t>
        </is>
      </c>
      <c r="F16" t="inlineStr">
        <is>
          <t>¿Consideras lo que ocurre con la corriente en una rama donde está un interruptor abierto?</t>
        </is>
      </c>
      <c r="G16" t="n">
        <v>3</v>
      </c>
      <c r="H16" t="n">
        <v>3</v>
      </c>
      <c r="I16" t="n">
        <v>3</v>
      </c>
      <c r="J16" t="n">
        <v>5</v>
      </c>
      <c r="K16" t="n">
        <v>14</v>
      </c>
      <c r="L16" t="n">
        <v>0.785</v>
      </c>
      <c r="M16" t="n">
        <v>25</v>
      </c>
      <c r="N16" t="n">
        <v>76.45</v>
      </c>
      <c r="O16" t="inlineStr">
        <is>
          <t>AC1, AC6</t>
        </is>
      </c>
      <c r="P16" t="inlineStr">
        <is>
          <t>AC1</t>
        </is>
      </c>
      <c r="Q16" t="n">
        <v>1</v>
      </c>
      <c r="R16" t="n">
        <v>0.5</v>
      </c>
      <c r="S16" t="n">
        <v>0.667</v>
      </c>
      <c r="T16" t="inlineStr"/>
      <c r="U16" t="inlineStr"/>
      <c r="V16" t="inlineStr"/>
      <c r="W16" t="inlineStr">
        <is>
          <t>Socratic quality 3/5 (Clarification): Generic question: asks for clarification without attacking the root error. Conceptual precision 3/5 (Sufficient): Sufficient: identifies that there is an error and uses correct concepts, but the diagnosis is somewhat vague. Good overall performance; room for improvement in socratic depth.</t>
        </is>
      </c>
    </row>
    <row r="17">
      <c r="A17" t="n">
        <v>23</v>
      </c>
      <c r="B17" t="n">
        <v>8</v>
      </c>
      <c r="C17" t="n">
        <v>2</v>
      </c>
      <c r="D17" t="n">
        <v>1</v>
      </c>
      <c r="E17" t="inlineStr">
        <is>
          <t>R1, R2 y R4 dado que R3 sobra</t>
        </is>
      </c>
      <c r="F17" t="inlineStr">
        <is>
          <t>¿Cómo会影响电路中缺少一个电阻的情况？节点和支路的关系你考虑清楚了吗？</t>
        </is>
      </c>
      <c r="G17" t="n">
        <v>1</v>
      </c>
      <c r="H17" t="n">
        <v>2</v>
      </c>
      <c r="I17" t="n">
        <v>2</v>
      </c>
      <c r="J17" t="n">
        <v>5</v>
      </c>
      <c r="K17" t="n">
        <v>10</v>
      </c>
      <c r="L17" t="n">
        <v>0.547</v>
      </c>
      <c r="M17" t="n">
        <v>21</v>
      </c>
      <c r="N17" t="n">
        <v>109.71</v>
      </c>
      <c r="O17" t="inlineStr">
        <is>
          <t>AC1</t>
        </is>
      </c>
      <c r="P17" t="inlineStr"/>
      <c r="Q17" t="n">
        <v>1</v>
      </c>
      <c r="R17" t="n">
        <v>0</v>
      </c>
      <c r="S17" t="n">
        <v>0</v>
      </c>
      <c r="T17" t="inlineStr"/>
      <c r="U17" t="inlineStr"/>
      <c r="V17" t="inlineStr"/>
      <c r="W17" t="inlineStr">
        <is>
          <t>Socratic quality 1/5 (Instructive): Does not end with a question; the tutor is instructive. Conceptual precision 2/5 (Poor): Generic response: no technical vocabulary or error diagnosis. Acceptable performance; needs to improve precision or socratic methodology.</t>
        </is>
      </c>
    </row>
    <row r="18">
      <c r="A18" t="n">
        <v>24</v>
      </c>
      <c r="B18" t="n">
        <v>8</v>
      </c>
      <c r="C18" t="n">
        <v>3</v>
      </c>
      <c r="D18" t="n">
        <v>1</v>
      </c>
      <c r="E18" t="inlineStr">
        <is>
          <t>R1, R2 y R4 dado que R5 sobra</t>
        </is>
      </c>
      <c r="F18" t="inlineStr">
        <is>
          <t>¿Cómo afecta la ausencia de un resistor en una rama específica a los demás componentes del circuito? ¿Puedes analizar cómo se distribuye la corriente entre las ramas disponibles?</t>
        </is>
      </c>
      <c r="G18" t="n">
        <v>3</v>
      </c>
      <c r="H18" t="n">
        <v>2</v>
      </c>
      <c r="I18" t="n">
        <v>3</v>
      </c>
      <c r="J18" t="n">
        <v>5</v>
      </c>
      <c r="K18" t="n">
        <v>13</v>
      </c>
      <c r="L18" t="n">
        <v>0.924</v>
      </c>
      <c r="M18" t="n">
        <v>45</v>
      </c>
      <c r="N18" t="n">
        <v>64.97</v>
      </c>
      <c r="O18" t="inlineStr">
        <is>
          <t>AC6</t>
        </is>
      </c>
      <c r="P18" t="inlineStr">
        <is>
          <t>AC1, AC9</t>
        </is>
      </c>
      <c r="Q18" t="n">
        <v>0</v>
      </c>
      <c r="R18" t="n">
        <v>0</v>
      </c>
      <c r="S18" t="n">
        <v>0</v>
      </c>
      <c r="T18" t="inlineStr"/>
      <c r="U18" t="inlineStr"/>
      <c r="V18" t="inlineStr"/>
      <c r="W18" t="inlineStr">
        <is>
          <t>Socratic quality 3/5 (Clarification): Generic question: asks for clarification without attacking the root error. Conceptual precision 2/5 (Poor): Poor: responds generically without diagnosing the conceptual error. Good overall performance; room for improvement in socratic depth.</t>
        </is>
      </c>
    </row>
    <row r="19">
      <c r="A19" t="n">
        <v>25</v>
      </c>
      <c r="B19" t="n">
        <v>9</v>
      </c>
      <c r="C19" t="n">
        <v>1</v>
      </c>
      <c r="D19" t="n">
        <v>1</v>
      </c>
      <c r="E19" t="inlineStr">
        <is>
          <t>R1, R2 y R4 dado que R3 está en abierto</t>
        </is>
      </c>
      <c r="F19" t="inlineStr">
        <is>
          <t>¿Qué efecto tiene un interruptor abierto en la rama donde está conectado R3 en relación con el potencial entre N2 y 0?</t>
        </is>
      </c>
      <c r="G19" t="n">
        <v>3</v>
      </c>
      <c r="H19" t="n">
        <v>5</v>
      </c>
      <c r="I19" t="n">
        <v>3</v>
      </c>
      <c r="J19" t="n">
        <v>5</v>
      </c>
      <c r="K19" t="n">
        <v>16</v>
      </c>
      <c r="L19" t="n">
        <v>0.958</v>
      </c>
      <c r="M19" t="n">
        <v>34</v>
      </c>
      <c r="N19" t="n">
        <v>62.65</v>
      </c>
      <c r="O19" t="inlineStr">
        <is>
          <t>AC1</t>
        </is>
      </c>
      <c r="P19" t="inlineStr">
        <is>
          <t>AC1</t>
        </is>
      </c>
      <c r="Q19" t="n">
        <v>1</v>
      </c>
      <c r="R19" t="n">
        <v>1</v>
      </c>
      <c r="S19" t="n">
        <v>1</v>
      </c>
      <c r="T19" t="inlineStr"/>
      <c r="U19" t="inlineStr"/>
      <c r="V19" t="inlineStr"/>
      <c r="W19" t="inlineStr">
        <is>
          <t>Socratic quality 3/5 (Clarification): Generic question: asks for clarification without attacking the root error. Conceptual precision 5/5 (Excellent): Excellent: identifies the specific alternative conception and connects it with the circuit topology. Good overall performance; room for improvement in socratic depth.</t>
        </is>
      </c>
    </row>
    <row r="20">
      <c r="A20" t="n">
        <v>26</v>
      </c>
      <c r="B20" t="n">
        <v>9</v>
      </c>
      <c r="C20" t="n">
        <v>2</v>
      </c>
      <c r="D20" t="n">
        <v>1</v>
      </c>
      <c r="E20" t="inlineStr">
        <is>
          <t>R1, R2 y R4 dado que  R5 cortocircuitada</t>
        </is>
      </c>
      <c r="F20" t="inlineStr">
        <is>
          <t>¿Cómo cambiaría el estado del interruptor en la rama de R3 afectar las tensiones entre N2 y 0 en comparación con lo que tienes ahora?</t>
        </is>
      </c>
      <c r="G20" t="n">
        <v>3</v>
      </c>
      <c r="H20" t="n">
        <v>2</v>
      </c>
      <c r="I20" t="n">
        <v>3</v>
      </c>
      <c r="J20" t="n">
        <v>5</v>
      </c>
      <c r="K20" t="n">
        <v>13</v>
      </c>
      <c r="L20" t="n">
        <v>0.8129999999999999</v>
      </c>
      <c r="M20" t="n">
        <v>37</v>
      </c>
      <c r="N20" t="n">
        <v>73.83</v>
      </c>
      <c r="O20" t="inlineStr">
        <is>
          <t>AC6</t>
        </is>
      </c>
      <c r="P20" t="inlineStr">
        <is>
          <t>AC1</t>
        </is>
      </c>
      <c r="Q20" t="n">
        <v>0</v>
      </c>
      <c r="R20" t="n">
        <v>0</v>
      </c>
      <c r="S20" t="n">
        <v>0</v>
      </c>
      <c r="T20" t="inlineStr"/>
      <c r="U20" t="inlineStr"/>
      <c r="V20" t="inlineStr"/>
      <c r="W20" t="inlineStr">
        <is>
          <t>Socratic quality 3/5 (Clarification): Generic question: asks for clarification without attacking the root error. Conceptual precision 2/5 (Poor): Poor: responds generically without diagnosing the conceptual error. Good overall performance; room for improvement in socratic depth.</t>
        </is>
      </c>
    </row>
    <row r="21">
      <c r="A21" t="n">
        <v>27</v>
      </c>
      <c r="B21" t="n">
        <v>9</v>
      </c>
      <c r="C21" t="n">
        <v>3</v>
      </c>
      <c r="D21" t="n">
        <v>1</v>
      </c>
      <c r="E21" t="inlineStr">
        <is>
          <t>R1, R2 y R4 dado que por R3 no circula corriente</t>
        </is>
      </c>
      <c r="F21" t="inlineStr">
        <is>
          <t>¿Cómo cambiaría la ausencia de corriente en R3 afectar la distribución de potencial entre N2 y 0?</t>
        </is>
      </c>
      <c r="G21" t="n">
        <v>3</v>
      </c>
      <c r="H21" t="n">
        <v>2</v>
      </c>
      <c r="I21" t="n">
        <v>3</v>
      </c>
      <c r="J21" t="n">
        <v>5</v>
      </c>
      <c r="K21" t="n">
        <v>13</v>
      </c>
      <c r="L21" t="n">
        <v>0.729</v>
      </c>
      <c r="M21" t="n">
        <v>30</v>
      </c>
      <c r="N21" t="n">
        <v>82.36</v>
      </c>
      <c r="O21" t="inlineStr">
        <is>
          <t>AC1</t>
        </is>
      </c>
      <c r="P21" t="inlineStr">
        <is>
          <t>AC1</t>
        </is>
      </c>
      <c r="Q21" t="n">
        <v>1</v>
      </c>
      <c r="R21" t="n">
        <v>1</v>
      </c>
      <c r="S21" t="n">
        <v>1</v>
      </c>
      <c r="T21" t="inlineStr"/>
      <c r="U21" t="inlineStr"/>
      <c r="V21" t="inlineStr"/>
      <c r="W21" t="inlineStr">
        <is>
          <t>Socratic quality 3/5 (Clarification): Generic question: asks for clarification without attacking the root error. Conceptual precision 2/5 (Poor): Poor: responds generically without diagnosing the conceptual error. Good overall performance; room for improvement in socratic depth.</t>
        </is>
      </c>
    </row>
    <row r="22">
      <c r="A22" t="n">
        <v>28</v>
      </c>
      <c r="B22" t="n">
        <v>10</v>
      </c>
      <c r="C22" t="n">
        <v>1</v>
      </c>
      <c r="D22" t="n">
        <v>1</v>
      </c>
      <c r="E22" t="inlineStr">
        <is>
          <t>R1, R2 y R4 dado que por  R5 no circula corriente</t>
        </is>
      </c>
      <c r="F22" t="inlineStr">
        <is>
          <t>¿Cómo afecta un interruptor abierto en la circulación de corriente entre los nudos N2 y N3?</t>
        </is>
      </c>
      <c r="G22" t="n">
        <v>4</v>
      </c>
      <c r="H22" t="n">
        <v>3</v>
      </c>
      <c r="I22" t="n">
        <v>3</v>
      </c>
      <c r="J22" t="n">
        <v>5</v>
      </c>
      <c r="K22" t="n">
        <v>15</v>
      </c>
      <c r="L22" t="n">
        <v>0.832</v>
      </c>
      <c r="M22" t="n">
        <v>29</v>
      </c>
      <c r="N22" t="n">
        <v>72.15000000000001</v>
      </c>
      <c r="O22" t="inlineStr">
        <is>
          <t>AC6</t>
        </is>
      </c>
      <c r="P22" t="inlineStr">
        <is>
          <t>AC1</t>
        </is>
      </c>
      <c r="Q22" t="n">
        <v>0</v>
      </c>
      <c r="R22" t="n">
        <v>0</v>
      </c>
      <c r="S22" t="n">
        <v>0</v>
      </c>
      <c r="T22" t="inlineStr"/>
      <c r="U22" t="inlineStr"/>
      <c r="V22" t="inlineStr"/>
      <c r="W22" t="inlineStr">
        <is>
          <t>Socratic quality 4/5 (Scaffolding for detection): Scaffolding for detection: identifies the error area and asks a question that confronts the theory. Conceptual precision 3/5 (Sufficient): Sufficient: identifies that there is an error and uses correct concepts, but the diagnosis is somewhat vague. Good overall performance; room for improvement in socratic depth.</t>
        </is>
      </c>
    </row>
    <row r="23">
      <c r="A23" t="n">
        <v>29</v>
      </c>
      <c r="B23" t="n">
        <v>10</v>
      </c>
      <c r="C23" t="n">
        <v>2</v>
      </c>
      <c r="D23" t="n">
        <v>1</v>
      </c>
      <c r="E23" t="inlineStr">
        <is>
          <t>R1, R2 y R4 dado que R3 se puede quitar</t>
        </is>
      </c>
      <c r="F23" t="inlineStr">
        <is>
          <t>¿Cómo cambiaría la circulación de corriente si R3 estuviera conectado en lugar de abierto?</t>
        </is>
      </c>
      <c r="G23" t="n">
        <v>3</v>
      </c>
      <c r="H23" t="n">
        <v>2</v>
      </c>
      <c r="I23" t="n">
        <v>3</v>
      </c>
      <c r="J23" t="n">
        <v>5</v>
      </c>
      <c r="K23" t="n">
        <v>13</v>
      </c>
      <c r="L23" t="n">
        <v>0.717</v>
      </c>
      <c r="M23" t="n">
        <v>27</v>
      </c>
      <c r="N23" t="n">
        <v>83.7</v>
      </c>
      <c r="O23" t="inlineStr">
        <is>
          <t>AC1</t>
        </is>
      </c>
      <c r="P23" t="inlineStr">
        <is>
          <t>AC1</t>
        </is>
      </c>
      <c r="Q23" t="n">
        <v>1</v>
      </c>
      <c r="R23" t="n">
        <v>1</v>
      </c>
      <c r="S23" t="n">
        <v>1</v>
      </c>
      <c r="T23" t="inlineStr"/>
      <c r="U23" t="inlineStr"/>
      <c r="V23" t="inlineStr"/>
      <c r="W23" t="inlineStr">
        <is>
          <t>Socratic quality 3/5 (Clarification): Generic question: asks for clarification without attacking the root error. Conceptual precision 2/5 (Poor): Poor: responds generically without diagnosing the conceptual error. Good overall performance; room for improvement in socratic depth.</t>
        </is>
      </c>
    </row>
    <row r="24">
      <c r="A24" t="n">
        <v>30</v>
      </c>
      <c r="B24" t="n">
        <v>10</v>
      </c>
      <c r="C24" t="n">
        <v>3</v>
      </c>
      <c r="D24" t="n">
        <v>1</v>
      </c>
      <c r="E24" t="inlineStr">
        <is>
          <t>R1, R2 y R4 dado que R5 se puede quitar</t>
        </is>
      </c>
      <c r="F24" t="inlineStr">
        <is>
          <t>¿Cómo afectaría la presencia de R5 en la circulación de corriente entre los nudos N4 y N3?</t>
        </is>
      </c>
      <c r="G24" t="n">
        <v>3</v>
      </c>
      <c r="H24" t="n">
        <v>2</v>
      </c>
      <c r="I24" t="n">
        <v>3</v>
      </c>
      <c r="J24" t="n">
        <v>5</v>
      </c>
      <c r="K24" t="n">
        <v>13</v>
      </c>
      <c r="L24" t="n">
        <v>0.718</v>
      </c>
      <c r="M24" t="n">
        <v>30</v>
      </c>
      <c r="N24" t="n">
        <v>83.56999999999999</v>
      </c>
      <c r="O24" t="inlineStr">
        <is>
          <t>AC6</t>
        </is>
      </c>
      <c r="P24" t="inlineStr">
        <is>
          <t>AC1</t>
        </is>
      </c>
      <c r="Q24" t="n">
        <v>0</v>
      </c>
      <c r="R24" t="n">
        <v>0</v>
      </c>
      <c r="S24" t="n">
        <v>0</v>
      </c>
      <c r="T24" t="inlineStr"/>
      <c r="U24" t="inlineStr"/>
      <c r="V24" t="inlineStr"/>
      <c r="W24" t="inlineStr">
        <is>
          <t>Socratic quality 3/5 (Clarification): Generic question: asks for clarification without attacking the root error. Conceptual precision 2/5 (Poor): Poor: responds generically without diagnosing the conceptual error. Good overall performance; room for improvement in socratic depth.</t>
        </is>
      </c>
    </row>
    <row r="25">
      <c r="A25" t="n">
        <v>31</v>
      </c>
      <c r="B25" t="n">
        <v>11</v>
      </c>
      <c r="C25" t="n">
        <v>1</v>
      </c>
      <c r="D25" t="n">
        <v>1</v>
      </c>
      <c r="E25" t="inlineStr">
        <is>
          <t>R1, R2 y R4 dado que R3 no influye para nada en la diferencia de potencial que se pide</t>
        </is>
      </c>
      <c r="F25" t="inlineStr">
        <is>
          <t>¿Cuál es el efecto de un interruptor abierto entre N2 y N3 en la circulación de corriente a través de R3?</t>
        </is>
      </c>
      <c r="G25" t="n">
        <v>3</v>
      </c>
      <c r="H25" t="n">
        <v>5</v>
      </c>
      <c r="I25" t="n">
        <v>3</v>
      </c>
      <c r="J25" t="n">
        <v>5</v>
      </c>
      <c r="K25" t="n">
        <v>16</v>
      </c>
      <c r="L25" t="n">
        <v>0.991</v>
      </c>
      <c r="M25" t="n">
        <v>35</v>
      </c>
      <c r="N25" t="n">
        <v>60.54</v>
      </c>
      <c r="O25" t="inlineStr">
        <is>
          <t>AC1</t>
        </is>
      </c>
      <c r="P25" t="inlineStr">
        <is>
          <t>AC1</t>
        </is>
      </c>
      <c r="Q25" t="n">
        <v>1</v>
      </c>
      <c r="R25" t="n">
        <v>1</v>
      </c>
      <c r="S25" t="n">
        <v>1</v>
      </c>
      <c r="T25" t="inlineStr"/>
      <c r="U25" t="inlineStr"/>
      <c r="V25" t="inlineStr"/>
      <c r="W25" t="inlineStr">
        <is>
          <t>Socratic quality 3/5 (Clarification): Generic question: asks for clarification without attacking the root error. Conceptual precision 5/5 (Excellent): Excellent: identifies the specific alternative conception and connects it with the circuit topology. Good overall performance; room for improvement in socratic depth.</t>
        </is>
      </c>
    </row>
    <row r="26">
      <c r="A26" t="n">
        <v>32</v>
      </c>
      <c r="B26" t="n">
        <v>11</v>
      </c>
      <c r="C26" t="n">
        <v>2</v>
      </c>
      <c r="D26" t="n">
        <v>1</v>
      </c>
      <c r="E26" t="inlineStr">
        <is>
          <t>R1, R2 y R4 dado que R5 no influye para nada en la diferencia de potencial que se pide</t>
        </is>
      </c>
      <c r="F26" t="inlineStr">
        <is>
          <t>¿Cómo afecta la presencia o ausencia del resistor R5 a la circulación de corriente en el resto del circuito?</t>
        </is>
      </c>
      <c r="G26" t="n">
        <v>4</v>
      </c>
      <c r="H26" t="n">
        <v>2</v>
      </c>
      <c r="I26" t="n">
        <v>3</v>
      </c>
      <c r="J26" t="n">
        <v>5</v>
      </c>
      <c r="K26" t="n">
        <v>14</v>
      </c>
      <c r="L26" t="n">
        <v>0.8110000000000001</v>
      </c>
      <c r="M26" t="n">
        <v>31</v>
      </c>
      <c r="N26" t="n">
        <v>73.94</v>
      </c>
      <c r="O26" t="inlineStr">
        <is>
          <t>AC6</t>
        </is>
      </c>
      <c r="P26" t="inlineStr">
        <is>
          <t>AC1</t>
        </is>
      </c>
      <c r="Q26" t="n">
        <v>0</v>
      </c>
      <c r="R26" t="n">
        <v>0</v>
      </c>
      <c r="S26" t="n">
        <v>0</v>
      </c>
      <c r="T26" t="inlineStr"/>
      <c r="U26" t="inlineStr"/>
      <c r="V26" t="inlineStr"/>
      <c r="W26" t="inlineStr">
        <is>
          <t>Socratic quality 4/5 (Scaffolding for detection): Scaffolding for detection: identifies the error area and asks a question that confronts the theory. Conceptual precision 2/5 (Poor): Poor: responds generically without diagnosing the conceptual error. Good overall performance; room for improvement in socratic depth.</t>
        </is>
      </c>
    </row>
    <row r="27">
      <c r="A27" t="n">
        <v>33</v>
      </c>
      <c r="B27" t="n">
        <v>11</v>
      </c>
      <c r="C27" t="n">
        <v>3</v>
      </c>
      <c r="D27" t="n">
        <v>1</v>
      </c>
      <c r="E27" t="inlineStr">
        <is>
          <t>No lo sé</t>
        </is>
      </c>
      <c r="F27" t="inlineStr">
        <is>
          <t>¿Cómo crees que el resistor R5 podría influir en la circulación de corriente a través de los otros resistores si estuviera conectado?</t>
        </is>
      </c>
      <c r="G27" t="n">
        <v>3</v>
      </c>
      <c r="H27" t="n">
        <v>2</v>
      </c>
      <c r="I27" t="n">
        <v>2</v>
      </c>
      <c r="J27" t="n">
        <v>5</v>
      </c>
      <c r="K27" t="n">
        <v>12</v>
      </c>
      <c r="L27" t="n">
        <v>0.951</v>
      </c>
      <c r="M27" t="n">
        <v>36</v>
      </c>
      <c r="N27" t="n">
        <v>63.09</v>
      </c>
      <c r="O27" t="inlineStr">
        <is>
          <t>AC9</t>
        </is>
      </c>
      <c r="P27" t="inlineStr">
        <is>
          <t>AC1</t>
        </is>
      </c>
      <c r="Q27" t="n">
        <v>0</v>
      </c>
      <c r="R27" t="n">
        <v>0</v>
      </c>
      <c r="S27" t="n">
        <v>0</v>
      </c>
      <c r="T27" t="inlineStr"/>
      <c r="U27" t="inlineStr"/>
      <c r="V27" t="inlineStr"/>
      <c r="W27" t="inlineStr">
        <is>
          <t>Socratic quality 3/5 (Clarification): Generic question: asks for clarification without attacking the root error. Conceptual precision 2/5 (Poor): Poor: responds generically without diagnosing the conceptual error. Acceptable performance; needs to improve precision or socratic methodology.</t>
        </is>
      </c>
    </row>
    <row r="28">
      <c r="A28" t="n">
        <v>34</v>
      </c>
      <c r="B28" t="n">
        <v>12</v>
      </c>
      <c r="C28" t="n">
        <v>1</v>
      </c>
      <c r="D28" t="n">
        <v>1</v>
      </c>
      <c r="E28" t="inlineStr">
        <is>
          <t>Todas las resistencias</t>
        </is>
      </c>
      <c r="F28" t="inlineStr">
        <is>
          <t>¿Consideraste el efecto del interruptor abierto entre N2 y N3 en la circulación de corriente?</t>
        </is>
      </c>
      <c r="G28" t="n">
        <v>3</v>
      </c>
      <c r="H28" t="n">
        <v>3</v>
      </c>
      <c r="I28" t="n">
        <v>3</v>
      </c>
      <c r="J28" t="n">
        <v>5</v>
      </c>
      <c r="K28" t="n">
        <v>14</v>
      </c>
      <c r="L28" t="n">
        <v>1.043</v>
      </c>
      <c r="M28" t="n">
        <v>28</v>
      </c>
      <c r="N28" t="n">
        <v>57.54</v>
      </c>
      <c r="O28" t="inlineStr">
        <is>
          <t>AC9</t>
        </is>
      </c>
      <c r="P28" t="inlineStr">
        <is>
          <t>AC1</t>
        </is>
      </c>
      <c r="Q28" t="n">
        <v>0</v>
      </c>
      <c r="R28" t="n">
        <v>0</v>
      </c>
      <c r="S28" t="n">
        <v>0</v>
      </c>
      <c r="T28" t="inlineStr"/>
      <c r="U28" t="inlineStr"/>
      <c r="V28" t="inlineStr"/>
      <c r="W28" t="inlineStr">
        <is>
          <t>Socratic quality 3/5 (Clarification): Generic question: asks for clarification without attacking the root error. Conceptual precision 3/5 (Sufficient): Sufficient: identifies that there is an error and uses correct concepts, but the diagnosis is somewhat vague. Good overall performance; room for improvement in socratic depth.</t>
        </is>
      </c>
    </row>
    <row r="29">
      <c r="A29" t="n">
        <v>35</v>
      </c>
      <c r="B29" t="n">
        <v>12</v>
      </c>
      <c r="C29" t="n">
        <v>2</v>
      </c>
      <c r="D29" t="n">
        <v>1</v>
      </c>
      <c r="E29" t="inlineStr">
        <is>
          <t>R1 y R2</t>
        </is>
      </c>
      <c r="F29" t="inlineStr">
        <is>
          <t>¿Cómo podrías evaluar el impacto de R1 y R2 en la tensión entre los nodos N2 y N3 con el interruptor abierto?</t>
        </is>
      </c>
      <c r="G29" t="n">
        <v>3</v>
      </c>
      <c r="H29" t="n">
        <v>3</v>
      </c>
      <c r="I29" t="n">
        <v>2</v>
      </c>
      <c r="J29" t="n">
        <v>5</v>
      </c>
      <c r="K29" t="n">
        <v>13</v>
      </c>
      <c r="L29" t="n">
        <v>0.9360000000000001</v>
      </c>
      <c r="M29" t="n">
        <v>36</v>
      </c>
      <c r="N29" t="n">
        <v>64.11</v>
      </c>
      <c r="O29" t="inlineStr">
        <is>
          <t>AC9</t>
        </is>
      </c>
      <c r="P29" t="inlineStr">
        <is>
          <t>AC1</t>
        </is>
      </c>
      <c r="Q29" t="n">
        <v>0</v>
      </c>
      <c r="R29" t="n">
        <v>0</v>
      </c>
      <c r="S29" t="n">
        <v>0</v>
      </c>
      <c r="T29" t="inlineStr"/>
      <c r="U29" t="inlineStr"/>
      <c r="V29" t="inlineStr"/>
      <c r="W29" t="inlineStr">
        <is>
          <t>Socratic quality 3/5 (Clarification): Generic question: asks for clarification without attacking the root error. Conceptual precision 3/5 (Sufficient): Sufficient: identifies that there is an error and uses correct concepts, but the diagnosis is somewhat vague. Good overall performance; room for improvement in socratic depth.</t>
        </is>
      </c>
    </row>
    <row r="30">
      <c r="A30" t="n">
        <v>36</v>
      </c>
      <c r="B30" t="n">
        <v>12</v>
      </c>
      <c r="C30" t="n">
        <v>3</v>
      </c>
      <c r="D30" t="n">
        <v>1</v>
      </c>
      <c r="E30" t="inlineStr">
        <is>
          <t>R1, R2 y R4</t>
        </is>
      </c>
      <c r="F30" t="inlineStr">
        <is>
          <t>¿Cómo piensas que R4 se vería afectado por el estado del interruptor entre N2 y N3, y cómo podría influir en la distribución de corriente entre R1 y R2?</t>
        </is>
      </c>
      <c r="G30" t="n">
        <v>3</v>
      </c>
      <c r="H30" t="n">
        <v>5</v>
      </c>
      <c r="I30" t="n">
        <v>2</v>
      </c>
      <c r="J30" t="n">
        <v>5</v>
      </c>
      <c r="K30" t="n">
        <v>15</v>
      </c>
      <c r="L30" t="n">
        <v>1.056</v>
      </c>
      <c r="M30" t="n">
        <v>47</v>
      </c>
      <c r="N30" t="n">
        <v>56.8</v>
      </c>
      <c r="O30" t="inlineStr"/>
      <c r="P30" t="inlineStr">
        <is>
          <t>AC1</t>
        </is>
      </c>
      <c r="Q30" t="n">
        <v>0</v>
      </c>
      <c r="R30" t="n">
        <v>1</v>
      </c>
      <c r="S30" t="n">
        <v>0</v>
      </c>
      <c r="T30" t="inlineStr"/>
      <c r="U30" t="inlineStr"/>
      <c r="V30" t="inlineStr"/>
      <c r="W30" t="inlineStr">
        <is>
          <t>Socratic quality 3/5 (Clarification): Generic question: asks for clarification without attacking the root error. Conceptual precision 5/5 (Excellent): Excellent: identifies the specific alternative conception and connects it with the circuit topology. Good overall performance; room for improvement in socratic depth.</t>
        </is>
      </c>
    </row>
    <row r="31">
      <c r="A31" t="n">
        <v>37</v>
      </c>
      <c r="B31" t="n">
        <v>13</v>
      </c>
      <c r="C31" t="n">
        <v>1</v>
      </c>
      <c r="D31" t="n">
        <v>1</v>
      </c>
      <c r="E31" t="inlineStr">
        <is>
          <t>R1, R2, R4 y R5</t>
        </is>
      </c>
      <c r="F31" t="inlineStr">
        <is>
          <t>¿Crees que la presencia del interruptor abierto entre N2 y N3 permita que circule corriente a través de R3?</t>
        </is>
      </c>
      <c r="G31" t="n">
        <v>3</v>
      </c>
      <c r="H31" t="n">
        <v>3</v>
      </c>
      <c r="I31" t="n">
        <v>3</v>
      </c>
      <c r="J31" t="n">
        <v>5</v>
      </c>
      <c r="K31" t="n">
        <v>14</v>
      </c>
      <c r="L31" t="n">
        <v>0.946</v>
      </c>
      <c r="M31" t="n">
        <v>33</v>
      </c>
      <c r="N31" t="n">
        <v>63.41</v>
      </c>
      <c r="O31" t="inlineStr">
        <is>
          <t>AC6</t>
        </is>
      </c>
      <c r="P31" t="inlineStr">
        <is>
          <t>AC1</t>
        </is>
      </c>
      <c r="Q31" t="n">
        <v>0</v>
      </c>
      <c r="R31" t="n">
        <v>0</v>
      </c>
      <c r="S31" t="n">
        <v>0</v>
      </c>
      <c r="T31" t="inlineStr"/>
      <c r="U31" t="inlineStr"/>
      <c r="V31" t="inlineStr"/>
      <c r="W31" t="inlineStr">
        <is>
          <t>Socratic quality 3/5 (Clarification): Generic question: asks for clarification without attacking the root error. Conceptual precision 3/5 (Sufficient): Sufficient: identifies that there is an error and uses correct concepts, but the diagnosis is somewhat vague. Good overall performance; room for improvement in socratic depth.</t>
        </is>
      </c>
    </row>
    <row r="32">
      <c r="A32" t="n">
        <v>38</v>
      </c>
      <c r="B32" t="n">
        <v>13</v>
      </c>
      <c r="C32" t="n">
        <v>2</v>
      </c>
      <c r="D32" t="n">
        <v>1</v>
      </c>
      <c r="E32" t="inlineStr">
        <is>
          <t>R1, R2, R3 y R4</t>
        </is>
      </c>
      <c r="F32" t="inlineStr">
        <is>
          <t>¿Crees que la configuración actual permita una única ruta de circulación de corriente a través del resistor R3?</t>
        </is>
      </c>
      <c r="G32" t="n">
        <v>3</v>
      </c>
      <c r="H32" t="n">
        <v>2</v>
      </c>
      <c r="I32" t="n">
        <v>3</v>
      </c>
      <c r="J32" t="n">
        <v>5</v>
      </c>
      <c r="K32" t="n">
        <v>13</v>
      </c>
      <c r="L32" t="n">
        <v>0.806</v>
      </c>
      <c r="M32" t="n">
        <v>29</v>
      </c>
      <c r="N32" t="n">
        <v>74.41</v>
      </c>
      <c r="O32" t="inlineStr">
        <is>
          <t>AC1</t>
        </is>
      </c>
      <c r="P32" t="inlineStr">
        <is>
          <t>AC1</t>
        </is>
      </c>
      <c r="Q32" t="n">
        <v>1</v>
      </c>
      <c r="R32" t="n">
        <v>1</v>
      </c>
      <c r="S32" t="n">
        <v>1</v>
      </c>
      <c r="T32" t="inlineStr"/>
      <c r="U32" t="inlineStr"/>
      <c r="V32" t="inlineStr"/>
      <c r="W32" t="inlineStr">
        <is>
          <t>Socratic quality 3/5 (Clarification): Generic question: asks for clarification without attacking the root error. Conceptual precision 2/5 (Poor): Poor: responds generically without diagnosing the conceptual error. Good overall performance; room for improvement in socratic depth.</t>
        </is>
      </c>
    </row>
    <row r="33">
      <c r="A33" t="n">
        <v>39</v>
      </c>
      <c r="B33" t="n">
        <v>13</v>
      </c>
      <c r="C33" t="n">
        <v>3</v>
      </c>
      <c r="D33" t="n">
        <v>1</v>
      </c>
      <c r="E33" t="inlineStr">
        <is>
          <t>R1 y R2 y R4 hacen un divisor de corriente</t>
        </is>
      </c>
      <c r="F33" t="inlineStr">
        <is>
          <t>¿Crees que la configuración actual permita que el corriente fluya directamente desde la fuente hasta R4 sin pasar por otros componentes?</t>
        </is>
      </c>
      <c r="G33" t="n">
        <v>3</v>
      </c>
      <c r="H33" t="n">
        <v>2</v>
      </c>
      <c r="I33" t="n">
        <v>3</v>
      </c>
      <c r="J33" t="n">
        <v>5</v>
      </c>
      <c r="K33" t="n">
        <v>13</v>
      </c>
      <c r="L33" t="n">
        <v>0.849</v>
      </c>
      <c r="M33" t="n">
        <v>34</v>
      </c>
      <c r="N33" t="n">
        <v>70.69</v>
      </c>
      <c r="O33" t="inlineStr"/>
      <c r="P33" t="inlineStr">
        <is>
          <t>AC1, AC9</t>
        </is>
      </c>
      <c r="Q33" t="n">
        <v>0</v>
      </c>
      <c r="R33" t="n">
        <v>1</v>
      </c>
      <c r="S33" t="n">
        <v>0</v>
      </c>
      <c r="T33" t="inlineStr"/>
      <c r="U33" t="inlineStr"/>
      <c r="V33" t="inlineStr"/>
      <c r="W33" t="inlineStr">
        <is>
          <t>Socratic quality 3/5 (Clarification): Generic question: asks for clarification without attacking the root error. Conceptual precision 2/5 (Poor): Poor: responds generically without diagnosing the conceptual error. Good overall performance; room for improvement in socratic depth.</t>
        </is>
      </c>
    </row>
    <row r="34">
      <c r="A34" t="n">
        <v>40</v>
      </c>
      <c r="B34" t="n">
        <v>14</v>
      </c>
      <c r="C34" t="n">
        <v>1</v>
      </c>
      <c r="D34" t="n">
        <v>1</v>
      </c>
      <c r="E34" t="inlineStr">
        <is>
          <t>R1 y R2 y R4 hacen un divisor de tensión, r3 no cuenta por estar en corto</t>
        </is>
      </c>
      <c r="F34" t="inlineStr">
        <is>
          <t>¿Cómo afecta la presencia del interruptor abierto entre N2 y N3 al flujo de corriente en esa rama?</t>
        </is>
      </c>
      <c r="G34" t="n">
        <v>4</v>
      </c>
      <c r="H34" t="n">
        <v>3</v>
      </c>
      <c r="I34" t="n">
        <v>3</v>
      </c>
      <c r="J34" t="n">
        <v>5</v>
      </c>
      <c r="K34" t="n">
        <v>15</v>
      </c>
      <c r="L34" t="n">
        <v>1.156</v>
      </c>
      <c r="M34" t="n">
        <v>31</v>
      </c>
      <c r="N34" t="n">
        <v>51.9</v>
      </c>
      <c r="O34" t="inlineStr">
        <is>
          <t>AC1</t>
        </is>
      </c>
      <c r="P34" t="inlineStr">
        <is>
          <t>AC1</t>
        </is>
      </c>
      <c r="Q34" t="n">
        <v>1</v>
      </c>
      <c r="R34" t="n">
        <v>1</v>
      </c>
      <c r="S34" t="n">
        <v>1</v>
      </c>
      <c r="T34" t="inlineStr"/>
      <c r="U34" t="inlineStr"/>
      <c r="V34" t="inlineStr"/>
      <c r="W34" t="inlineStr">
        <is>
          <t>Socratic quality 4/5 (Scaffolding for detection): Scaffolding for detection: identifies the error area and asks a question that confronts the theory. Conceptual precision 3/5 (Sufficient): Sufficient: identifies that there is an error and uses correct concepts, but the diagnosis is somewhat vague. Good overall performance; room for improvement in socratic depth.</t>
        </is>
      </c>
    </row>
    <row r="35">
      <c r="A35" t="n">
        <v>41</v>
      </c>
      <c r="B35" t="n">
        <v>14</v>
      </c>
      <c r="C35" t="n">
        <v>2</v>
      </c>
      <c r="D35" t="n">
        <v>1</v>
      </c>
      <c r="E35" t="inlineStr">
        <is>
          <t>No tengo en cuenta R3 porque el interruptor está cerrado</t>
        </is>
      </c>
      <c r="F35" t="inlineStr">
        <is>
          <t>¿Cómo cambiaría el flujo de corriente en la rama entre N2 y N3 si el interruptor se manteniera cerrado durante todo el tiempo?</t>
        </is>
      </c>
      <c r="G35" t="n">
        <v>3</v>
      </c>
      <c r="H35" t="n">
        <v>3</v>
      </c>
      <c r="I35" t="n">
        <v>3</v>
      </c>
      <c r="J35" t="n">
        <v>5</v>
      </c>
      <c r="K35" t="n">
        <v>14</v>
      </c>
      <c r="L35" t="n">
        <v>0.91</v>
      </c>
      <c r="M35" t="n">
        <v>36</v>
      </c>
      <c r="N35" t="n">
        <v>65.94</v>
      </c>
      <c r="O35" t="inlineStr">
        <is>
          <t>AC1, AC9</t>
        </is>
      </c>
      <c r="P35" t="inlineStr">
        <is>
          <t>AC1</t>
        </is>
      </c>
      <c r="Q35" t="n">
        <v>1</v>
      </c>
      <c r="R35" t="n">
        <v>0.5</v>
      </c>
      <c r="S35" t="n">
        <v>0.667</v>
      </c>
      <c r="T35" t="inlineStr"/>
      <c r="U35" t="inlineStr"/>
      <c r="V35" t="inlineStr"/>
      <c r="W35" t="inlineStr">
        <is>
          <t>Socratic quality 3/5 (Clarification): Generic question: asks for clarification without attacking the root error. Conceptual precision 3/5 (Sufficient): Sufficient: identifies that there is an error and uses correct concepts, but the diagnosis is somewhat vague. Good overall performance; room for improvement in socratic depth.</t>
        </is>
      </c>
    </row>
    <row r="36">
      <c r="A36" t="n">
        <v>42</v>
      </c>
      <c r="B36" t="n">
        <v>14</v>
      </c>
      <c r="C36" t="n">
        <v>3</v>
      </c>
      <c r="D36" t="n">
        <v>1</v>
      </c>
      <c r="E36" t="inlineStr">
        <is>
          <t>No tengo en cuenta R5 porque está en circuito abierto</t>
        </is>
      </c>
      <c r="F36" t="inlineStr">
        <is>
          <t>¿Cómo会影响断开连接的电阻R5在电路中的行为？这是否意味着我们可以完全忽略它对电流的影响？为什么或为什么不？</t>
        </is>
      </c>
      <c r="G36" t="n">
        <v>1</v>
      </c>
      <c r="H36" t="n">
        <v>2</v>
      </c>
      <c r="I36" t="n">
        <v>2</v>
      </c>
      <c r="J36" t="n">
        <v>5</v>
      </c>
      <c r="K36" t="n">
        <v>10</v>
      </c>
      <c r="L36" t="n">
        <v>1.25</v>
      </c>
      <c r="M36" t="n">
        <v>31</v>
      </c>
      <c r="N36" t="n">
        <v>47.99</v>
      </c>
      <c r="O36" t="inlineStr">
        <is>
          <t>AC6, AC9</t>
        </is>
      </c>
      <c r="P36" t="inlineStr"/>
      <c r="Q36" t="n">
        <v>1</v>
      </c>
      <c r="R36" t="n">
        <v>0</v>
      </c>
      <c r="S36" t="n">
        <v>0</v>
      </c>
      <c r="T36" t="inlineStr"/>
      <c r="U36" t="inlineStr"/>
      <c r="V36" t="inlineStr"/>
      <c r="W36" t="inlineStr">
        <is>
          <t>Socratic quality 1/5 (Instructive): Does not end with a question; the tutor is instructive. Conceptual precision 2/5 (Poor): Generic response: no technical vocabulary or error diagnosis. Acceptable performance; needs to improve precision or socratic methodology.</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t="inlineStr">
        <is>
          <t>Field</t>
        </is>
      </c>
      <c r="B1" t="inlineStr">
        <is>
          <t>Value</t>
        </is>
      </c>
    </row>
    <row r="2">
      <c r="A2" t="inlineStr">
        <is>
          <t>Generation date</t>
        </is>
      </c>
      <c r="B2" t="inlineStr">
        <is>
          <t>2026-05-21T12:07:49.008348</t>
        </is>
      </c>
    </row>
    <row r="3">
      <c r="A3" t="inlineStr">
        <is>
          <t>Method</t>
        </is>
      </c>
      <c r="B3" t="inlineStr">
        <is>
          <t>RAG</t>
        </is>
      </c>
    </row>
    <row r="4">
      <c r="A4" t="inlineStr">
        <is>
          <t>Models evaluated</t>
        </is>
      </c>
      <c r="B4" t="inlineStr">
        <is>
          <t>gemma3:27b, gemma3:4b, qwen2.5:latest</t>
        </is>
      </c>
    </row>
    <row r="5">
      <c r="A5" t="inlineStr">
        <is>
          <t>Exercises covered</t>
        </is>
      </c>
      <c r="B5" t="inlineStr">
        <is>
          <t>1</t>
        </is>
      </c>
    </row>
    <row r="6">
      <c r="A6" t="inlineStr">
        <is>
          <t>Total evaluations</t>
        </is>
      </c>
      <c r="B6" t="n">
        <v>119</v>
      </c>
    </row>
    <row r="7">
      <c r="A7" t="inlineStr">
        <is>
          <t>UPV Ollama URL</t>
        </is>
      </c>
      <c r="B7" t="inlineStr">
        <is>
          <t>https://ollama.gti-ia.upv.es:443</t>
        </is>
      </c>
    </row>
    <row r="8">
      <c r="A8" t="inlineStr">
        <is>
          <t>PoliGPT URL</t>
        </is>
      </c>
      <c r="B8" t="inlineStr">
        <is>
          <t>https://api.poligpt.upv.es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Q4"/>
  <sheetViews>
    <sheetView workbookViewId="0">
      <selection activeCell="A1" sqref="A1"/>
    </sheetView>
  </sheetViews>
  <sheetFormatPr baseColWidth="8" defaultRowHeight="15"/>
  <sheetData>
    <row r="1">
      <c r="A1" t="inlineStr">
        <is>
          <t>Ranking</t>
        </is>
      </c>
      <c r="B1" t="inlineStr">
        <is>
          <t>Model</t>
        </is>
      </c>
      <c r="C1" t="inlineStr">
        <is>
          <t>samples</t>
        </is>
      </c>
      <c r="D1" t="inlineStr">
        <is>
          <t>avg_latency</t>
        </is>
      </c>
      <c r="E1" t="inlineStr">
        <is>
          <t>p95_latency</t>
        </is>
      </c>
      <c r="F1" t="inlineStr">
        <is>
          <t>throughput</t>
        </is>
      </c>
      <c r="G1" t="inlineStr">
        <is>
          <t>avg_tokens</t>
        </is>
      </c>
      <c r="H1" t="inlineStr">
        <is>
          <t>socratic_format</t>
        </is>
      </c>
      <c r="I1" t="inlineStr">
        <is>
          <t>conceptual_correctness</t>
        </is>
      </c>
      <c r="J1" t="inlineStr">
        <is>
          <t>adaptability</t>
        </is>
      </c>
      <c r="K1" t="inlineStr">
        <is>
          <t>reflection_generation</t>
        </is>
      </c>
      <c r="L1" t="inlineStr">
        <is>
          <t>score_total</t>
        </is>
      </c>
      <c r="M1" t="inlineStr">
        <is>
          <t>pct_socratic</t>
        </is>
      </c>
      <c r="N1" t="inlineStr">
        <is>
          <t>pct_score_15</t>
        </is>
      </c>
      <c r="O1" t="inlineStr">
        <is>
          <t>faithfulness</t>
        </is>
      </c>
      <c r="P1" t="inlineStr">
        <is>
          <t>relevance</t>
        </is>
      </c>
      <c r="Q1" t="inlineStr">
        <is>
          <t>pct_cot</t>
        </is>
      </c>
    </row>
    <row r="2">
      <c r="A2" t="n">
        <v>1</v>
      </c>
      <c r="B2" t="inlineStr">
        <is>
          <t>gemma3:4b</t>
        </is>
      </c>
      <c r="C2">
        <f>COUNTA('Results_gemma3_4b'!A2:A10000)</f>
        <v/>
      </c>
      <c r="D2">
        <f>IFERROR(AVERAGE('Results_gemma3_4b'!L2:L10000),"")</f>
        <v/>
      </c>
      <c r="E2">
        <f>IFERROR(PERCENTILE('Results_gemma3_4b'!L2:L10000,0.95),"")</f>
        <v/>
      </c>
      <c r="F2">
        <f>IFERROR(IF(AVERAGE('Results_gemma3_4b'!L2:L10000)&gt;0,60/AVERAGE('Results_gemma3_4b'!L2:L10000),0),"")</f>
        <v/>
      </c>
      <c r="G2">
        <f>IFERROR(AVERAGE('Results_gemma3_4b'!M2:M10000),"")</f>
        <v/>
      </c>
      <c r="H2">
        <f>IFERROR(AVERAGE('Results_gemma3_4b'!G2:G10000),"")</f>
        <v/>
      </c>
      <c r="I2">
        <f>IFERROR(AVERAGE('Results_gemma3_4b'!H2:H10000),"")</f>
        <v/>
      </c>
      <c r="J2">
        <f>IFERROR(AVERAGE('Results_gemma3_4b'!I2:I10000),"")</f>
        <v/>
      </c>
      <c r="K2">
        <f>IFERROR(AVERAGE('Results_gemma3_4b'!J2:J10000),"")</f>
        <v/>
      </c>
      <c r="L2">
        <f>IFERROR(AVERAGE('Results_gemma3_4b'!K2:K10000),"")</f>
        <v/>
      </c>
      <c r="M2">
        <f>IFERROR(COUNTIF('Results_gemma3_4b'!G2:G10000,"&gt;=4")/COUNTA('Results_gemma3_4b'!G2:G10000)*100,"")</f>
        <v/>
      </c>
      <c r="N2">
        <f>IFERROR(COUNTIF('Results_gemma3_4b'!K2:K10000,"&gt;=15")/COUNTA('Results_gemma3_4b'!K2:K10000)*100,"")</f>
        <v/>
      </c>
      <c r="O2">
        <f>IFERROR(AVERAGE('Results_gemma3_4b'!T2:T10000),"")</f>
        <v/>
      </c>
      <c r="P2">
        <f>IFERROR(AVERAGE('Results_gemma3_4b'!U2:U10000),"")</f>
        <v/>
      </c>
      <c r="Q2">
        <f>IFERROR(COUNTIF('Results_gemma3_4b'!V2:V10000,"&lt;&gt;")/COUNTA('Results_gemma3_4b'!A2:A10000)*100,"")</f>
        <v/>
      </c>
    </row>
    <row r="3">
      <c r="A3" t="n">
        <v>2</v>
      </c>
      <c r="B3" t="inlineStr">
        <is>
          <t>gemma3:27b</t>
        </is>
      </c>
      <c r="C3">
        <f>COUNTA('Results_gemma3_27b'!A2:A10000)</f>
        <v/>
      </c>
      <c r="D3">
        <f>IFERROR(AVERAGE('Results_gemma3_27b'!L2:L10000),"")</f>
        <v/>
      </c>
      <c r="E3">
        <f>IFERROR(PERCENTILE('Results_gemma3_27b'!L2:L10000,0.95),"")</f>
        <v/>
      </c>
      <c r="F3">
        <f>IFERROR(IF(AVERAGE('Results_gemma3_27b'!L2:L10000)&gt;0,60/AVERAGE('Results_gemma3_27b'!L2:L10000),0),"")</f>
        <v/>
      </c>
      <c r="G3">
        <f>IFERROR(AVERAGE('Results_gemma3_27b'!M2:M10000),"")</f>
        <v/>
      </c>
      <c r="H3">
        <f>IFERROR(AVERAGE('Results_gemma3_27b'!G2:G10000),"")</f>
        <v/>
      </c>
      <c r="I3">
        <f>IFERROR(AVERAGE('Results_gemma3_27b'!H2:H10000),"")</f>
        <v/>
      </c>
      <c r="J3">
        <f>IFERROR(AVERAGE('Results_gemma3_27b'!I2:I10000),"")</f>
        <v/>
      </c>
      <c r="K3">
        <f>IFERROR(AVERAGE('Results_gemma3_27b'!J2:J10000),"")</f>
        <v/>
      </c>
      <c r="L3">
        <f>IFERROR(AVERAGE('Results_gemma3_27b'!K2:K10000),"")</f>
        <v/>
      </c>
      <c r="M3">
        <f>IFERROR(COUNTIF('Results_gemma3_27b'!G2:G10000,"&gt;=4")/COUNTA('Results_gemma3_27b'!G2:G10000)*100,"")</f>
        <v/>
      </c>
      <c r="N3">
        <f>IFERROR(COUNTIF('Results_gemma3_27b'!K2:K10000,"&gt;=15")/COUNTA('Results_gemma3_27b'!K2:K10000)*100,"")</f>
        <v/>
      </c>
      <c r="O3">
        <f>IFERROR(AVERAGE('Results_gemma3_27b'!T2:T10000),"")</f>
        <v/>
      </c>
      <c r="P3">
        <f>IFERROR(AVERAGE('Results_gemma3_27b'!U2:U10000),"")</f>
        <v/>
      </c>
      <c r="Q3">
        <f>IFERROR(COUNTIF('Results_gemma3_27b'!V2:V10000,"&lt;&gt;")/COUNTA('Results_gemma3_27b'!A2:A10000)*100,"")</f>
        <v/>
      </c>
    </row>
    <row r="4">
      <c r="A4" t="n">
        <v>3</v>
      </c>
      <c r="B4" t="inlineStr">
        <is>
          <t>qwen2.5:latest</t>
        </is>
      </c>
      <c r="C4">
        <f>COUNTA('Results_qwen2.5_latest'!A2:A10000)</f>
        <v/>
      </c>
      <c r="D4">
        <f>IFERROR(AVERAGE('Results_qwen2.5_latest'!L2:L10000),"")</f>
        <v/>
      </c>
      <c r="E4">
        <f>IFERROR(PERCENTILE('Results_qwen2.5_latest'!L2:L10000,0.95),"")</f>
        <v/>
      </c>
      <c r="F4">
        <f>IFERROR(IF(AVERAGE('Results_qwen2.5_latest'!L2:L10000)&gt;0,60/AVERAGE('Results_qwen2.5_latest'!L2:L10000),0),"")</f>
        <v/>
      </c>
      <c r="G4">
        <f>IFERROR(AVERAGE('Results_qwen2.5_latest'!M2:M10000),"")</f>
        <v/>
      </c>
      <c r="H4">
        <f>IFERROR(AVERAGE('Results_qwen2.5_latest'!G2:G10000),"")</f>
        <v/>
      </c>
      <c r="I4">
        <f>IFERROR(AVERAGE('Results_qwen2.5_latest'!H2:H10000),"")</f>
        <v/>
      </c>
      <c r="J4">
        <f>IFERROR(AVERAGE('Results_qwen2.5_latest'!I2:I10000),"")</f>
        <v/>
      </c>
      <c r="K4">
        <f>IFERROR(AVERAGE('Results_qwen2.5_latest'!J2:J10000),"")</f>
        <v/>
      </c>
      <c r="L4">
        <f>IFERROR(AVERAGE('Results_qwen2.5_latest'!K2:K10000),"")</f>
        <v/>
      </c>
      <c r="M4">
        <f>IFERROR(COUNTIF('Results_qwen2.5_latest'!G2:G10000,"&gt;=4")/COUNTA('Results_qwen2.5_latest'!G2:G10000)*100,"")</f>
        <v/>
      </c>
      <c r="N4">
        <f>IFERROR(COUNTIF('Results_qwen2.5_latest'!K2:K10000,"&gt;=15")/COUNTA('Results_qwen2.5_latest'!K2:K10000)*100,"")</f>
        <v/>
      </c>
      <c r="O4">
        <f>IFERROR(AVERAGE('Results_qwen2.5_latest'!T2:T10000),"")</f>
        <v/>
      </c>
      <c r="P4">
        <f>IFERROR(AVERAGE('Results_qwen2.5_latest'!U2:U10000),"")</f>
        <v/>
      </c>
      <c r="Q4">
        <f>IFERROR(COUNTIF('Results_qwen2.5_latest'!V2:V10000,"&lt;&gt;")/COUNTA('Results_qwen2.5_latest'!A2:A10000)*100,"")</f>
        <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4"/>
  <sheetViews>
    <sheetView workbookViewId="0">
      <selection activeCell="A1" sqref="A1"/>
    </sheetView>
  </sheetViews>
  <sheetFormatPr baseColWidth="8" defaultRowHeight="15"/>
  <sheetData>
    <row r="1">
      <c r="A1" t="inlineStr">
        <is>
          <t>Model</t>
        </is>
      </c>
      <c r="B1" t="inlineStr">
        <is>
          <t>Arch.</t>
        </is>
      </c>
      <c r="C1" t="inlineStr">
        <is>
          <t>samples</t>
        </is>
      </c>
      <c r="D1" t="inlineStr">
        <is>
          <t>avg_latency (s)</t>
        </is>
      </c>
      <c r="E1" t="inlineStr">
        <is>
          <t>avg_tokens</t>
        </is>
      </c>
      <c r="F1" t="inlineStr">
        <is>
          <t>socraticity (0-5)</t>
        </is>
      </c>
      <c r="G1" t="inlineStr">
        <is>
          <t>conceptual correctness (0-5)</t>
        </is>
      </c>
      <c r="H1" t="inlineStr">
        <is>
          <t>consistency (0-5)</t>
        </is>
      </c>
      <c r="I1" t="inlineStr">
        <is>
          <t>hallucination rate (0-5)</t>
        </is>
      </c>
      <c r="J1" t="inlineStr">
        <is>
          <t>temperature</t>
        </is>
      </c>
    </row>
    <row r="2">
      <c r="A2" t="inlineStr">
        <is>
          <t>gemma3:4b</t>
        </is>
      </c>
      <c r="B2" t="inlineStr">
        <is>
          <t>RAG</t>
        </is>
      </c>
      <c r="C2">
        <f>COUNTA('Results_gemma3_4b'!A2:A10000)</f>
        <v/>
      </c>
      <c r="D2">
        <f>IFERROR(AVERAGE('Results_gemma3_4b'!L2:L10000),"")</f>
        <v/>
      </c>
      <c r="E2">
        <f>IFERROR(AVERAGE('Results_gemma3_4b'!M2:M10000),"")</f>
        <v/>
      </c>
      <c r="F2">
        <f>IFERROR(AVERAGE('Results_gemma3_4b'!G2:G10000),"")</f>
        <v/>
      </c>
      <c r="G2">
        <f>IFERROR(AVERAGE('Results_gemma3_4b'!H2:H10000),"")</f>
        <v/>
      </c>
      <c r="H2">
        <f>IFERROR(AVERAGE('Results_gemma3_4b'!I2:I10000),"")</f>
        <v/>
      </c>
      <c r="I2">
        <f>IFERROR(AVERAGE('Results_gemma3_4b'!J2:J10000),"")</f>
        <v/>
      </c>
      <c r="J2" t="n">
        <v>0.7</v>
      </c>
    </row>
    <row r="3">
      <c r="A3" t="inlineStr">
        <is>
          <t>gemma3:27b</t>
        </is>
      </c>
      <c r="B3" t="inlineStr">
        <is>
          <t>RAG</t>
        </is>
      </c>
      <c r="C3">
        <f>COUNTA('Results_gemma3_27b'!A2:A10000)</f>
        <v/>
      </c>
      <c r="D3">
        <f>IFERROR(AVERAGE('Results_gemma3_27b'!L2:L10000),"")</f>
        <v/>
      </c>
      <c r="E3">
        <f>IFERROR(AVERAGE('Results_gemma3_27b'!M2:M10000),"")</f>
        <v/>
      </c>
      <c r="F3">
        <f>IFERROR(AVERAGE('Results_gemma3_27b'!G2:G10000),"")</f>
        <v/>
      </c>
      <c r="G3">
        <f>IFERROR(AVERAGE('Results_gemma3_27b'!H2:H10000),"")</f>
        <v/>
      </c>
      <c r="H3">
        <f>IFERROR(AVERAGE('Results_gemma3_27b'!I2:I10000),"")</f>
        <v/>
      </c>
      <c r="I3">
        <f>IFERROR(AVERAGE('Results_gemma3_27b'!J2:J10000),"")</f>
        <v/>
      </c>
      <c r="J3" t="n">
        <v>0.7</v>
      </c>
    </row>
    <row r="4">
      <c r="A4" t="inlineStr">
        <is>
          <t>qwen2.5:latest</t>
        </is>
      </c>
      <c r="B4" t="inlineStr">
        <is>
          <t>RAG-UPV</t>
        </is>
      </c>
      <c r="C4">
        <f>COUNTA('Results_qwen2.5_latest'!A2:A10000)</f>
        <v/>
      </c>
      <c r="D4">
        <f>IFERROR(AVERAGE('Results_qwen2.5_latest'!L2:L10000),"")</f>
        <v/>
      </c>
      <c r="E4">
        <f>IFERROR(AVERAGE('Results_qwen2.5_latest'!M2:M10000),"")</f>
        <v/>
      </c>
      <c r="F4">
        <f>IFERROR(AVERAGE('Results_qwen2.5_latest'!G2:G10000),"")</f>
        <v/>
      </c>
      <c r="G4">
        <f>IFERROR(AVERAGE('Results_qwen2.5_latest'!H2:H10000),"")</f>
        <v/>
      </c>
      <c r="H4">
        <f>IFERROR(AVERAGE('Results_qwen2.5_latest'!I2:I10000),"")</f>
        <v/>
      </c>
      <c r="I4">
        <f>IFERROR(AVERAGE('Results_qwen2.5_latest'!J2:J10000),"")</f>
        <v/>
      </c>
      <c r="J4" t="n">
        <v>0.7</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A1" t="inlineStr">
        <is>
          <t>Model</t>
        </is>
      </c>
      <c r="B1" t="inlineStr">
        <is>
          <t>avg_latency</t>
        </is>
      </c>
      <c r="C1" t="inlineStr">
        <is>
          <t>p95_latency</t>
        </is>
      </c>
      <c r="D1" t="inlineStr">
        <is>
          <t>throughput</t>
        </is>
      </c>
      <c r="E1" t="inlineStr">
        <is>
          <t>avg_tokens</t>
        </is>
      </c>
    </row>
    <row r="2">
      <c r="A2" t="inlineStr">
        <is>
          <t>gemma3:4b</t>
        </is>
      </c>
      <c r="B2">
        <f>IFERROR(AVERAGE('Results_gemma3_4b'!L2:L10000),"")</f>
        <v/>
      </c>
      <c r="C2">
        <f>IFERROR(PERCENTILE('Results_gemma3_4b'!L2:L10000,0.95),"")</f>
        <v/>
      </c>
      <c r="D2">
        <f>IFERROR(IF(AVERAGE('Results_gemma3_4b'!L2:L10000)&gt;0,60/AVERAGE('Results_gemma3_4b'!L2:L10000),0),"")</f>
        <v/>
      </c>
      <c r="E2">
        <f>IFERROR(AVERAGE('Results_gemma3_4b'!M2:M10000),"")</f>
        <v/>
      </c>
    </row>
    <row r="3">
      <c r="A3" t="inlineStr">
        <is>
          <t>gemma3:27b</t>
        </is>
      </c>
      <c r="B3">
        <f>IFERROR(AVERAGE('Results_gemma3_27b'!L2:L10000),"")</f>
        <v/>
      </c>
      <c r="C3">
        <f>IFERROR(PERCENTILE('Results_gemma3_27b'!L2:L10000,0.95),"")</f>
        <v/>
      </c>
      <c r="D3">
        <f>IFERROR(IF(AVERAGE('Results_gemma3_27b'!L2:L10000)&gt;0,60/AVERAGE('Results_gemma3_27b'!L2:L10000),0),"")</f>
        <v/>
      </c>
      <c r="E3">
        <f>IFERROR(AVERAGE('Results_gemma3_27b'!M2:M10000),"")</f>
        <v/>
      </c>
    </row>
    <row r="4">
      <c r="A4" t="inlineStr">
        <is>
          <t>qwen2.5:latest</t>
        </is>
      </c>
      <c r="B4">
        <f>IFERROR(AVERAGE('Results_qwen2.5_latest'!L2:L10000),"")</f>
        <v/>
      </c>
      <c r="C4">
        <f>IFERROR(PERCENTILE('Results_qwen2.5_latest'!L2:L10000,0.95),"")</f>
        <v/>
      </c>
      <c r="D4">
        <f>IFERROR(IF(AVERAGE('Results_qwen2.5_latest'!L2:L10000)&gt;0,60/AVERAGE('Results_qwen2.5_latest'!L2:L10000),0),"")</f>
        <v/>
      </c>
      <c r="E4">
        <f>IFERROR(AVERAGE('Results_qwen2.5_latest'!M2:M10000),"")</f>
        <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sheetData>
    <row r="1">
      <c r="A1" t="inlineStr">
        <is>
          <t>Model</t>
        </is>
      </c>
      <c r="B1" t="inlineStr">
        <is>
          <t>faithfulness</t>
        </is>
      </c>
      <c r="C1" t="inlineStr">
        <is>
          <t>relevance</t>
        </is>
      </c>
      <c r="D1" t="inlineStr">
        <is>
          <t>pct_cot</t>
        </is>
      </c>
    </row>
    <row r="2">
      <c r="A2" t="inlineStr">
        <is>
          <t>gemma3:4b</t>
        </is>
      </c>
      <c r="B2">
        <f>IFERROR(AVERAGE('Results_gemma3_4b'!T2:T10000),"")</f>
        <v/>
      </c>
      <c r="C2">
        <f>IFERROR(AVERAGE('Results_gemma3_4b'!U2:U10000),"")</f>
        <v/>
      </c>
      <c r="D2">
        <f>IFERROR(COUNTIF('Results_gemma3_4b'!V2:V10000,"&lt;&gt;")/COUNTA('Results_gemma3_4b'!A2:A10000)*100,"")</f>
        <v/>
      </c>
    </row>
    <row r="3">
      <c r="A3" t="inlineStr">
        <is>
          <t>gemma3:27b</t>
        </is>
      </c>
      <c r="B3">
        <f>IFERROR(AVERAGE('Results_gemma3_27b'!T2:T10000),"")</f>
        <v/>
      </c>
      <c r="C3">
        <f>IFERROR(AVERAGE('Results_gemma3_27b'!U2:U10000),"")</f>
        <v/>
      </c>
      <c r="D3">
        <f>IFERROR(COUNTIF('Results_gemma3_27b'!V2:V10000,"&lt;&gt;")/COUNTA('Results_gemma3_27b'!A2:A10000)*100,"")</f>
        <v/>
      </c>
    </row>
    <row r="4">
      <c r="A4" t="inlineStr">
        <is>
          <t>qwen2.5:latest</t>
        </is>
      </c>
      <c r="B4">
        <f>IFERROR(AVERAGE('Results_qwen2.5_latest'!T2:T10000),"")</f>
        <v/>
      </c>
      <c r="C4">
        <f>IFERROR(AVERAGE('Results_qwen2.5_latest'!U2:U10000),"")</f>
        <v/>
      </c>
      <c r="D4">
        <f>IFERROR(COUNTIF('Results_qwen2.5_latest'!V2:V10000,"&lt;&gt;")/COUNTA('Results_qwen2.5_latest'!A2:A10000)*100,"")</f>
        <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2026-05-21T10:07:48Z</dcterms:created>
  <dcterms:modified xmlns:dcterms="http://purl.org/dc/terms/" xmlns:xsi="http://www.w3.org/2001/XMLSchema-instance" xsi:type="dcterms:W3CDTF">2026-05-21T10:07:49Z</dcterms:modified>
</cp:coreProperties>
</file>