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_Tutor_EDA" sheetId="1" state="visible" r:id="rId1"/>
    <sheet xmlns:r="http://schemas.openxmlformats.org/officeDocument/2006/relationships" name="Resultados_deepseek-r1_7b" sheetId="2" state="visible" r:id="rId2"/>
    <sheet xmlns:r="http://schemas.openxmlformats.org/officeDocument/2006/relationships" name="Resultados_gemma" sheetId="3" state="visible" r:id="rId3"/>
    <sheet xmlns:r="http://schemas.openxmlformats.org/officeDocument/2006/relationships" name="Resultados_gemma3_27b" sheetId="4" state="visible" r:id="rId4"/>
    <sheet xmlns:r="http://schemas.openxmlformats.org/officeDocument/2006/relationships" name="Resultados_gemma3_4b" sheetId="5" state="visible" r:id="rId5"/>
    <sheet xmlns:r="http://schemas.openxmlformats.org/officeDocument/2006/relationships" name="Resultados_llama-mini" sheetId="6" state="visible" r:id="rId6"/>
    <sheet xmlns:r="http://schemas.openxmlformats.org/officeDocument/2006/relationships" name="Resultados_llama3.1_8b" sheetId="7" state="visible" r:id="rId7"/>
    <sheet xmlns:r="http://schemas.openxmlformats.org/officeDocument/2006/relationships" name="Resultados_llama3.2_3b" sheetId="8" state="visible" r:id="rId8"/>
    <sheet xmlns:r="http://schemas.openxmlformats.org/officeDocument/2006/relationships" name="Resultados_phi4-mini_3.8b" sheetId="9" state="visible" r:id="rId9"/>
    <sheet xmlns:r="http://schemas.openxmlformats.org/officeDocument/2006/relationships" name="Resultados_poligpt" sheetId="10" state="visible" r:id="rId10"/>
    <sheet xmlns:r="http://schemas.openxmlformats.org/officeDocument/2006/relationships" name="Resultados_qwen3_4b" sheetId="11" state="visible" r:id="rId11"/>
    <sheet xmlns:r="http://schemas.openxmlformats.org/officeDocument/2006/relationships" name="Metadata" sheetId="12" state="visible" r:id="rId12"/>
    <sheet xmlns:r="http://schemas.openxmlformats.org/officeDocument/2006/relationships" name="Ranking" sheetId="13" state="visible" r:id="rId13"/>
    <sheet xmlns:r="http://schemas.openxmlformats.org/officeDocument/2006/relationships" name="Resultados_Articulo" sheetId="14" state="visible" r:id="rId14"/>
    <sheet xmlns:r="http://schemas.openxmlformats.org/officeDocument/2006/relationships" name="Eficiencia" sheetId="15" state="visible" r:id="rId15"/>
    <sheet xmlns:r="http://schemas.openxmlformats.org/officeDocument/2006/relationships" name="Análisis CoT"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169</v>
      </c>
      <c r="B2" t="n">
        <v>57</v>
      </c>
      <c r="C2" t="n">
        <v>1</v>
      </c>
      <c r="D2" t="n">
        <v>1</v>
      </c>
      <c r="E2" t="inlineStr">
        <is>
          <t>R1 y R2 dado que las dos resistencia forman un divisor de tensión</t>
        </is>
      </c>
      <c r="F2" t="inlineStr">
        <is>
          <t>¿Y qué ocurre con la corriente en una rama interrumpida?</t>
        </is>
      </c>
      <c r="G2" t="n">
        <v>3</v>
      </c>
      <c r="H2" t="n">
        <v>2</v>
      </c>
      <c r="I2" t="n">
        <v>3</v>
      </c>
      <c r="J2" t="n">
        <v>5</v>
      </c>
      <c r="K2" t="n">
        <v>13</v>
      </c>
      <c r="L2" t="n">
        <v>0.582</v>
      </c>
      <c r="M2" t="n">
        <v>20</v>
      </c>
      <c r="N2" t="n">
        <v>103.02</v>
      </c>
      <c r="O2" t="inlineStr">
        <is>
          <t>AC9</t>
        </is>
      </c>
      <c r="P2" t="inlineStr">
        <is>
          <t>AC1</t>
        </is>
      </c>
      <c r="Q2" t="n">
        <v>0</v>
      </c>
      <c r="R2" t="n">
        <v>0</v>
      </c>
      <c r="S2" t="n">
        <v>0</v>
      </c>
      <c r="T2" t="inlineStr"/>
      <c r="U2" t="inlineStr"/>
      <c r="V2" t="inlineStr"/>
      <c r="W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
      <c r="A3" t="n">
        <v>170</v>
      </c>
      <c r="B3" t="n">
        <v>57</v>
      </c>
      <c r="C3" t="n">
        <v>2</v>
      </c>
      <c r="D3" t="n">
        <v>1</v>
      </c>
      <c r="E3" t="inlineStr">
        <is>
          <t>R1 y R2 dado que se pide la tensión en R2</t>
        </is>
      </c>
      <c r="F3" t="inlineStr">
        <is>
          <t>¿Y qué ocurre con la corriente en una rama interrumpida?</t>
        </is>
      </c>
      <c r="G3" t="n">
        <v>3</v>
      </c>
      <c r="H3" t="n">
        <v>2</v>
      </c>
      <c r="I3" t="n">
        <v>3</v>
      </c>
      <c r="J3" t="n">
        <v>5</v>
      </c>
      <c r="K3" t="n">
        <v>13</v>
      </c>
      <c r="L3" t="n">
        <v>0.696</v>
      </c>
      <c r="M3" t="n">
        <v>20</v>
      </c>
      <c r="N3" t="n">
        <v>86.26000000000001</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
      <c r="A4" t="n">
        <v>171</v>
      </c>
      <c r="B4" t="n">
        <v>57</v>
      </c>
      <c r="C4" t="n">
        <v>3</v>
      </c>
      <c r="D4" t="n">
        <v>1</v>
      </c>
      <c r="E4" t="inlineStr">
        <is>
          <t>R1 y R2 por identificar un divisor de tensión</t>
        </is>
      </c>
      <c r="F4" t="inlineStr">
        <is>
          <t>¿Y qué ocurre con la corriente en una rama interrumpida?</t>
        </is>
      </c>
      <c r="G4" t="n">
        <v>3</v>
      </c>
      <c r="H4" t="n">
        <v>2</v>
      </c>
      <c r="I4" t="n">
        <v>3</v>
      </c>
      <c r="J4" t="n">
        <v>5</v>
      </c>
      <c r="K4" t="n">
        <v>13</v>
      </c>
      <c r="L4" t="n">
        <v>0.603</v>
      </c>
      <c r="M4" t="n">
        <v>20</v>
      </c>
      <c r="N4" t="n">
        <v>99.53</v>
      </c>
      <c r="O4" t="inlineStr">
        <is>
          <t>AC9</t>
        </is>
      </c>
      <c r="P4" t="inlineStr">
        <is>
          <t>AC1</t>
        </is>
      </c>
      <c r="Q4" t="n">
        <v>0</v>
      </c>
      <c r="R4" t="n">
        <v>0</v>
      </c>
      <c r="S4" t="n">
        <v>0</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172</v>
      </c>
      <c r="B5" t="n">
        <v>58</v>
      </c>
      <c r="C5" t="n">
        <v>1</v>
      </c>
      <c r="D5" t="n">
        <v>1</v>
      </c>
      <c r="E5" t="inlineStr">
        <is>
          <t>R1 y R2 hacen un divisor de tensión</t>
        </is>
      </c>
      <c r="F5" t="inlineStr">
        <is>
          <t>¿Qué ocurre con la corriente en la rama del interruptor abierto entre N2 y N3?</t>
        </is>
      </c>
      <c r="G5" t="n">
        <v>4</v>
      </c>
      <c r="H5" t="n">
        <v>3</v>
      </c>
      <c r="I5" t="n">
        <v>3</v>
      </c>
      <c r="J5" t="n">
        <v>5</v>
      </c>
      <c r="K5" t="n">
        <v>15</v>
      </c>
      <c r="L5" t="n">
        <v>0.8169999999999999</v>
      </c>
      <c r="M5" t="n">
        <v>26</v>
      </c>
      <c r="N5" t="n">
        <v>73.45</v>
      </c>
      <c r="O5" t="inlineStr">
        <is>
          <t>AC9</t>
        </is>
      </c>
      <c r="P5" t="inlineStr">
        <is>
          <t>AC1</t>
        </is>
      </c>
      <c r="Q5" t="n">
        <v>0</v>
      </c>
      <c r="R5" t="n">
        <v>0</v>
      </c>
      <c r="S5" t="n">
        <v>0</v>
      </c>
      <c r="T5" t="inlineStr"/>
      <c r="U5" t="inlineStr"/>
      <c r="V5" t="inlineStr"/>
      <c r="W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6">
      <c r="A6" t="n">
        <v>173</v>
      </c>
      <c r="B6" t="n">
        <v>58</v>
      </c>
      <c r="C6" t="n">
        <v>2</v>
      </c>
      <c r="D6" t="n">
        <v>1</v>
      </c>
      <c r="E6" t="inlineStr">
        <is>
          <t>R1, R2, R3 y R4 porque R5 está cortocircuitada</t>
        </is>
      </c>
      <c r="F6" t="inlineStr">
        <is>
          <t>¿Qué sucede con la corriente en R5 si la tensión entre sus terminales es 0 V?</t>
        </is>
      </c>
      <c r="G6" t="n">
        <v>4</v>
      </c>
      <c r="H6" t="n">
        <v>3</v>
      </c>
      <c r="I6" t="n">
        <v>3</v>
      </c>
      <c r="J6" t="n">
        <v>5</v>
      </c>
      <c r="K6" t="n">
        <v>15</v>
      </c>
      <c r="L6" t="n">
        <v>0.698</v>
      </c>
      <c r="M6" t="n">
        <v>26</v>
      </c>
      <c r="N6" t="n">
        <v>86.01000000000001</v>
      </c>
      <c r="O6" t="inlineStr">
        <is>
          <t>AC1, AC6</t>
        </is>
      </c>
      <c r="P6" t="inlineStr">
        <is>
          <t>AC1, AC6</t>
        </is>
      </c>
      <c r="Q6" t="n">
        <v>1</v>
      </c>
      <c r="R6" t="n">
        <v>1</v>
      </c>
      <c r="S6" t="n">
        <v>1</v>
      </c>
      <c r="T6" t="inlineStr"/>
      <c r="U6" t="inlineStr"/>
      <c r="V6" t="inlineStr"/>
      <c r="W6"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7">
      <c r="A7" t="n">
        <v>174</v>
      </c>
      <c r="B7" t="n">
        <v>58</v>
      </c>
      <c r="C7" t="n">
        <v>3</v>
      </c>
      <c r="D7" t="n">
        <v>1</v>
      </c>
      <c r="E7" t="inlineStr">
        <is>
          <t>R1, R2, R3 y R4 porque por R5 no circula corriente</t>
        </is>
      </c>
      <c r="F7" t="inlineStr">
        <is>
          <t>¿Por qué no hay diferencia de potencial entre los terminales de un conductor ideal?</t>
        </is>
      </c>
      <c r="G7" t="n">
        <v>3</v>
      </c>
      <c r="H7" t="n">
        <v>2</v>
      </c>
      <c r="I7" t="n">
        <v>3</v>
      </c>
      <c r="J7" t="n">
        <v>5</v>
      </c>
      <c r="K7" t="n">
        <v>13</v>
      </c>
      <c r="L7" t="n">
        <v>0.578</v>
      </c>
      <c r="M7" t="n">
        <v>19</v>
      </c>
      <c r="N7" t="n">
        <v>103.78</v>
      </c>
      <c r="O7" t="inlineStr">
        <is>
          <t>AC1, AC6</t>
        </is>
      </c>
      <c r="P7" t="inlineStr">
        <is>
          <t>AC6</t>
        </is>
      </c>
      <c r="Q7" t="n">
        <v>1</v>
      </c>
      <c r="R7" t="n">
        <v>0.5</v>
      </c>
      <c r="S7" t="n">
        <v>0.667</v>
      </c>
      <c r="T7" t="inlineStr"/>
      <c r="U7" t="inlineStr"/>
      <c r="V7" t="inlineStr"/>
      <c r="W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8">
      <c r="A8" t="n">
        <v>175</v>
      </c>
      <c r="B8" t="n">
        <v>59</v>
      </c>
      <c r="C8" t="n">
        <v>1</v>
      </c>
      <c r="D8" t="n">
        <v>1</v>
      </c>
      <c r="E8" t="inlineStr">
        <is>
          <t>R1, R2, R3 y R4 porque R5 se quita</t>
        </is>
      </c>
      <c r="F8" t="inlineStr">
        <is>
          <t>¿Por qué R3 no contribuye a la diferencia de potencial entre N2 y 0?</t>
        </is>
      </c>
      <c r="G8" t="n">
        <v>3</v>
      </c>
      <c r="H8" t="n">
        <v>2</v>
      </c>
      <c r="I8" t="n">
        <v>3</v>
      </c>
      <c r="J8" t="n">
        <v>5</v>
      </c>
      <c r="K8" t="n">
        <v>13</v>
      </c>
      <c r="L8" t="n">
        <v>0.66</v>
      </c>
      <c r="M8" t="n">
        <v>22</v>
      </c>
      <c r="N8" t="n">
        <v>90.89</v>
      </c>
      <c r="O8" t="inlineStr">
        <is>
          <t>AC1, AC6</t>
        </is>
      </c>
      <c r="P8" t="inlineStr"/>
      <c r="Q8" t="n">
        <v>1</v>
      </c>
      <c r="R8" t="n">
        <v>0</v>
      </c>
      <c r="S8" t="n">
        <v>0</v>
      </c>
      <c r="T8" t="inlineStr"/>
      <c r="U8" t="inlineStr"/>
      <c r="V8" t="inlineStr"/>
      <c r="W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9">
      <c r="A9" t="n">
        <v>176</v>
      </c>
      <c r="B9" t="n">
        <v>59</v>
      </c>
      <c r="C9" t="n">
        <v>2</v>
      </c>
      <c r="D9" t="n">
        <v>1</v>
      </c>
      <c r="E9" t="inlineStr">
        <is>
          <t>R1, R3 y R4 porque R2 está en paralelo con la fuente y R5 corctocircuitada</t>
        </is>
      </c>
      <c r="F9" t="inlineStr">
        <is>
          <t>¿Qué ocurre si R2 no estuviera en paralelo con la fuente?</t>
        </is>
      </c>
      <c r="G9" t="n">
        <v>4</v>
      </c>
      <c r="H9" t="n">
        <v>2</v>
      </c>
      <c r="I9" t="n">
        <v>3</v>
      </c>
      <c r="J9" t="n">
        <v>5</v>
      </c>
      <c r="K9" t="n">
        <v>14</v>
      </c>
      <c r="L9" t="n">
        <v>0.639</v>
      </c>
      <c r="M9" t="n">
        <v>21</v>
      </c>
      <c r="N9" t="n">
        <v>93.93000000000001</v>
      </c>
      <c r="O9" t="inlineStr">
        <is>
          <t>AC1, AC6</t>
        </is>
      </c>
      <c r="P9" t="inlineStr"/>
      <c r="Q9" t="n">
        <v>1</v>
      </c>
      <c r="R9" t="n">
        <v>0</v>
      </c>
      <c r="S9" t="n">
        <v>0</v>
      </c>
      <c r="T9" t="inlineStr"/>
      <c r="U9" t="inlineStr"/>
      <c r="V9" t="inlineStr"/>
      <c r="W9"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10">
      <c r="A10" t="n">
        <v>177</v>
      </c>
      <c r="B10" t="n">
        <v>59</v>
      </c>
      <c r="C10" t="n">
        <v>3</v>
      </c>
      <c r="D10" t="n">
        <v>1</v>
      </c>
      <c r="E10" t="inlineStr">
        <is>
          <t>R1, R4 y R5 porque R2 se elimina y R3 también</t>
        </is>
      </c>
      <c r="F10" t="inlineStr">
        <is>
          <t>¿Cómo se comporta R2 si se elimina del circuito?</t>
        </is>
      </c>
      <c r="G10" t="n">
        <v>3</v>
      </c>
      <c r="H10" t="n">
        <v>2</v>
      </c>
      <c r="I10" t="n">
        <v>3</v>
      </c>
      <c r="J10" t="n">
        <v>5</v>
      </c>
      <c r="K10" t="n">
        <v>13</v>
      </c>
      <c r="L10" t="n">
        <v>0.6889999999999999</v>
      </c>
      <c r="M10" t="n">
        <v>16</v>
      </c>
      <c r="N10" t="n">
        <v>87.09999999999999</v>
      </c>
      <c r="O10" t="inlineStr">
        <is>
          <t>AC1, AC6</t>
        </is>
      </c>
      <c r="P10" t="inlineStr"/>
      <c r="Q10" t="n">
        <v>1</v>
      </c>
      <c r="R10" t="n">
        <v>0</v>
      </c>
      <c r="S10" t="n">
        <v>0</v>
      </c>
      <c r="T10" t="inlineStr"/>
      <c r="U10" t="inlineStr"/>
      <c r="V10" t="inlineStr"/>
      <c r="W10"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1">
      <c r="A11" t="n">
        <v>178</v>
      </c>
      <c r="B11" t="n">
        <v>60</v>
      </c>
      <c r="C11" t="n">
        <v>1</v>
      </c>
      <c r="D11" t="n">
        <v>1</v>
      </c>
      <c r="E11" t="inlineStr">
        <is>
          <t>R1 y R4 dado que R2 está en paralelo con la fuente, R3 en circuito abierto y R5 cortocircuitada</t>
        </is>
      </c>
      <c r="F11" t="inlineStr">
        <is>
          <t>¿Qué tiene en común los dos terminales de R5 mirando el netlist?</t>
        </is>
      </c>
      <c r="G11" t="n">
        <v>3</v>
      </c>
      <c r="H11" t="n">
        <v>2</v>
      </c>
      <c r="I11" t="n">
        <v>3</v>
      </c>
      <c r="J11" t="n">
        <v>5</v>
      </c>
      <c r="K11" t="n">
        <v>13</v>
      </c>
      <c r="L11" t="n">
        <v>0.58</v>
      </c>
      <c r="M11" t="n">
        <v>19</v>
      </c>
      <c r="N11" t="n">
        <v>103.38</v>
      </c>
      <c r="O11" t="inlineStr">
        <is>
          <t>AC1, AC6</t>
        </is>
      </c>
      <c r="P11" t="inlineStr">
        <is>
          <t>AC6</t>
        </is>
      </c>
      <c r="Q11" t="n">
        <v>1</v>
      </c>
      <c r="R11" t="n">
        <v>0.5</v>
      </c>
      <c r="S11" t="n">
        <v>0.667</v>
      </c>
      <c r="T11" t="inlineStr"/>
      <c r="U11" t="inlineStr"/>
      <c r="V11" t="inlineStr"/>
      <c r="W1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2">
      <c r="A12" t="n">
        <v>179</v>
      </c>
      <c r="B12" t="n">
        <v>60</v>
      </c>
      <c r="C12" t="n">
        <v>2</v>
      </c>
      <c r="D12" t="n">
        <v>1</v>
      </c>
      <c r="E12" t="inlineStr">
        <is>
          <t>R1, R2 y R3 dado que R2 y R3 están en paralelo y forman un divisor de tensión con R1</t>
        </is>
      </c>
      <c r="F12" t="inlineStr">
        <is>
          <t>¿Qué tiene en común los dos terminales de R3 mirando el netlist?</t>
        </is>
      </c>
      <c r="G12" t="n">
        <v>3</v>
      </c>
      <c r="H12" t="n">
        <v>2</v>
      </c>
      <c r="I12" t="n">
        <v>3</v>
      </c>
      <c r="J12" t="n">
        <v>5</v>
      </c>
      <c r="K12" t="n">
        <v>13</v>
      </c>
      <c r="L12" t="n">
        <v>0.536</v>
      </c>
      <c r="M12" t="n">
        <v>19</v>
      </c>
      <c r="N12" t="n">
        <v>112</v>
      </c>
      <c r="O12" t="inlineStr">
        <is>
          <t>AC1, AC9</t>
        </is>
      </c>
      <c r="P12" t="inlineStr">
        <is>
          <t>AC6</t>
        </is>
      </c>
      <c r="Q12" t="n">
        <v>0</v>
      </c>
      <c r="R12" t="n">
        <v>0</v>
      </c>
      <c r="S12" t="n">
        <v>0</v>
      </c>
      <c r="T12" t="inlineStr"/>
      <c r="U12" t="inlineStr"/>
      <c r="V12" t="inlineStr"/>
      <c r="W1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3">
      <c r="A13" t="n">
        <v>180</v>
      </c>
      <c r="B13" t="n">
        <v>60</v>
      </c>
      <c r="C13" t="n">
        <v>3</v>
      </c>
      <c r="D13" t="n">
        <v>1</v>
      </c>
      <c r="E13" t="inlineStr">
        <is>
          <t>R1, R2, R4 y R5 dado que R3 está en circuito abierto</t>
        </is>
      </c>
      <c r="F13" t="inlineStr">
        <is>
          <t>¿Qué tiene en común los dos terminales de R1 mirando el netlist?</t>
        </is>
      </c>
      <c r="G13" t="n">
        <v>3</v>
      </c>
      <c r="H13" t="n">
        <v>2</v>
      </c>
      <c r="I13" t="n">
        <v>3</v>
      </c>
      <c r="J13" t="n">
        <v>5</v>
      </c>
      <c r="K13" t="n">
        <v>13</v>
      </c>
      <c r="L13" t="n">
        <v>0.789</v>
      </c>
      <c r="M13" t="n">
        <v>19</v>
      </c>
      <c r="N13" t="n">
        <v>76.04000000000001</v>
      </c>
      <c r="O13" t="inlineStr">
        <is>
          <t>AC1, AC6</t>
        </is>
      </c>
      <c r="P13" t="inlineStr">
        <is>
          <t>AC6</t>
        </is>
      </c>
      <c r="Q13" t="n">
        <v>1</v>
      </c>
      <c r="R13" t="n">
        <v>0.5</v>
      </c>
      <c r="S13" t="n">
        <v>0.667</v>
      </c>
      <c r="T13" t="inlineStr"/>
      <c r="U13" t="inlineStr"/>
      <c r="V13" t="inlineStr"/>
      <c r="W1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4">
      <c r="A14" t="n">
        <v>181</v>
      </c>
      <c r="B14" t="n">
        <v>61</v>
      </c>
      <c r="C14" t="n">
        <v>1</v>
      </c>
      <c r="D14" t="n">
        <v>1</v>
      </c>
      <c r="E14" t="inlineStr">
        <is>
          <t>R1, R2, R4 y R5 dado que R3 sobra</t>
        </is>
      </c>
      <c r="F14" t="inlineStr">
        <is>
          <t>¿Por qué la corriente no puede circular por R3?</t>
        </is>
      </c>
      <c r="G14" t="n">
        <v>3</v>
      </c>
      <c r="H14" t="n">
        <v>2</v>
      </c>
      <c r="I14" t="n">
        <v>3</v>
      </c>
      <c r="J14" t="n">
        <v>5</v>
      </c>
      <c r="K14" t="n">
        <v>13</v>
      </c>
      <c r="L14" t="n">
        <v>0.491</v>
      </c>
      <c r="M14" t="n">
        <v>15</v>
      </c>
      <c r="N14" t="n">
        <v>122.22</v>
      </c>
      <c r="O14" t="inlineStr">
        <is>
          <t>AC1, AC6</t>
        </is>
      </c>
      <c r="P14" t="inlineStr">
        <is>
          <t>AC1</t>
        </is>
      </c>
      <c r="Q14" t="n">
        <v>1</v>
      </c>
      <c r="R14" t="n">
        <v>0.5</v>
      </c>
      <c r="S14" t="n">
        <v>0.667</v>
      </c>
      <c r="T14" t="inlineStr"/>
      <c r="U14" t="inlineStr"/>
      <c r="V14" t="inlineStr"/>
      <c r="W1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5">
      <c r="A15" t="n">
        <v>182</v>
      </c>
      <c r="B15" t="n">
        <v>61</v>
      </c>
      <c r="C15" t="n">
        <v>2</v>
      </c>
      <c r="D15" t="n">
        <v>1</v>
      </c>
      <c r="E15" t="inlineStr">
        <is>
          <t>R1, R2, R4 y R5 dado que R3 no hace nada</t>
        </is>
      </c>
      <c r="F15" t="inlineStr">
        <is>
          <t>¿Qué sucede cuando un componente no hace nada en un circuito?</t>
        </is>
      </c>
      <c r="G15" t="n">
        <v>3</v>
      </c>
      <c r="H15" t="n">
        <v>2</v>
      </c>
      <c r="I15" t="n">
        <v>3</v>
      </c>
      <c r="J15" t="n">
        <v>5</v>
      </c>
      <c r="K15" t="n">
        <v>13</v>
      </c>
      <c r="L15" t="n">
        <v>0.509</v>
      </c>
      <c r="M15" t="n">
        <v>16</v>
      </c>
      <c r="N15" t="n">
        <v>117.81</v>
      </c>
      <c r="O15" t="inlineStr">
        <is>
          <t>AC1, AC6</t>
        </is>
      </c>
      <c r="P15" t="inlineStr"/>
      <c r="Q15" t="n">
        <v>1</v>
      </c>
      <c r="R15" t="n">
        <v>0</v>
      </c>
      <c r="S15" t="n">
        <v>0</v>
      </c>
      <c r="T15" t="inlineStr"/>
      <c r="U15" t="inlineStr"/>
      <c r="V15" t="inlineStr"/>
      <c r="W15"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6">
      <c r="A16" t="n">
        <v>183</v>
      </c>
      <c r="B16" t="n">
        <v>61</v>
      </c>
      <c r="C16" t="n">
        <v>3</v>
      </c>
      <c r="D16" t="n">
        <v>1</v>
      </c>
      <c r="E16" t="inlineStr">
        <is>
          <t>R1, R2 y R4 dado que son las resistencias que forman parte del circuito.</t>
        </is>
      </c>
      <c r="F16" t="inlineStr">
        <is>
          <t>¿Qué sucede cuando un componente no hace nada en un circuito?</t>
        </is>
      </c>
      <c r="G16" t="n">
        <v>3</v>
      </c>
      <c r="H16" t="n">
        <v>2</v>
      </c>
      <c r="I16" t="n">
        <v>3</v>
      </c>
      <c r="J16" t="n">
        <v>5</v>
      </c>
      <c r="K16" t="n">
        <v>13</v>
      </c>
      <c r="L16" t="n">
        <v>0.471</v>
      </c>
      <c r="M16" t="n">
        <v>16</v>
      </c>
      <c r="N16" t="n">
        <v>127.35</v>
      </c>
      <c r="O16" t="inlineStr"/>
      <c r="P16" t="inlineStr"/>
      <c r="Q16" t="n">
        <v>1</v>
      </c>
      <c r="R16" t="n">
        <v>1</v>
      </c>
      <c r="S16" t="n">
        <v>1</v>
      </c>
      <c r="T16" t="inlineStr"/>
      <c r="U16" t="inlineStr"/>
      <c r="V16" t="inlineStr"/>
      <c r="W16"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7">
      <c r="A17" t="n">
        <v>184</v>
      </c>
      <c r="B17" t="n">
        <v>62</v>
      </c>
      <c r="C17" t="n">
        <v>1</v>
      </c>
      <c r="D17" t="n">
        <v>1</v>
      </c>
      <c r="E17" t="inlineStr">
        <is>
          <t>R1, R2 y R4 dado que R2 y R4 están en paralelo y forma un divisor de tensión con R1.</t>
        </is>
      </c>
      <c r="F17" t="inlineStr">
        <is>
          <t>¿Qué sucede con la corriente en una rama interrumpida por un interruptor abierto?</t>
        </is>
      </c>
      <c r="G17" t="n">
        <v>4</v>
      </c>
      <c r="H17" t="n">
        <v>3</v>
      </c>
      <c r="I17" t="n">
        <v>3</v>
      </c>
      <c r="J17" t="n">
        <v>5</v>
      </c>
      <c r="K17" t="n">
        <v>15</v>
      </c>
      <c r="L17" t="n">
        <v>0.67</v>
      </c>
      <c r="M17" t="n">
        <v>25</v>
      </c>
      <c r="N17" t="n">
        <v>89.59999999999999</v>
      </c>
      <c r="O17" t="inlineStr"/>
      <c r="P17" t="inlineStr">
        <is>
          <t>AC1</t>
        </is>
      </c>
      <c r="Q17" t="n">
        <v>0</v>
      </c>
      <c r="R17" t="n">
        <v>1</v>
      </c>
      <c r="S17" t="n">
        <v>0</v>
      </c>
      <c r="T17" t="inlineStr"/>
      <c r="U17" t="inlineStr"/>
      <c r="V17" t="inlineStr"/>
      <c r="W17"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8">
      <c r="A18" t="n">
        <v>185</v>
      </c>
      <c r="B18" t="n">
        <v>62</v>
      </c>
      <c r="C18" t="n">
        <v>2</v>
      </c>
      <c r="D18" t="n">
        <v>1</v>
      </c>
      <c r="E18" t="inlineStr">
        <is>
          <t>R1, R2 y R4 dado que R3 está en abierto y R5 cortocircuitada</t>
        </is>
      </c>
      <c r="F18" t="inlineStr">
        <is>
          <t>¿Qué sucede con la corriente en una rama interrumpida por un interruptor abierto?</t>
        </is>
      </c>
      <c r="G18" t="n">
        <v>4</v>
      </c>
      <c r="H18" t="n">
        <v>3</v>
      </c>
      <c r="I18" t="n">
        <v>3</v>
      </c>
      <c r="J18" t="n">
        <v>5</v>
      </c>
      <c r="K18" t="n">
        <v>15</v>
      </c>
      <c r="L18" t="n">
        <v>0.768</v>
      </c>
      <c r="M18" t="n">
        <v>25</v>
      </c>
      <c r="N18" t="n">
        <v>78.08</v>
      </c>
      <c r="O18" t="inlineStr">
        <is>
          <t>AC1, AC6</t>
        </is>
      </c>
      <c r="P18" t="inlineStr">
        <is>
          <t>AC1</t>
        </is>
      </c>
      <c r="Q18" t="n">
        <v>1</v>
      </c>
      <c r="R18" t="n">
        <v>0.5</v>
      </c>
      <c r="S18" t="n">
        <v>0.667</v>
      </c>
      <c r="T18" t="inlineStr"/>
      <c r="U18" t="inlineStr"/>
      <c r="V18" t="inlineStr"/>
      <c r="W1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9">
      <c r="A19" t="n">
        <v>186</v>
      </c>
      <c r="B19" t="n">
        <v>62</v>
      </c>
      <c r="C19" t="n">
        <v>3</v>
      </c>
      <c r="D19" t="n">
        <v>1</v>
      </c>
      <c r="E19" t="inlineStr">
        <is>
          <t>R1, R2 y R4 dado que solo por estas resistencias circula una corriente diferente de cero</t>
        </is>
      </c>
      <c r="F19" t="inlineStr">
        <is>
          <t>¿Qué sucede con la corriente en una rama interrumpida por un interruptor abierto?</t>
        </is>
      </c>
      <c r="G19" t="n">
        <v>4</v>
      </c>
      <c r="H19" t="n">
        <v>3</v>
      </c>
      <c r="I19" t="n">
        <v>3</v>
      </c>
      <c r="J19" t="n">
        <v>5</v>
      </c>
      <c r="K19" t="n">
        <v>15</v>
      </c>
      <c r="L19" t="n">
        <v>0.738</v>
      </c>
      <c r="M19" t="n">
        <v>25</v>
      </c>
      <c r="N19" t="n">
        <v>81.34999999999999</v>
      </c>
      <c r="O19" t="inlineStr"/>
      <c r="P19" t="inlineStr">
        <is>
          <t>AC1</t>
        </is>
      </c>
      <c r="Q19" t="n">
        <v>0</v>
      </c>
      <c r="R19" t="n">
        <v>1</v>
      </c>
      <c r="S19" t="n">
        <v>0</v>
      </c>
      <c r="T19" t="inlineStr"/>
      <c r="U19" t="inlineStr"/>
      <c r="V19" t="inlineStr"/>
      <c r="W1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20">
      <c r="A20" t="n">
        <v>187</v>
      </c>
      <c r="B20" t="n">
        <v>63</v>
      </c>
      <c r="C20" t="n">
        <v>1</v>
      </c>
      <c r="D20" t="n">
        <v>1</v>
      </c>
      <c r="E20" t="inlineStr">
        <is>
          <t>R1, R2 y R4 dado que por R3 y por R5 no circula corriente</t>
        </is>
      </c>
      <c r="F20" t="inlineStr">
        <is>
          <t>¿Qué tienen en común los dos terminales de R5 mirando el netlist?</t>
        </is>
      </c>
      <c r="G20" t="n">
        <v>3</v>
      </c>
      <c r="H20" t="n">
        <v>2</v>
      </c>
      <c r="I20" t="n">
        <v>3</v>
      </c>
      <c r="J20" t="n">
        <v>5</v>
      </c>
      <c r="K20" t="n">
        <v>13</v>
      </c>
      <c r="L20" t="n">
        <v>0.712</v>
      </c>
      <c r="M20" t="n">
        <v>19</v>
      </c>
      <c r="N20" t="n">
        <v>84.23</v>
      </c>
      <c r="O20" t="inlineStr">
        <is>
          <t>AC1, AC6</t>
        </is>
      </c>
      <c r="P20" t="inlineStr">
        <is>
          <t>AC6</t>
        </is>
      </c>
      <c r="Q20" t="n">
        <v>1</v>
      </c>
      <c r="R20" t="n">
        <v>0.5</v>
      </c>
      <c r="S20" t="n">
        <v>0.667</v>
      </c>
      <c r="T20" t="inlineStr"/>
      <c r="U20" t="inlineStr"/>
      <c r="V20" t="inlineStr"/>
      <c r="W2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1">
      <c r="A21" t="n">
        <v>188</v>
      </c>
      <c r="B21" t="n">
        <v>63</v>
      </c>
      <c r="C21" t="n">
        <v>2</v>
      </c>
      <c r="D21" t="n">
        <v>1</v>
      </c>
      <c r="E21" t="inlineStr">
        <is>
          <t>R1, R2 y R4 dado que R3 y R5 se pueden quitar</t>
        </is>
      </c>
      <c r="F21" t="inlineStr">
        <is>
          <t>¿Qué ocurre con la corriente que circula por R3 al abrir el circuito?</t>
        </is>
      </c>
      <c r="G21" t="n">
        <v>4</v>
      </c>
      <c r="H21" t="n">
        <v>2</v>
      </c>
      <c r="I21" t="n">
        <v>3</v>
      </c>
      <c r="J21" t="n">
        <v>5</v>
      </c>
      <c r="K21" t="n">
        <v>14</v>
      </c>
      <c r="L21" t="n">
        <v>0.645</v>
      </c>
      <c r="M21" t="n">
        <v>22</v>
      </c>
      <c r="N21" t="n">
        <v>93.09</v>
      </c>
      <c r="O21" t="inlineStr">
        <is>
          <t>AC1, AC6</t>
        </is>
      </c>
      <c r="P21" t="inlineStr">
        <is>
          <t>AC1</t>
        </is>
      </c>
      <c r="Q21" t="n">
        <v>1</v>
      </c>
      <c r="R21" t="n">
        <v>0.5</v>
      </c>
      <c r="S21" t="n">
        <v>0.667</v>
      </c>
      <c r="T21" t="inlineStr"/>
      <c r="U21" t="inlineStr"/>
      <c r="V21" t="inlineStr"/>
      <c r="W21"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2">
      <c r="A22" t="n">
        <v>189</v>
      </c>
      <c r="B22" t="n">
        <v>63</v>
      </c>
      <c r="C22" t="n">
        <v>3</v>
      </c>
      <c r="D22" t="n">
        <v>1</v>
      </c>
      <c r="E22" t="inlineStr">
        <is>
          <t>R1, R2 y R4 dado que R3 y R5 no influyen para nada en la diferencia de potencial que se pide</t>
        </is>
      </c>
      <c r="F22" t="inlineStr">
        <is>
          <t>¿Qué ocurre con la corriente que circula por R5 al abrir el circuito?</t>
        </is>
      </c>
      <c r="G22" t="n">
        <v>4</v>
      </c>
      <c r="H22" t="n">
        <v>2</v>
      </c>
      <c r="I22" t="n">
        <v>3</v>
      </c>
      <c r="J22" t="n">
        <v>5</v>
      </c>
      <c r="K22" t="n">
        <v>14</v>
      </c>
      <c r="L22" t="n">
        <v>0.578</v>
      </c>
      <c r="M22" t="n">
        <v>22</v>
      </c>
      <c r="N22" t="n">
        <v>103.88</v>
      </c>
      <c r="O22" t="inlineStr">
        <is>
          <t>AC1, AC6</t>
        </is>
      </c>
      <c r="P22" t="inlineStr">
        <is>
          <t>AC1</t>
        </is>
      </c>
      <c r="Q22" t="n">
        <v>1</v>
      </c>
      <c r="R22" t="n">
        <v>0.5</v>
      </c>
      <c r="S22" t="n">
        <v>0.667</v>
      </c>
      <c r="T22" t="inlineStr"/>
      <c r="U22" t="inlineStr"/>
      <c r="V22" t="inlineStr"/>
      <c r="W22"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3">
      <c r="A23" t="n">
        <v>190</v>
      </c>
      <c r="B23" t="n">
        <v>64</v>
      </c>
      <c r="C23" t="n">
        <v>1</v>
      </c>
      <c r="D23" t="n">
        <v>1</v>
      </c>
      <c r="E23" t="inlineStr">
        <is>
          <t>R1, R2 y R4 dado que R3 y R5 sobran</t>
        </is>
      </c>
      <c r="F23" t="inlineStr">
        <is>
          <t>¿Qué tienen en común los dos terminales de R5 mirando el netlist?</t>
        </is>
      </c>
      <c r="G23" t="n">
        <v>3</v>
      </c>
      <c r="H23" t="n">
        <v>2</v>
      </c>
      <c r="I23" t="n">
        <v>3</v>
      </c>
      <c r="J23" t="n">
        <v>5</v>
      </c>
      <c r="K23" t="n">
        <v>13</v>
      </c>
      <c r="L23" t="n">
        <v>0.5639999999999999</v>
      </c>
      <c r="M23" t="n">
        <v>19</v>
      </c>
      <c r="N23" t="n">
        <v>106.42</v>
      </c>
      <c r="O23" t="inlineStr">
        <is>
          <t>AC1, AC6</t>
        </is>
      </c>
      <c r="P23" t="inlineStr">
        <is>
          <t>AC6</t>
        </is>
      </c>
      <c r="Q23" t="n">
        <v>1</v>
      </c>
      <c r="R23" t="n">
        <v>0.5</v>
      </c>
      <c r="S23" t="n">
        <v>0.667</v>
      </c>
      <c r="T23" t="inlineStr"/>
      <c r="U23" t="inlineStr"/>
      <c r="V23" t="inlineStr"/>
      <c r="W2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4">
      <c r="A24" t="n">
        <v>191</v>
      </c>
      <c r="B24" t="n">
        <v>64</v>
      </c>
      <c r="C24" t="n">
        <v>2</v>
      </c>
      <c r="D24" t="n">
        <v>1</v>
      </c>
      <c r="E24" t="inlineStr">
        <is>
          <t>R1, R2 y R4 dado que R3 sobra</t>
        </is>
      </c>
      <c r="F24" t="inlineStr">
        <is>
          <t>¿Qué tienen en común los dos terminales de R3 mirando el netlist?</t>
        </is>
      </c>
      <c r="G24" t="n">
        <v>3</v>
      </c>
      <c r="H24" t="n">
        <v>2</v>
      </c>
      <c r="I24" t="n">
        <v>3</v>
      </c>
      <c r="J24" t="n">
        <v>5</v>
      </c>
      <c r="K24" t="n">
        <v>13</v>
      </c>
      <c r="L24" t="n">
        <v>0.582</v>
      </c>
      <c r="M24" t="n">
        <v>19</v>
      </c>
      <c r="N24" t="n">
        <v>103.16</v>
      </c>
      <c r="O24" t="inlineStr">
        <is>
          <t>AC1</t>
        </is>
      </c>
      <c r="P24" t="inlineStr">
        <is>
          <t>AC6</t>
        </is>
      </c>
      <c r="Q24" t="n">
        <v>0</v>
      </c>
      <c r="R24" t="n">
        <v>0</v>
      </c>
      <c r="S24" t="n">
        <v>0</v>
      </c>
      <c r="T24" t="inlineStr"/>
      <c r="U24" t="inlineStr"/>
      <c r="V24" t="inlineStr"/>
      <c r="W2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5">
      <c r="A25" t="n">
        <v>192</v>
      </c>
      <c r="B25" t="n">
        <v>64</v>
      </c>
      <c r="C25" t="n">
        <v>3</v>
      </c>
      <c r="D25" t="n">
        <v>1</v>
      </c>
      <c r="E25" t="inlineStr">
        <is>
          <t>R1, R2 y R4 dado que R5 sobra</t>
        </is>
      </c>
      <c r="F25" t="inlineStr">
        <is>
          <t>¿Qué tienen en común los dos terminales de R5 mirando el netlist?</t>
        </is>
      </c>
      <c r="G25" t="n">
        <v>3</v>
      </c>
      <c r="H25" t="n">
        <v>2</v>
      </c>
      <c r="I25" t="n">
        <v>3</v>
      </c>
      <c r="J25" t="n">
        <v>5</v>
      </c>
      <c r="K25" t="n">
        <v>13</v>
      </c>
      <c r="L25" t="n">
        <v>0.507</v>
      </c>
      <c r="M25" t="n">
        <v>19</v>
      </c>
      <c r="N25" t="n">
        <v>118.26</v>
      </c>
      <c r="O25" t="inlineStr">
        <is>
          <t>AC6</t>
        </is>
      </c>
      <c r="P25" t="inlineStr">
        <is>
          <t>AC6</t>
        </is>
      </c>
      <c r="Q25" t="n">
        <v>1</v>
      </c>
      <c r="R25" t="n">
        <v>1</v>
      </c>
      <c r="S25" t="n">
        <v>1</v>
      </c>
      <c r="T25" t="inlineStr"/>
      <c r="U25" t="inlineStr"/>
      <c r="V25" t="inlineStr"/>
      <c r="W2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6">
      <c r="A26" t="n">
        <v>193</v>
      </c>
      <c r="B26" t="n">
        <v>65</v>
      </c>
      <c r="C26" t="n">
        <v>1</v>
      </c>
      <c r="D26" t="n">
        <v>1</v>
      </c>
      <c r="E26" t="inlineStr">
        <is>
          <t>R1, R2 y R4 dado que R3 está en abierto</t>
        </is>
      </c>
      <c r="F26" t="inlineStr">
        <is>
          <t>¿Qué ocurre con la corriente en una rama interrumpida?</t>
        </is>
      </c>
      <c r="G26" t="n">
        <v>3</v>
      </c>
      <c r="H26" t="n">
        <v>2</v>
      </c>
      <c r="I26" t="n">
        <v>3</v>
      </c>
      <c r="J26" t="n">
        <v>5</v>
      </c>
      <c r="K26" t="n">
        <v>13</v>
      </c>
      <c r="L26" t="n">
        <v>0.517</v>
      </c>
      <c r="M26" t="n">
        <v>19</v>
      </c>
      <c r="N26" t="n">
        <v>115.99</v>
      </c>
      <c r="O26" t="inlineStr">
        <is>
          <t>AC1</t>
        </is>
      </c>
      <c r="P26" t="inlineStr">
        <is>
          <t>AC1</t>
        </is>
      </c>
      <c r="Q26" t="n">
        <v>1</v>
      </c>
      <c r="R26" t="n">
        <v>1</v>
      </c>
      <c r="S26" t="n">
        <v>1</v>
      </c>
      <c r="T26" t="inlineStr"/>
      <c r="U26" t="inlineStr"/>
      <c r="V26" t="inlineStr"/>
      <c r="W2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7">
      <c r="A27" t="n">
        <v>194</v>
      </c>
      <c r="B27" t="n">
        <v>65</v>
      </c>
      <c r="C27" t="n">
        <v>2</v>
      </c>
      <c r="D27" t="n">
        <v>1</v>
      </c>
      <c r="E27" t="inlineStr">
        <is>
          <t>R1, R2 y R4 dado que  R5 cortocircuitada</t>
        </is>
      </c>
      <c r="F27" t="inlineStr">
        <is>
          <t>¿Qué ocurre con la corriente en una rama cortocircuitada?</t>
        </is>
      </c>
      <c r="G27" t="n">
        <v>3</v>
      </c>
      <c r="H27" t="n">
        <v>2</v>
      </c>
      <c r="I27" t="n">
        <v>3</v>
      </c>
      <c r="J27" t="n">
        <v>5</v>
      </c>
      <c r="K27" t="n">
        <v>13</v>
      </c>
      <c r="L27" t="n">
        <v>0.505</v>
      </c>
      <c r="M27" t="n">
        <v>19</v>
      </c>
      <c r="N27" t="n">
        <v>118.73</v>
      </c>
      <c r="O27" t="inlineStr">
        <is>
          <t>AC6</t>
        </is>
      </c>
      <c r="P27" t="inlineStr">
        <is>
          <t>AC1</t>
        </is>
      </c>
      <c r="Q27" t="n">
        <v>0</v>
      </c>
      <c r="R27" t="n">
        <v>0</v>
      </c>
      <c r="S27" t="n">
        <v>0</v>
      </c>
      <c r="T27" t="inlineStr"/>
      <c r="U27" t="inlineStr"/>
      <c r="V27" t="inlineStr"/>
      <c r="W2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8">
      <c r="A28" t="n">
        <v>195</v>
      </c>
      <c r="B28" t="n">
        <v>65</v>
      </c>
      <c r="C28" t="n">
        <v>3</v>
      </c>
      <c r="D28" t="n">
        <v>1</v>
      </c>
      <c r="E28" t="inlineStr">
        <is>
          <t>R1, R2 y R4 dado que por R3 no circula corriente</t>
        </is>
      </c>
      <c r="F28" t="inlineStr">
        <is>
          <t>¿Cómo se comporta una resistencia si por ella no circula corriente?</t>
        </is>
      </c>
      <c r="G28" t="n">
        <v>3</v>
      </c>
      <c r="H28" t="n">
        <v>3</v>
      </c>
      <c r="I28" t="n">
        <v>3</v>
      </c>
      <c r="J28" t="n">
        <v>5</v>
      </c>
      <c r="K28" t="n">
        <v>14</v>
      </c>
      <c r="L28" t="n">
        <v>0.546</v>
      </c>
      <c r="M28" t="n">
        <v>19</v>
      </c>
      <c r="N28" t="n">
        <v>109.88</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196</v>
      </c>
      <c r="B29" t="n">
        <v>66</v>
      </c>
      <c r="C29" t="n">
        <v>1</v>
      </c>
      <c r="D29" t="n">
        <v>1</v>
      </c>
      <c r="E29" t="inlineStr">
        <is>
          <t>R1, R2 y R4 dado que por  R5 no circula corriente</t>
        </is>
      </c>
      <c r="F29" t="inlineStr">
        <is>
          <t>¿Qué le ocurre a la corriente que circula por R5 cuando el interruptor entre N2 y N3 está abierto?</t>
        </is>
      </c>
      <c r="G29" t="n">
        <v>3</v>
      </c>
      <c r="H29" t="n">
        <v>3</v>
      </c>
      <c r="I29" t="n">
        <v>3</v>
      </c>
      <c r="J29" t="n">
        <v>5</v>
      </c>
      <c r="K29" t="n">
        <v>14</v>
      </c>
      <c r="L29" t="n">
        <v>0.79</v>
      </c>
      <c r="M29" t="n">
        <v>31</v>
      </c>
      <c r="N29" t="n">
        <v>75.97</v>
      </c>
      <c r="O29" t="inlineStr">
        <is>
          <t>AC6</t>
        </is>
      </c>
      <c r="P29" t="inlineStr">
        <is>
          <t>AC1</t>
        </is>
      </c>
      <c r="Q29" t="n">
        <v>0</v>
      </c>
      <c r="R29" t="n">
        <v>0</v>
      </c>
      <c r="S29" t="n">
        <v>0</v>
      </c>
      <c r="T29" t="inlineStr"/>
      <c r="U29" t="inlineStr"/>
      <c r="V29" t="inlineStr"/>
      <c r="W2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0">
      <c r="A30" t="n">
        <v>197</v>
      </c>
      <c r="B30" t="n">
        <v>66</v>
      </c>
      <c r="C30" t="n">
        <v>2</v>
      </c>
      <c r="D30" t="n">
        <v>1</v>
      </c>
      <c r="E30" t="inlineStr">
        <is>
          <t>R1, R2 y R4 dado que R3 se puede quitar</t>
        </is>
      </c>
      <c r="F30" t="inlineStr">
        <is>
          <t>¿Qué le ocurre a la corriente que circula por R3 cuando el interruptor entre N2 y N3 está abierto?</t>
        </is>
      </c>
      <c r="G30" t="n">
        <v>3</v>
      </c>
      <c r="H30" t="n">
        <v>5</v>
      </c>
      <c r="I30" t="n">
        <v>3</v>
      </c>
      <c r="J30" t="n">
        <v>5</v>
      </c>
      <c r="K30" t="n">
        <v>16</v>
      </c>
      <c r="L30" t="n">
        <v>0.833</v>
      </c>
      <c r="M30" t="n">
        <v>31</v>
      </c>
      <c r="N30" t="n">
        <v>72.02</v>
      </c>
      <c r="O30" t="inlineStr">
        <is>
          <t>AC1</t>
        </is>
      </c>
      <c r="P30" t="inlineStr">
        <is>
          <t>AC1</t>
        </is>
      </c>
      <c r="Q30" t="n">
        <v>1</v>
      </c>
      <c r="R30" t="n">
        <v>1</v>
      </c>
      <c r="S30" t="n">
        <v>1</v>
      </c>
      <c r="T30" t="inlineStr"/>
      <c r="U30" t="inlineStr"/>
      <c r="V30" t="inlineStr"/>
      <c r="W30"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1">
      <c r="A31" t="n">
        <v>198</v>
      </c>
      <c r="B31" t="n">
        <v>66</v>
      </c>
      <c r="C31" t="n">
        <v>3</v>
      </c>
      <c r="D31" t="n">
        <v>1</v>
      </c>
      <c r="E31" t="inlineStr">
        <is>
          <t>R1, R2 y R4 dado que R5 se puede quitar</t>
        </is>
      </c>
      <c r="F31" t="inlineStr">
        <is>
          <t>¿Qué le ocurre a la corriente que circula por R5 cuando el interruptor entre N2 y N3 está abierto?</t>
        </is>
      </c>
      <c r="G31" t="n">
        <v>3</v>
      </c>
      <c r="H31" t="n">
        <v>3</v>
      </c>
      <c r="I31" t="n">
        <v>3</v>
      </c>
      <c r="J31" t="n">
        <v>5</v>
      </c>
      <c r="K31" t="n">
        <v>14</v>
      </c>
      <c r="L31" t="n">
        <v>0.795</v>
      </c>
      <c r="M31" t="n">
        <v>31</v>
      </c>
      <c r="N31" t="n">
        <v>75.43000000000001</v>
      </c>
      <c r="O31" t="inlineStr">
        <is>
          <t>AC6</t>
        </is>
      </c>
      <c r="P31" t="inlineStr">
        <is>
          <t>AC1</t>
        </is>
      </c>
      <c r="Q31" t="n">
        <v>0</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199</v>
      </c>
      <c r="B32" t="n">
        <v>67</v>
      </c>
      <c r="C32" t="n">
        <v>1</v>
      </c>
      <c r="D32" t="n">
        <v>1</v>
      </c>
      <c r="E32" t="inlineStr">
        <is>
          <t>R1, R2 y R4 dado que R3 no influye para nada en la diferencia de potencial que se pide</t>
        </is>
      </c>
      <c r="F32" t="inlineStr">
        <is>
          <t>¿Cómo se produce la diferencia de potencial entre N2 y 0, y qué resistencias intervienen en ese proceso?</t>
        </is>
      </c>
      <c r="G32" t="n">
        <v>3</v>
      </c>
      <c r="H32" t="n">
        <v>3</v>
      </c>
      <c r="I32" t="n">
        <v>3</v>
      </c>
      <c r="J32" t="n">
        <v>5</v>
      </c>
      <c r="K32" t="n">
        <v>14</v>
      </c>
      <c r="L32" t="n">
        <v>0.897</v>
      </c>
      <c r="M32" t="n">
        <v>27</v>
      </c>
      <c r="N32" t="n">
        <v>66.92</v>
      </c>
      <c r="O32" t="inlineStr">
        <is>
          <t>AC1</t>
        </is>
      </c>
      <c r="P32" t="inlineStr">
        <is>
          <t>AC9</t>
        </is>
      </c>
      <c r="Q32" t="n">
        <v>0</v>
      </c>
      <c r="R32" t="n">
        <v>0</v>
      </c>
      <c r="S32" t="n">
        <v>0</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200</v>
      </c>
      <c r="B33" t="n">
        <v>67</v>
      </c>
      <c r="C33" t="n">
        <v>2</v>
      </c>
      <c r="D33" t="n">
        <v>1</v>
      </c>
      <c r="E33" t="inlineStr">
        <is>
          <t>R1, R2 y R4 dado que R5 no influye para nada en la diferencia de potencial que se pide</t>
        </is>
      </c>
      <c r="F33" t="inlineStr">
        <is>
          <t>¿Cómo se produce la diferencia de potencial entre N2 y 0, y qué resistencias intervienen en ese proceso?</t>
        </is>
      </c>
      <c r="G33" t="n">
        <v>3</v>
      </c>
      <c r="H33" t="n">
        <v>3</v>
      </c>
      <c r="I33" t="n">
        <v>3</v>
      </c>
      <c r="J33" t="n">
        <v>5</v>
      </c>
      <c r="K33" t="n">
        <v>14</v>
      </c>
      <c r="L33" t="n">
        <v>0.6889999999999999</v>
      </c>
      <c r="M33" t="n">
        <v>27</v>
      </c>
      <c r="N33" t="n">
        <v>87.06999999999999</v>
      </c>
      <c r="O33" t="inlineStr">
        <is>
          <t>AC6</t>
        </is>
      </c>
      <c r="P33" t="inlineStr">
        <is>
          <t>AC9</t>
        </is>
      </c>
      <c r="Q33" t="n">
        <v>0</v>
      </c>
      <c r="R33" t="n">
        <v>0</v>
      </c>
      <c r="S33" t="n">
        <v>0</v>
      </c>
      <c r="T33" t="inlineStr"/>
      <c r="U33" t="inlineStr"/>
      <c r="V33" t="inlineStr"/>
      <c r="W3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4">
      <c r="A34" t="n">
        <v>201</v>
      </c>
      <c r="B34" t="n">
        <v>67</v>
      </c>
      <c r="C34" t="n">
        <v>3</v>
      </c>
      <c r="D34" t="n">
        <v>1</v>
      </c>
      <c r="E34" t="inlineStr">
        <is>
          <t>No lo sé</t>
        </is>
      </c>
      <c r="F34" t="inlineStr">
        <is>
          <t>¿En qué parte del circuito se produce la diferencia de potencial que se pide?</t>
        </is>
      </c>
      <c r="G34" t="n">
        <v>3</v>
      </c>
      <c r="H34" t="n">
        <v>2</v>
      </c>
      <c r="I34" t="n">
        <v>3</v>
      </c>
      <c r="J34" t="n">
        <v>5</v>
      </c>
      <c r="K34" t="n">
        <v>13</v>
      </c>
      <c r="L34" t="n">
        <v>0.547</v>
      </c>
      <c r="M34" t="n">
        <v>20</v>
      </c>
      <c r="N34" t="n">
        <v>109.64</v>
      </c>
      <c r="O34" t="inlineStr">
        <is>
          <t>AC9</t>
        </is>
      </c>
      <c r="P34" t="inlineStr">
        <is>
          <t>AC9</t>
        </is>
      </c>
      <c r="Q34" t="n">
        <v>1</v>
      </c>
      <c r="R34" t="n">
        <v>1</v>
      </c>
      <c r="S34" t="n">
        <v>1</v>
      </c>
      <c r="T34" t="inlineStr"/>
      <c r="U34" t="inlineStr"/>
      <c r="V34" t="inlineStr"/>
      <c r="W3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5">
      <c r="A35" t="n">
        <v>202</v>
      </c>
      <c r="B35" t="n">
        <v>68</v>
      </c>
      <c r="C35" t="n">
        <v>1</v>
      </c>
      <c r="D35" t="n">
        <v>1</v>
      </c>
      <c r="E35" t="inlineStr">
        <is>
          <t>Todas las resistencias</t>
        </is>
      </c>
      <c r="F35" t="inlineStr">
        <is>
          <t>¿Cuáles de estas resistencias no contribuyen a la diferencia de potencial entre N2 y 0?</t>
        </is>
      </c>
      <c r="G35" t="n">
        <v>3</v>
      </c>
      <c r="H35" t="n">
        <v>3</v>
      </c>
      <c r="I35" t="n">
        <v>3</v>
      </c>
      <c r="J35" t="n">
        <v>5</v>
      </c>
      <c r="K35" t="n">
        <v>14</v>
      </c>
      <c r="L35" t="n">
        <v>0.836</v>
      </c>
      <c r="M35" t="n">
        <v>25</v>
      </c>
      <c r="N35" t="n">
        <v>71.8</v>
      </c>
      <c r="O35" t="inlineStr">
        <is>
          <t>AC9</t>
        </is>
      </c>
      <c r="P35" t="inlineStr">
        <is>
          <t>AC9</t>
        </is>
      </c>
      <c r="Q35" t="n">
        <v>1</v>
      </c>
      <c r="R35" t="n">
        <v>1</v>
      </c>
      <c r="S35" t="n">
        <v>1</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203</v>
      </c>
      <c r="B36" t="n">
        <v>68</v>
      </c>
      <c r="C36" t="n">
        <v>2</v>
      </c>
      <c r="D36" t="n">
        <v>1</v>
      </c>
      <c r="E36" t="inlineStr">
        <is>
          <t>R1 y R2</t>
        </is>
      </c>
      <c r="F36" t="inlineStr">
        <is>
          <t>¿Cómo se comporta un interruptor cerrado en términos de diferencia de potencial?</t>
        </is>
      </c>
      <c r="G36" t="n">
        <v>3</v>
      </c>
      <c r="H36" t="n">
        <v>3</v>
      </c>
      <c r="I36" t="n">
        <v>3</v>
      </c>
      <c r="J36" t="n">
        <v>5</v>
      </c>
      <c r="K36" t="n">
        <v>14</v>
      </c>
      <c r="L36" t="n">
        <v>0.549</v>
      </c>
      <c r="M36" t="n">
        <v>21</v>
      </c>
      <c r="N36" t="n">
        <v>109.37</v>
      </c>
      <c r="O36" t="inlineStr">
        <is>
          <t>AC9</t>
        </is>
      </c>
      <c r="P36" t="inlineStr">
        <is>
          <t>AC1</t>
        </is>
      </c>
      <c r="Q36" t="n">
        <v>0</v>
      </c>
      <c r="R36" t="n">
        <v>0</v>
      </c>
      <c r="S36" t="n">
        <v>0</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204</v>
      </c>
      <c r="B37" t="n">
        <v>68</v>
      </c>
      <c r="C37" t="n">
        <v>3</v>
      </c>
      <c r="D37" t="n">
        <v>1</v>
      </c>
      <c r="E37" t="inlineStr">
        <is>
          <t>R1, R2 y R4</t>
        </is>
      </c>
      <c r="F37" t="inlineStr">
        <is>
          <t>¿Cómo se comporta un interruptor cerrado en términos de diferencia de potencial?</t>
        </is>
      </c>
      <c r="G37" t="n">
        <v>3</v>
      </c>
      <c r="H37" t="n">
        <v>3</v>
      </c>
      <c r="I37" t="n">
        <v>3</v>
      </c>
      <c r="J37" t="n">
        <v>5</v>
      </c>
      <c r="K37" t="n">
        <v>14</v>
      </c>
      <c r="L37" t="n">
        <v>0.551</v>
      </c>
      <c r="M37" t="n">
        <v>21</v>
      </c>
      <c r="N37" t="n">
        <v>108.99</v>
      </c>
      <c r="O37" t="inlineStr"/>
      <c r="P37" t="inlineStr">
        <is>
          <t>AC1</t>
        </is>
      </c>
      <c r="Q37" t="n">
        <v>0</v>
      </c>
      <c r="R37" t="n">
        <v>1</v>
      </c>
      <c r="S37" t="n">
        <v>0</v>
      </c>
      <c r="T37" t="inlineStr"/>
      <c r="U37" t="inlineStr"/>
      <c r="V37" t="inlineStr"/>
      <c r="W3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8">
      <c r="A38" t="n">
        <v>205</v>
      </c>
      <c r="B38" t="n">
        <v>69</v>
      </c>
      <c r="C38" t="n">
        <v>1</v>
      </c>
      <c r="D38" t="n">
        <v>1</v>
      </c>
      <c r="E38" t="inlineStr">
        <is>
          <t>R1, R2, R4 y R5</t>
        </is>
      </c>
      <c r="F38" t="inlineStr">
        <is>
          <t>¿Qué tienen en común los dos terminales de R5 mirando el netlist?</t>
        </is>
      </c>
      <c r="G38" t="n">
        <v>3</v>
      </c>
      <c r="H38" t="n">
        <v>2</v>
      </c>
      <c r="I38" t="n">
        <v>3</v>
      </c>
      <c r="J38" t="n">
        <v>5</v>
      </c>
      <c r="K38" t="n">
        <v>13</v>
      </c>
      <c r="L38" t="n">
        <v>0.764</v>
      </c>
      <c r="M38" t="n">
        <v>19</v>
      </c>
      <c r="N38" t="n">
        <v>78.53</v>
      </c>
      <c r="O38" t="inlineStr">
        <is>
          <t>AC6</t>
        </is>
      </c>
      <c r="P38" t="inlineStr">
        <is>
          <t>AC6</t>
        </is>
      </c>
      <c r="Q38" t="n">
        <v>1</v>
      </c>
      <c r="R38" t="n">
        <v>1</v>
      </c>
      <c r="S38" t="n">
        <v>1</v>
      </c>
      <c r="T38" t="inlineStr"/>
      <c r="U38" t="inlineStr"/>
      <c r="V38" t="inlineStr"/>
      <c r="W3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9">
      <c r="A39" t="n">
        <v>206</v>
      </c>
      <c r="B39" t="n">
        <v>69</v>
      </c>
      <c r="C39" t="n">
        <v>2</v>
      </c>
      <c r="D39" t="n">
        <v>1</v>
      </c>
      <c r="E39" t="inlineStr">
        <is>
          <t>R1, R2, R3 y R4</t>
        </is>
      </c>
      <c r="F39" t="inlineStr">
        <is>
          <t>¿Qué tienen en común los dos terminales de R5 mirando el netlist?</t>
        </is>
      </c>
      <c r="G39" t="n">
        <v>3</v>
      </c>
      <c r="H39" t="n">
        <v>2</v>
      </c>
      <c r="I39" t="n">
        <v>3</v>
      </c>
      <c r="J39" t="n">
        <v>5</v>
      </c>
      <c r="K39" t="n">
        <v>13</v>
      </c>
      <c r="L39" t="n">
        <v>0.569</v>
      </c>
      <c r="M39" t="n">
        <v>19</v>
      </c>
      <c r="N39" t="n">
        <v>105.42</v>
      </c>
      <c r="O39" t="inlineStr">
        <is>
          <t>AC1</t>
        </is>
      </c>
      <c r="P39" t="inlineStr">
        <is>
          <t>AC6</t>
        </is>
      </c>
      <c r="Q39" t="n">
        <v>0</v>
      </c>
      <c r="R39" t="n">
        <v>0</v>
      </c>
      <c r="S39" t="n">
        <v>0</v>
      </c>
      <c r="T39" t="inlineStr"/>
      <c r="U39" t="inlineStr"/>
      <c r="V39" t="inlineStr"/>
      <c r="W3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0">
      <c r="A40" t="n">
        <v>207</v>
      </c>
      <c r="B40" t="n">
        <v>69</v>
      </c>
      <c r="C40" t="n">
        <v>3</v>
      </c>
      <c r="D40" t="n">
        <v>1</v>
      </c>
      <c r="E40" t="inlineStr">
        <is>
          <t>R1 y R2 y R4 hacen un divisor de corriente</t>
        </is>
      </c>
      <c r="F40" t="inlineStr">
        <is>
          <t>¿Por qué R3 no está conectada a los terminales de R5?</t>
        </is>
      </c>
      <c r="G40" t="n">
        <v>3</v>
      </c>
      <c r="H40" t="n">
        <v>2</v>
      </c>
      <c r="I40" t="n">
        <v>3</v>
      </c>
      <c r="J40" t="n">
        <v>5</v>
      </c>
      <c r="K40" t="n">
        <v>13</v>
      </c>
      <c r="L40" t="n">
        <v>0.494</v>
      </c>
      <c r="M40" t="n">
        <v>18</v>
      </c>
      <c r="N40" t="n">
        <v>121.54</v>
      </c>
      <c r="O40" t="inlineStr"/>
      <c r="P40" t="inlineStr">
        <is>
          <t>AC6</t>
        </is>
      </c>
      <c r="Q40" t="n">
        <v>0</v>
      </c>
      <c r="R40" t="n">
        <v>1</v>
      </c>
      <c r="S40" t="n">
        <v>0</v>
      </c>
      <c r="T40" t="inlineStr"/>
      <c r="U40" t="inlineStr"/>
      <c r="V40" t="inlineStr"/>
      <c r="W40"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41">
      <c r="A41" t="n">
        <v>208</v>
      </c>
      <c r="B41" t="n">
        <v>70</v>
      </c>
      <c r="C41" t="n">
        <v>1</v>
      </c>
      <c r="D41" t="n">
        <v>1</v>
      </c>
      <c r="E41" t="inlineStr">
        <is>
          <t>R1 y R2 y R4 hacen un divisor de tensión, r3 no cuenta por estar en corto</t>
        </is>
      </c>
      <c r="F41" t="inlineStr">
        <is>
          <t>¿Qué sucede con la corriente en una rama interrumpida?</t>
        </is>
      </c>
      <c r="G41" t="n">
        <v>3</v>
      </c>
      <c r="H41" t="n">
        <v>2</v>
      </c>
      <c r="I41" t="n">
        <v>3</v>
      </c>
      <c r="J41" t="n">
        <v>5</v>
      </c>
      <c r="K41" t="n">
        <v>13</v>
      </c>
      <c r="L41" t="n">
        <v>0.512</v>
      </c>
      <c r="M41" t="n">
        <v>19</v>
      </c>
      <c r="N41" t="n">
        <v>117.23</v>
      </c>
      <c r="O41" t="inlineStr">
        <is>
          <t>AC1</t>
        </is>
      </c>
      <c r="P41" t="inlineStr">
        <is>
          <t>AC1</t>
        </is>
      </c>
      <c r="Q41" t="n">
        <v>1</v>
      </c>
      <c r="R41" t="n">
        <v>1</v>
      </c>
      <c r="S41" t="n">
        <v>1</v>
      </c>
      <c r="T41" t="inlineStr"/>
      <c r="U41" t="inlineStr"/>
      <c r="V41" t="inlineStr"/>
      <c r="W4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2">
      <c r="A42" t="n">
        <v>209</v>
      </c>
      <c r="B42" t="n">
        <v>70</v>
      </c>
      <c r="C42" t="n">
        <v>2</v>
      </c>
      <c r="D42" t="n">
        <v>1</v>
      </c>
      <c r="E42" t="inlineStr">
        <is>
          <t>No tengo en cuenta R3 porque el interruptor está cerrado</t>
        </is>
      </c>
      <c r="F42" t="inlineStr">
        <is>
          <t>¿Qué sucede con la corriente en una rama interrumpida?</t>
        </is>
      </c>
      <c r="G42" t="n">
        <v>3</v>
      </c>
      <c r="H42" t="n">
        <v>2</v>
      </c>
      <c r="I42" t="n">
        <v>3</v>
      </c>
      <c r="J42" t="n">
        <v>5</v>
      </c>
      <c r="K42" t="n">
        <v>13</v>
      </c>
      <c r="L42" t="n">
        <v>0.625</v>
      </c>
      <c r="M42" t="n">
        <v>19</v>
      </c>
      <c r="N42" t="n">
        <v>95.95999999999999</v>
      </c>
      <c r="O42" t="inlineStr">
        <is>
          <t>AC1, AC9</t>
        </is>
      </c>
      <c r="P42" t="inlineStr">
        <is>
          <t>AC1</t>
        </is>
      </c>
      <c r="Q42" t="n">
        <v>1</v>
      </c>
      <c r="R42" t="n">
        <v>0.5</v>
      </c>
      <c r="S42" t="n">
        <v>0.667</v>
      </c>
      <c r="T42" t="inlineStr"/>
      <c r="U42" t="inlineStr"/>
      <c r="V42" t="inlineStr"/>
      <c r="W4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3">
      <c r="A43" t="n">
        <v>210</v>
      </c>
      <c r="B43" t="n">
        <v>70</v>
      </c>
      <c r="C43" t="n">
        <v>3</v>
      </c>
      <c r="D43" t="n">
        <v>1</v>
      </c>
      <c r="E43" t="inlineStr">
        <is>
          <t>No tengo en cuenta R5 porque está en circuito abierto</t>
        </is>
      </c>
      <c r="F43" t="inlineStr">
        <is>
          <t>¿Qué sucede con la corriente en una rama interrumpida?</t>
        </is>
      </c>
      <c r="G43" t="n">
        <v>3</v>
      </c>
      <c r="H43" t="n">
        <v>2</v>
      </c>
      <c r="I43" t="n">
        <v>3</v>
      </c>
      <c r="J43" t="n">
        <v>5</v>
      </c>
      <c r="K43" t="n">
        <v>13</v>
      </c>
      <c r="L43" t="n">
        <v>0.518</v>
      </c>
      <c r="M43" t="n">
        <v>19</v>
      </c>
      <c r="N43" t="n">
        <v>115.85</v>
      </c>
      <c r="O43" t="inlineStr">
        <is>
          <t>AC6, AC9</t>
        </is>
      </c>
      <c r="P43" t="inlineStr">
        <is>
          <t>AC1</t>
        </is>
      </c>
      <c r="Q43" t="n">
        <v>0</v>
      </c>
      <c r="R43" t="n">
        <v>0</v>
      </c>
      <c r="S43" t="n">
        <v>0</v>
      </c>
      <c r="T43" t="inlineStr"/>
      <c r="U43" t="inlineStr"/>
      <c r="V43" t="inlineStr"/>
      <c r="W4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421</v>
      </c>
      <c r="B2" t="n">
        <v>141</v>
      </c>
      <c r="C2" t="n">
        <v>1</v>
      </c>
      <c r="D2" t="n">
        <v>1</v>
      </c>
      <c r="E2" t="inlineStr">
        <is>
          <t>R1 y R2 dado que las dos resistencia forman un divisor de tensión</t>
        </is>
      </c>
      <c r="F2" t="inlineStr">
        <is>
          <t>¿Qué otheras resistencias encuentras en el camino que unen al nodo N2 con el tierra, teniendo en cuenta el estado del interruptor?</t>
        </is>
      </c>
      <c r="G2" t="n">
        <v>3</v>
      </c>
      <c r="H2" t="n">
        <v>3</v>
      </c>
      <c r="I2" t="n">
        <v>3</v>
      </c>
      <c r="J2" t="n">
        <v>5</v>
      </c>
      <c r="K2" t="n">
        <v>14</v>
      </c>
      <c r="L2" t="n">
        <v>49.814</v>
      </c>
      <c r="M2" t="n">
        <v>113</v>
      </c>
      <c r="N2" t="n">
        <v>1.2</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422</v>
      </c>
      <c r="B3" t="n">
        <v>141</v>
      </c>
      <c r="C3" t="n">
        <v>2</v>
      </c>
      <c r="D3" t="n">
        <v>1</v>
      </c>
      <c r="E3" t="inlineStr">
        <is>
          <t>R1 y R2 dado que se pide la tensión en R2</t>
        </is>
      </c>
      <c r="F3" t="inlineStr">
        <is>
          <t>¿Cómo afecta el estado del interruptor y las demás resistencias al cálculo de la tensión en R2?</t>
        </is>
      </c>
      <c r="G3" t="n">
        <v>4</v>
      </c>
      <c r="H3" t="n">
        <v>3</v>
      </c>
      <c r="I3" t="n">
        <v>4</v>
      </c>
      <c r="J3" t="n">
        <v>5</v>
      </c>
      <c r="K3" t="n">
        <v>16</v>
      </c>
      <c r="L3" t="n">
        <v>2.104</v>
      </c>
      <c r="M3" t="n">
        <v>306</v>
      </c>
      <c r="N3" t="n">
        <v>28.52</v>
      </c>
      <c r="O3" t="inlineStr">
        <is>
          <t>AC9</t>
        </is>
      </c>
      <c r="P3" t="inlineStr">
        <is>
          <t>AC1, AC9</t>
        </is>
      </c>
      <c r="Q3" t="n">
        <v>0.5</v>
      </c>
      <c r="R3" t="n">
        <v>1</v>
      </c>
      <c r="S3" t="n">
        <v>0.667</v>
      </c>
      <c r="T3" t="inlineStr"/>
      <c r="U3" t="inlineStr"/>
      <c r="V3" t="inlineStr"/>
      <c r="W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4">
      <c r="A4" t="n">
        <v>423</v>
      </c>
      <c r="B4" t="n">
        <v>141</v>
      </c>
      <c r="C4" t="n">
        <v>3</v>
      </c>
      <c r="D4" t="n">
        <v>1</v>
      </c>
      <c r="E4" t="inlineStr">
        <is>
          <t>R1 y R2 por identificar un divisor de tensión</t>
        </is>
      </c>
      <c r="F4" t="inlineStr">
        <is>
          <t>¿Cómo afecta el estado del interruptor y las demás resistencias al cálculo de la tensión en R2?</t>
        </is>
      </c>
      <c r="G4" t="n">
        <v>4</v>
      </c>
      <c r="H4" t="n">
        <v>3</v>
      </c>
      <c r="I4" t="n">
        <v>4</v>
      </c>
      <c r="J4" t="n">
        <v>5</v>
      </c>
      <c r="K4" t="n">
        <v>16</v>
      </c>
      <c r="L4" t="n">
        <v>2.315</v>
      </c>
      <c r="M4" t="n">
        <v>346</v>
      </c>
      <c r="N4" t="n">
        <v>25.92</v>
      </c>
      <c r="O4" t="inlineStr">
        <is>
          <t>AC9</t>
        </is>
      </c>
      <c r="P4" t="inlineStr">
        <is>
          <t>AC1, AC9</t>
        </is>
      </c>
      <c r="Q4" t="n">
        <v>0.5</v>
      </c>
      <c r="R4" t="n">
        <v>1</v>
      </c>
      <c r="S4" t="n">
        <v>0.667</v>
      </c>
      <c r="T4" t="inlineStr"/>
      <c r="U4" t="inlineStr"/>
      <c r="V4" t="inlineStr"/>
      <c r="W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5">
      <c r="A5" t="n">
        <v>424</v>
      </c>
      <c r="B5" t="n">
        <v>142</v>
      </c>
      <c r="C5" t="n">
        <v>1</v>
      </c>
      <c r="D5" t="n">
        <v>1</v>
      </c>
      <c r="E5" t="inlineStr">
        <is>
          <t>R1 y R2 hacen un divisor de tensión</t>
        </is>
      </c>
      <c r="F5" t="inlineStr">
        <is>
          <t>¿Cuáles son las resistencias que se encuentran en el camino completo desde N2 hasta tierra? ¿Cómo es la ruta total para la corriente?</t>
        </is>
      </c>
      <c r="G5" t="n">
        <v>3</v>
      </c>
      <c r="H5" t="n">
        <v>4</v>
      </c>
      <c r="I5" t="n">
        <v>3</v>
      </c>
      <c r="J5" t="n">
        <v>5</v>
      </c>
      <c r="K5" t="n">
        <v>15</v>
      </c>
      <c r="L5" t="n">
        <v>2.48</v>
      </c>
      <c r="M5" t="n">
        <v>313</v>
      </c>
      <c r="N5" t="n">
        <v>24.2</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6">
      <c r="A6" t="n">
        <v>425</v>
      </c>
      <c r="B6" t="n">
        <v>142</v>
      </c>
      <c r="C6" t="n">
        <v>2</v>
      </c>
      <c r="D6" t="n">
        <v>1</v>
      </c>
      <c r="E6" t="inlineStr">
        <is>
          <t>R1, R2, R3 y R4 porque R5 está cortocircuitada</t>
        </is>
      </c>
      <c r="F6" t="inlineStr">
        <is>
          <t>¿Cómo afecta la presencia de R5 en el circuito al flujo de corriente?</t>
        </is>
      </c>
      <c r="G6" t="n">
        <v>4</v>
      </c>
      <c r="H6" t="n">
        <v>2</v>
      </c>
      <c r="I6" t="n">
        <v>3</v>
      </c>
      <c r="J6" t="n">
        <v>5</v>
      </c>
      <c r="K6" t="n">
        <v>14</v>
      </c>
      <c r="L6" t="n">
        <v>2.143</v>
      </c>
      <c r="M6" t="n">
        <v>250</v>
      </c>
      <c r="N6" t="n">
        <v>28</v>
      </c>
      <c r="O6" t="inlineStr">
        <is>
          <t>AC1, AC6</t>
        </is>
      </c>
      <c r="P6" t="inlineStr">
        <is>
          <t>AC1</t>
        </is>
      </c>
      <c r="Q6" t="n">
        <v>1</v>
      </c>
      <c r="R6" t="n">
        <v>0.5</v>
      </c>
      <c r="S6" t="n">
        <v>0.667</v>
      </c>
      <c r="T6" t="inlineStr"/>
      <c r="U6" t="inlineStr"/>
      <c r="V6" t="inlineStr"/>
      <c r="W6"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7">
      <c r="A7" t="n">
        <v>427</v>
      </c>
      <c r="B7" t="n">
        <v>143</v>
      </c>
      <c r="C7" t="n">
        <v>1</v>
      </c>
      <c r="D7" t="n">
        <v>1</v>
      </c>
      <c r="E7" t="inlineStr">
        <is>
          <t>R1, R2, R3 y R4 porque R5 se quita</t>
        </is>
      </c>
      <c r="F7" t="inlineStr">
        <is>
          <t>¿Qué ocurre con R3 cuando hay un interruptor abierto entre N2 y N3?</t>
        </is>
      </c>
      <c r="G7" t="n">
        <v>4</v>
      </c>
      <c r="H7" t="n">
        <v>2</v>
      </c>
      <c r="I7" t="n">
        <v>3</v>
      </c>
      <c r="J7" t="n">
        <v>5</v>
      </c>
      <c r="K7" t="n">
        <v>14</v>
      </c>
      <c r="L7" t="n">
        <v>2.739</v>
      </c>
      <c r="M7" t="n">
        <v>288</v>
      </c>
      <c r="N7" t="n">
        <v>21.91</v>
      </c>
      <c r="O7" t="inlineStr">
        <is>
          <t>AC1, AC6</t>
        </is>
      </c>
      <c r="P7" t="inlineStr">
        <is>
          <t>AC1</t>
        </is>
      </c>
      <c r="Q7" t="n">
        <v>1</v>
      </c>
      <c r="R7" t="n">
        <v>0.5</v>
      </c>
      <c r="S7" t="n">
        <v>0.667</v>
      </c>
      <c r="T7" t="inlineStr"/>
      <c r="U7" t="inlineStr"/>
      <c r="V7" t="inlineStr"/>
      <c r="W7"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8">
      <c r="A8" t="n">
        <v>428</v>
      </c>
      <c r="B8" t="n">
        <v>143</v>
      </c>
      <c r="C8" t="n">
        <v>2</v>
      </c>
      <c r="D8" t="n">
        <v>1</v>
      </c>
      <c r="E8" t="inlineStr">
        <is>
          <t>R1, R3 y R4 porque R2 está en paralelo con la fuente y R5 corctocircuitada</t>
        </is>
      </c>
      <c r="F8" t="inlineStr">
        <is>
          <t>¿Cómo afecta la conexión paralela de R2 con la fuente y el cortocircuito de R5 en las demás resistencias del sistema?</t>
        </is>
      </c>
      <c r="G8" t="n">
        <v>4</v>
      </c>
      <c r="H8" t="n">
        <v>3</v>
      </c>
      <c r="I8" t="n">
        <v>3</v>
      </c>
      <c r="J8" t="n">
        <v>5</v>
      </c>
      <c r="K8" t="n">
        <v>15</v>
      </c>
      <c r="L8" t="n">
        <v>3.079</v>
      </c>
      <c r="M8" t="n">
        <v>366</v>
      </c>
      <c r="N8" t="n">
        <v>19.49</v>
      </c>
      <c r="O8" t="inlineStr">
        <is>
          <t>AC1, AC6</t>
        </is>
      </c>
      <c r="P8" t="inlineStr">
        <is>
          <t>AC6, AC9</t>
        </is>
      </c>
      <c r="Q8" t="n">
        <v>0.5</v>
      </c>
      <c r="R8" t="n">
        <v>0.5</v>
      </c>
      <c r="S8" t="n">
        <v>0.5</v>
      </c>
      <c r="T8" t="inlineStr"/>
      <c r="U8" t="inlineStr"/>
      <c r="V8" t="inlineStr"/>
      <c r="W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9">
      <c r="A9" t="n">
        <v>430</v>
      </c>
      <c r="B9" t="n">
        <v>144</v>
      </c>
      <c r="C9" t="n">
        <v>1</v>
      </c>
      <c r="D9" t="n">
        <v>1</v>
      </c>
      <c r="E9" t="inlineStr">
        <is>
          <t>R1 y R4 dado que R2 está en paralelo con la fuente, R3 en circuito abierto y R5 cortocircuitada</t>
        </is>
      </c>
      <c r="F9" t="inlineStr">
        <is>
          <t>¿Cómo afectaría la presencia de R2 al circuito? ¿Es capaz de conductar corriente hacia tierra?</t>
        </is>
      </c>
      <c r="G9" t="n">
        <v>3</v>
      </c>
      <c r="H9" t="n">
        <v>2</v>
      </c>
      <c r="I9" t="n">
        <v>3</v>
      </c>
      <c r="J9" t="n">
        <v>5</v>
      </c>
      <c r="K9" t="n">
        <v>13</v>
      </c>
      <c r="L9" t="n">
        <v>2.302</v>
      </c>
      <c r="M9" t="n">
        <v>225</v>
      </c>
      <c r="N9" t="n">
        <v>26.06</v>
      </c>
      <c r="O9" t="inlineStr">
        <is>
          <t>AC1, AC6</t>
        </is>
      </c>
      <c r="P9" t="inlineStr">
        <is>
          <t>AC1, AC9</t>
        </is>
      </c>
      <c r="Q9" t="n">
        <v>0.5</v>
      </c>
      <c r="R9" t="n">
        <v>0.5</v>
      </c>
      <c r="S9" t="n">
        <v>0.5</v>
      </c>
      <c r="T9" t="inlineStr"/>
      <c r="U9" t="inlineStr"/>
      <c r="V9" t="inlineStr"/>
      <c r="W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0">
      <c r="A10" t="n">
        <v>431</v>
      </c>
      <c r="B10" t="n">
        <v>144</v>
      </c>
      <c r="C10" t="n">
        <v>2</v>
      </c>
      <c r="D10" t="n">
        <v>1</v>
      </c>
      <c r="E10" t="inlineStr">
        <is>
          <t>R1, R2 y R3 dado que R2 y R3 están en paralelo y forman un divisor de tensión con R1</t>
        </is>
      </c>
      <c r="F10" t="inlineStr">
        <is>
          <t>¿Cómo afectaría la presencia de R4 al circuito, considerando su posiciones y la conexión con el divisor de tensión existente?</t>
        </is>
      </c>
      <c r="G10" t="n">
        <v>3</v>
      </c>
      <c r="H10" t="n">
        <v>2</v>
      </c>
      <c r="I10" t="n">
        <v>3</v>
      </c>
      <c r="J10" t="n">
        <v>5</v>
      </c>
      <c r="K10" t="n">
        <v>13</v>
      </c>
      <c r="L10" t="n">
        <v>2.177</v>
      </c>
      <c r="M10" t="n">
        <v>219</v>
      </c>
      <c r="N10" t="n">
        <v>27.55</v>
      </c>
      <c r="O10" t="inlineStr">
        <is>
          <t>AC1, AC9</t>
        </is>
      </c>
      <c r="P10" t="inlineStr"/>
      <c r="Q10" t="n">
        <v>1</v>
      </c>
      <c r="R10" t="n">
        <v>0</v>
      </c>
      <c r="S10" t="n">
        <v>0</v>
      </c>
      <c r="T10" t="inlineStr"/>
      <c r="U10" t="inlineStr"/>
      <c r="V10" t="inlineStr"/>
      <c r="W1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1">
      <c r="A11" t="n">
        <v>432</v>
      </c>
      <c r="B11" t="n">
        <v>144</v>
      </c>
      <c r="C11" t="n">
        <v>3</v>
      </c>
      <c r="D11" t="n">
        <v>1</v>
      </c>
      <c r="E11" t="inlineStr">
        <is>
          <t>R1, R2, R4 y R5 dado que R3 está en circuito abierto</t>
        </is>
      </c>
      <c r="F11" t="inlineStr">
        <is>
          <t>¿Cómo afectará la disconnectividad de R3 en el node formado por R1 y R2? ¿Existe otro resistor que actúe como Cortocircuitado o abrochado debido a esta situación?</t>
        </is>
      </c>
      <c r="G11" t="n">
        <v>3</v>
      </c>
      <c r="H11" t="n">
        <v>2</v>
      </c>
      <c r="I11" t="n">
        <v>4</v>
      </c>
      <c r="J11" t="n">
        <v>5</v>
      </c>
      <c r="K11" t="n">
        <v>14</v>
      </c>
      <c r="L11" t="n">
        <v>2.431</v>
      </c>
      <c r="M11" t="n">
        <v>263</v>
      </c>
      <c r="N11" t="n">
        <v>24.68</v>
      </c>
      <c r="O11" t="inlineStr">
        <is>
          <t>AC1, AC6</t>
        </is>
      </c>
      <c r="P11" t="inlineStr"/>
      <c r="Q11" t="n">
        <v>1</v>
      </c>
      <c r="R11" t="n">
        <v>0</v>
      </c>
      <c r="S11" t="n">
        <v>0</v>
      </c>
      <c r="T11" t="inlineStr"/>
      <c r="U11" t="inlineStr"/>
      <c r="V11" t="inlineStr"/>
      <c r="W11"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2">
      <c r="A12" t="n">
        <v>433</v>
      </c>
      <c r="B12" t="n">
        <v>145</v>
      </c>
      <c r="C12" t="n">
        <v>1</v>
      </c>
      <c r="D12" t="n">
        <v>1</v>
      </c>
      <c r="E12" t="inlineStr">
        <is>
          <t>R1, R2, R4 y R5 dado que R3 sobra</t>
        </is>
      </c>
      <c r="F12" t="inlineStr">
        <is>
          <t>¿Cómo se relacionan los terminales de R5 con los nodos N2 y N3? ¿Estás seguro de que la corriente circula a través de ella o está cortocircuitada?</t>
        </is>
      </c>
      <c r="G12" t="n">
        <v>3</v>
      </c>
      <c r="H12" t="n">
        <v>3</v>
      </c>
      <c r="I12" t="n">
        <v>3</v>
      </c>
      <c r="J12" t="n">
        <v>5</v>
      </c>
      <c r="K12" t="n">
        <v>14</v>
      </c>
      <c r="L12" t="n">
        <v>4.199</v>
      </c>
      <c r="M12" t="n">
        <v>351</v>
      </c>
      <c r="N12" t="n">
        <v>14.29</v>
      </c>
      <c r="O12" t="inlineStr">
        <is>
          <t>AC1, AC6</t>
        </is>
      </c>
      <c r="P12" t="inlineStr">
        <is>
          <t>AC1, AC6</t>
        </is>
      </c>
      <c r="Q12" t="n">
        <v>1</v>
      </c>
      <c r="R12" t="n">
        <v>1</v>
      </c>
      <c r="S12" t="n">
        <v>1</v>
      </c>
      <c r="T12" t="inlineStr"/>
      <c r="U12" t="inlineStr"/>
      <c r="V12" t="inlineStr"/>
      <c r="W1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3">
      <c r="A13" t="n">
        <v>434</v>
      </c>
      <c r="B13" t="n">
        <v>145</v>
      </c>
      <c r="C13" t="n">
        <v>2</v>
      </c>
      <c r="D13" t="n">
        <v>1</v>
      </c>
      <c r="E13" t="inlineStr">
        <is>
          <t>R1, R2, R4 y R5 dado que R3 no hace nada</t>
        </is>
      </c>
      <c r="F13" t="inlineStr">
        <is>
          <t>¿Cómo se relacionan los terminales de R5 con los nodos N2 y N3? ¿Estás seguro de que la corriente circula a través de ella o está cortocircuitada?</t>
        </is>
      </c>
      <c r="G13" t="n">
        <v>3</v>
      </c>
      <c r="H13" t="n">
        <v>3</v>
      </c>
      <c r="I13" t="n">
        <v>3</v>
      </c>
      <c r="J13" t="n">
        <v>5</v>
      </c>
      <c r="K13" t="n">
        <v>14</v>
      </c>
      <c r="L13" t="n">
        <v>3.033</v>
      </c>
      <c r="M13" t="n">
        <v>368</v>
      </c>
      <c r="N13" t="n">
        <v>19.78</v>
      </c>
      <c r="O13" t="inlineStr">
        <is>
          <t>AC1, AC6</t>
        </is>
      </c>
      <c r="P13" t="inlineStr">
        <is>
          <t>AC1, AC6</t>
        </is>
      </c>
      <c r="Q13" t="n">
        <v>1</v>
      </c>
      <c r="R13" t="n">
        <v>1</v>
      </c>
      <c r="S13" t="n">
        <v>1</v>
      </c>
      <c r="T13" t="inlineStr"/>
      <c r="U13" t="inlineStr"/>
      <c r="V13" t="inlineStr"/>
      <c r="W1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4">
      <c r="A14" t="n">
        <v>436</v>
      </c>
      <c r="B14" t="n">
        <v>146</v>
      </c>
      <c r="C14" t="n">
        <v>1</v>
      </c>
      <c r="D14" t="n">
        <v>1</v>
      </c>
      <c r="E14" t="inlineStr">
        <is>
          <t>R1, R2 y R4 dado que R2 y R4 están en paralelo y forma un divisor de tensión con R1.</t>
        </is>
      </c>
      <c r="F14" t="inlineStr">
        <is>
          <t>¿Podrías imaginar si hay otros resistores que podrían estar formando una ruta para la corriente que llega desde V1 hasta tierra a través de N2?</t>
        </is>
      </c>
      <c r="G14" t="n">
        <v>5</v>
      </c>
      <c r="H14" t="n">
        <v>2</v>
      </c>
      <c r="I14" t="n">
        <v>3</v>
      </c>
      <c r="J14" t="n">
        <v>5</v>
      </c>
      <c r="K14" t="n">
        <v>15</v>
      </c>
      <c r="L14" t="n">
        <v>2.107</v>
      </c>
      <c r="M14" t="n">
        <v>202</v>
      </c>
      <c r="N14" t="n">
        <v>28.47</v>
      </c>
      <c r="O14" t="inlineStr"/>
      <c r="P14" t="inlineStr">
        <is>
          <t>AC1, AC9</t>
        </is>
      </c>
      <c r="Q14" t="n">
        <v>0</v>
      </c>
      <c r="R14" t="n">
        <v>1</v>
      </c>
      <c r="S14" t="n">
        <v>0</v>
      </c>
      <c r="T14" t="inlineStr"/>
      <c r="U14" t="inlineStr"/>
      <c r="V14" t="inlineStr"/>
      <c r="W14" t="inlineStr">
        <is>
          <t>Socraticidad 5/5 (Inducción a la contradicción): Inducción a la contradicción: usa contraejemplo o reducción al absurdo. Precisión Conceptual 2/5 (Pobre): Pobre: responde de forma genérica sin diagnosticar el error conceptual. Buen desempeño general; hay margen de mejora en profundidad socrática.</t>
        </is>
      </c>
    </row>
    <row r="15">
      <c r="A15" t="n">
        <v>437</v>
      </c>
      <c r="B15" t="n">
        <v>146</v>
      </c>
      <c r="C15" t="n">
        <v>2</v>
      </c>
      <c r="D15" t="n">
        <v>1</v>
      </c>
      <c r="E15" t="inlineStr">
        <is>
          <t>R1, R2 y R4 dado que R3 está en abierto y R5 cortocircuitada</t>
        </is>
      </c>
      <c r="F15" t="inlineStr">
        <is>
          <t>¿Cómo afecta la configuración de R3 (abierto) y R5 (cortocircuitada) al resfriado de la corriente en el circuito?</t>
        </is>
      </c>
      <c r="G15" t="n">
        <v>4</v>
      </c>
      <c r="H15" t="n">
        <v>2</v>
      </c>
      <c r="I15" t="n">
        <v>3</v>
      </c>
      <c r="J15" t="n">
        <v>5</v>
      </c>
      <c r="K15" t="n">
        <v>14</v>
      </c>
      <c r="L15" t="n">
        <v>2.837</v>
      </c>
      <c r="M15" t="n">
        <v>292</v>
      </c>
      <c r="N15" t="n">
        <v>21.15</v>
      </c>
      <c r="O15" t="inlineStr">
        <is>
          <t>AC1, AC6</t>
        </is>
      </c>
      <c r="P15" t="inlineStr">
        <is>
          <t>AC1</t>
        </is>
      </c>
      <c r="Q15" t="n">
        <v>1</v>
      </c>
      <c r="R15" t="n">
        <v>0.5</v>
      </c>
      <c r="S15" t="n">
        <v>0.667</v>
      </c>
      <c r="T15" t="inlineStr"/>
      <c r="U15" t="inlineStr"/>
      <c r="V15" t="inlineStr"/>
      <c r="W15"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16">
      <c r="A16" t="n">
        <v>438</v>
      </c>
      <c r="B16" t="n">
        <v>146</v>
      </c>
      <c r="C16" t="n">
        <v>3</v>
      </c>
      <c r="D16" t="n">
        <v>1</v>
      </c>
      <c r="E16" t="inlineStr">
        <is>
          <t>R1, R2 y R4 dado que solo por estas resistencias circula una corriente diferente de cero</t>
        </is>
      </c>
      <c r="F16" t="inlineStr">
        <is>
          <t>¿Podrías considerar si hay otros componentes en paralelo con R1, R2 y R4 que afecten la corriente total?</t>
        </is>
      </c>
      <c r="G16" t="n">
        <v>5</v>
      </c>
      <c r="H16" t="n">
        <v>3</v>
      </c>
      <c r="I16" t="n">
        <v>5</v>
      </c>
      <c r="J16" t="n">
        <v>5</v>
      </c>
      <c r="K16" t="n">
        <v>18</v>
      </c>
      <c r="L16" t="n">
        <v>1.84</v>
      </c>
      <c r="M16" t="n">
        <v>181</v>
      </c>
      <c r="N16" t="n">
        <v>32.61</v>
      </c>
      <c r="O16" t="inlineStr"/>
      <c r="P16" t="inlineStr">
        <is>
          <t>AC1</t>
        </is>
      </c>
      <c r="Q16" t="n">
        <v>0</v>
      </c>
      <c r="R16" t="n">
        <v>1</v>
      </c>
      <c r="S16" t="n">
        <v>0</v>
      </c>
      <c r="T16" t="inlineStr"/>
      <c r="U16" t="inlineStr"/>
      <c r="V16" t="inlineStr"/>
      <c r="W16" t="inlineStr">
        <is>
          <t>Socraticidad 5/5 (Inducción a la contradicción): Inducción a la contradicción: usa contraejemplo o reducción al absurdo. Precisión Conceptual 3/5 (Suficiente): Suficiente: identifica que hay un error y usa conceptos correctos, pero el diagnóstico es algo vago. Tutor de alto rendimiento: guía socrática experta con diagnóstico preciso.</t>
        </is>
      </c>
    </row>
    <row r="17">
      <c r="A17" t="n">
        <v>439</v>
      </c>
      <c r="B17" t="n">
        <v>147</v>
      </c>
      <c r="C17" t="n">
        <v>1</v>
      </c>
      <c r="D17" t="n">
        <v>1</v>
      </c>
      <c r="E17" t="inlineStr">
        <is>
          <t>R1, R2 y R4 dado que por R3 y por R5 no circula corriente</t>
        </is>
      </c>
      <c r="F17" t="inlineStr">
        <is>
          <t>¿Cómo afecta el interruptor abierto entre N2 y N3 al flujo de corriente en el circuito? ¿Cómo podrías identificar si R5 está en paralelo o en cortocircuito con otros componentes?</t>
        </is>
      </c>
      <c r="G17" t="n">
        <v>4</v>
      </c>
      <c r="H17" t="n">
        <v>5</v>
      </c>
      <c r="I17" t="n">
        <v>3</v>
      </c>
      <c r="J17" t="n">
        <v>5</v>
      </c>
      <c r="K17" t="n">
        <v>17</v>
      </c>
      <c r="L17" t="n">
        <v>3.117</v>
      </c>
      <c r="M17" t="n">
        <v>382</v>
      </c>
      <c r="N17" t="n">
        <v>19.25</v>
      </c>
      <c r="O17" t="inlineStr">
        <is>
          <t>AC1, AC6</t>
        </is>
      </c>
      <c r="P17" t="inlineStr">
        <is>
          <t>AC1, AC6, AC9</t>
        </is>
      </c>
      <c r="Q17" t="n">
        <v>0.667</v>
      </c>
      <c r="R17" t="n">
        <v>1</v>
      </c>
      <c r="S17" t="n">
        <v>0.8</v>
      </c>
      <c r="T17" t="inlineStr"/>
      <c r="U17" t="inlineStr"/>
      <c r="V17" t="inlineStr"/>
      <c r="W17" t="inlineStr">
        <is>
          <t>Socraticidad 4/5 (Andamiaje para detección): Andamiaje para detección: identifica el área del error y plantea pregunta que confronta con la teoría. Precisión Conceptual 5/5 (Excelente): Excelente: identifica la concepción alternativa específica y la conecta con la topología del circuito. Tutor de alto rendimiento: guía socrática experta con diagnóstico preciso.</t>
        </is>
      </c>
    </row>
    <row r="18">
      <c r="A18" t="n">
        <v>440</v>
      </c>
      <c r="B18" t="n">
        <v>147</v>
      </c>
      <c r="C18" t="n">
        <v>2</v>
      </c>
      <c r="D18" t="n">
        <v>1</v>
      </c>
      <c r="E18" t="inlineStr">
        <is>
          <t>R1, R2 y R4 dado que R3 y R5 se pueden quitar</t>
        </is>
      </c>
      <c r="F18" t="inlineStr">
        <is>
          <t>¿Cómo afecta la presencia del resistor R5 al flujo de corriente a través de los nodos N2 y N3? ¿Podrías analizar cómo su posición en el circuito influye en la parallelismo o la shorting con otros elementos?</t>
        </is>
      </c>
      <c r="G18" t="n">
        <v>4</v>
      </c>
      <c r="H18" t="n">
        <v>3</v>
      </c>
      <c r="I18" t="n">
        <v>3</v>
      </c>
      <c r="J18" t="n">
        <v>5</v>
      </c>
      <c r="K18" t="n">
        <v>15</v>
      </c>
      <c r="L18" t="n">
        <v>2.511</v>
      </c>
      <c r="M18" t="n">
        <v>223</v>
      </c>
      <c r="N18" t="n">
        <v>23.9</v>
      </c>
      <c r="O18" t="inlineStr">
        <is>
          <t>AC1, AC6</t>
        </is>
      </c>
      <c r="P18" t="inlineStr">
        <is>
          <t>AC1, AC9</t>
        </is>
      </c>
      <c r="Q18" t="n">
        <v>0.5</v>
      </c>
      <c r="R18" t="n">
        <v>0.5</v>
      </c>
      <c r="S18" t="n">
        <v>0.5</v>
      </c>
      <c r="T18" t="inlineStr"/>
      <c r="U18" t="inlineStr"/>
      <c r="V18" t="inlineStr"/>
      <c r="W1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9">
      <c r="A19" t="n">
        <v>441</v>
      </c>
      <c r="B19" t="n">
        <v>147</v>
      </c>
      <c r="C19" t="n">
        <v>3</v>
      </c>
      <c r="D19" t="n">
        <v>1</v>
      </c>
      <c r="E19" t="inlineStr">
        <is>
          <t>R1, R2 y R4 dado que R3 y R5 no influyen para nada en la diferencia de potencial que se pide</t>
        </is>
      </c>
      <c r="F19" t="inlineStr">
        <is>
          <t>¿Cómo afecta la posición del resistor R5 en relación con los nodos N2 y N3 al calcular el resistivo total del circuito? ¿Puedes relacionarlo con si se encuentra en paralelo o en cortocircuito con otros elementos?</t>
        </is>
      </c>
      <c r="G19" t="n">
        <v>4</v>
      </c>
      <c r="H19" t="n">
        <v>4</v>
      </c>
      <c r="I19" t="n">
        <v>3</v>
      </c>
      <c r="J19" t="n">
        <v>5</v>
      </c>
      <c r="K19" t="n">
        <v>16</v>
      </c>
      <c r="L19" t="n">
        <v>2.763</v>
      </c>
      <c r="M19" t="n">
        <v>323</v>
      </c>
      <c r="N19" t="n">
        <v>21.72</v>
      </c>
      <c r="O19" t="inlineStr">
        <is>
          <t>AC1, AC6</t>
        </is>
      </c>
      <c r="P19" t="inlineStr">
        <is>
          <t>AC6</t>
        </is>
      </c>
      <c r="Q19" t="n">
        <v>1</v>
      </c>
      <c r="R19" t="n">
        <v>0.5</v>
      </c>
      <c r="S19" t="n">
        <v>0.667</v>
      </c>
      <c r="T19" t="inlineStr"/>
      <c r="U19" t="inlineStr"/>
      <c r="V19" t="inlineStr"/>
      <c r="W19"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0">
      <c r="A20" t="n">
        <v>442</v>
      </c>
      <c r="B20" t="n">
        <v>148</v>
      </c>
      <c r="C20" t="n">
        <v>1</v>
      </c>
      <c r="D20" t="n">
        <v>1</v>
      </c>
      <c r="E20" t="inlineStr">
        <is>
          <t>R1, R2 y R4 dado que R3 y R5 sobran</t>
        </is>
      </c>
      <c r="F20" t="inlineStr">
        <is>
          <t>¿Cómo ves, hay una conexión que directly afecta la tensión entre N2 y 0? ¿Cuáles son las resistencias que forman parte de ese camino?</t>
        </is>
      </c>
      <c r="G20" t="n">
        <v>3</v>
      </c>
      <c r="H20" t="n">
        <v>3</v>
      </c>
      <c r="I20" t="n">
        <v>3</v>
      </c>
      <c r="J20" t="n">
        <v>5</v>
      </c>
      <c r="K20" t="n">
        <v>14</v>
      </c>
      <c r="L20" t="n">
        <v>1.751</v>
      </c>
      <c r="M20" t="n">
        <v>149</v>
      </c>
      <c r="N20" t="n">
        <v>34.27</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443</v>
      </c>
      <c r="B21" t="n">
        <v>148</v>
      </c>
      <c r="C21" t="n">
        <v>2</v>
      </c>
      <c r="D21" t="n">
        <v>1</v>
      </c>
      <c r="E21" t="inlineStr">
        <is>
          <t>R1, R2 y R4 dado que R3 sobra</t>
        </is>
      </c>
      <c r="F21" t="inlineStr">
        <is>
          <t>¿Cuáles son las resistencias que forman parte del camino entre N2 y el nodo 0?</t>
        </is>
      </c>
      <c r="G21" t="n">
        <v>3</v>
      </c>
      <c r="H21" t="n">
        <v>3</v>
      </c>
      <c r="I21" t="n">
        <v>3</v>
      </c>
      <c r="J21" t="n">
        <v>5</v>
      </c>
      <c r="K21" t="n">
        <v>14</v>
      </c>
      <c r="L21" t="n">
        <v>1.682</v>
      </c>
      <c r="M21" t="n">
        <v>178</v>
      </c>
      <c r="N21" t="n">
        <v>35.68</v>
      </c>
      <c r="O21" t="inlineStr">
        <is>
          <t>AC1</t>
        </is>
      </c>
      <c r="P21" t="inlineStr">
        <is>
          <t>AC1, AC9</t>
        </is>
      </c>
      <c r="Q21" t="n">
        <v>0.5</v>
      </c>
      <c r="R21" t="n">
        <v>1</v>
      </c>
      <c r="S21" t="n">
        <v>0.667</v>
      </c>
      <c r="T21" t="inlineStr"/>
      <c r="U21" t="inlineStr"/>
      <c r="V21" t="inlineStr"/>
      <c r="W2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2">
      <c r="A22" t="n">
        <v>444</v>
      </c>
      <c r="B22" t="n">
        <v>148</v>
      </c>
      <c r="C22" t="n">
        <v>3</v>
      </c>
      <c r="D22" t="n">
        <v>1</v>
      </c>
      <c r="E22" t="inlineStr">
        <is>
          <t>R1, R2 y R4 dado que R5 sobra</t>
        </is>
      </c>
      <c r="F22" t="inlineStr">
        <is>
          <t>¿Cuál es el efecto en la corriente o en la tensión si eliminamos R5 del circuito? ¿Cómo se altera el flujo eléctrico a través de los nodos N2 y 0?</t>
        </is>
      </c>
      <c r="G22" t="n">
        <v>3</v>
      </c>
      <c r="H22" t="n">
        <v>3</v>
      </c>
      <c r="I22" t="n">
        <v>3</v>
      </c>
      <c r="J22" t="n">
        <v>5</v>
      </c>
      <c r="K22" t="n">
        <v>14</v>
      </c>
      <c r="L22" t="n">
        <v>2.479</v>
      </c>
      <c r="M22" t="n">
        <v>308</v>
      </c>
      <c r="N22" t="n">
        <v>24.2</v>
      </c>
      <c r="O22" t="inlineStr">
        <is>
          <t>AC6</t>
        </is>
      </c>
      <c r="P22" t="inlineStr">
        <is>
          <t>AC1</t>
        </is>
      </c>
      <c r="Q22" t="n">
        <v>0</v>
      </c>
      <c r="R22" t="n">
        <v>0</v>
      </c>
      <c r="S22" t="n">
        <v>0</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446</v>
      </c>
      <c r="B23" t="n">
        <v>149</v>
      </c>
      <c r="C23" t="n">
        <v>2</v>
      </c>
      <c r="D23" t="n">
        <v>1</v>
      </c>
      <c r="E23" t="inlineStr">
        <is>
          <t>R1, R2 y R4 dado que  R5 cortocircuitada</t>
        </is>
      </c>
      <c r="F23" t="inlineStr">
        <is>
          <t>¿Por qué crees que R5, siendo cortocircuitada, afecta a los resistor R1, R2 o R4?</t>
        </is>
      </c>
      <c r="G23" t="n">
        <v>3</v>
      </c>
      <c r="H23" t="n">
        <v>2</v>
      </c>
      <c r="I23" t="n">
        <v>5</v>
      </c>
      <c r="J23" t="n">
        <v>5</v>
      </c>
      <c r="K23" t="n">
        <v>15</v>
      </c>
      <c r="L23" t="n">
        <v>2.748</v>
      </c>
      <c r="M23" t="n">
        <v>354</v>
      </c>
      <c r="N23" t="n">
        <v>21.83</v>
      </c>
      <c r="O23" t="inlineStr">
        <is>
          <t>AC6</t>
        </is>
      </c>
      <c r="P23" t="inlineStr"/>
      <c r="Q23" t="n">
        <v>1</v>
      </c>
      <c r="R23" t="n">
        <v>0</v>
      </c>
      <c r="S23" t="n">
        <v>0</v>
      </c>
      <c r="T23" t="inlineStr"/>
      <c r="U23" t="inlineStr"/>
      <c r="V23" t="inlineStr"/>
      <c r="W23" t="inlineStr">
        <is>
          <t>Socraticidad 3/5 (Clarificación): Clarificación: pide que el alumno explique su razonamiento. Precisión Conceptual 2/5 (Pobre): Respuesta genérica: sin vocabulario técnico ni diagnóstico del error. Buen desempeño general; hay margen de mejora en profundidad socrática.</t>
        </is>
      </c>
    </row>
    <row r="24">
      <c r="A24" t="n">
        <v>447</v>
      </c>
      <c r="B24" t="n">
        <v>149</v>
      </c>
      <c r="C24" t="n">
        <v>3</v>
      </c>
      <c r="D24" t="n">
        <v>1</v>
      </c>
      <c r="E24" t="inlineStr">
        <is>
          <t>R1, R2 y R4 dado que por R3 no circula corriente</t>
        </is>
      </c>
      <c r="F24" t="inlineStr">
        <is>
          <t>¿Cómo afecta la condición de R5 (cortocircuitada) al flujo de corriente a través de R1, R2 y R4?</t>
        </is>
      </c>
      <c r="G24" t="n">
        <v>4</v>
      </c>
      <c r="H24" t="n">
        <v>2</v>
      </c>
      <c r="I24" t="n">
        <v>4</v>
      </c>
      <c r="J24" t="n">
        <v>5</v>
      </c>
      <c r="K24" t="n">
        <v>15</v>
      </c>
      <c r="L24" t="n">
        <v>2.475</v>
      </c>
      <c r="M24" t="n">
        <v>301</v>
      </c>
      <c r="N24" t="n">
        <v>24.24</v>
      </c>
      <c r="O24" t="inlineStr">
        <is>
          <t>AC1</t>
        </is>
      </c>
      <c r="P24" t="inlineStr">
        <is>
          <t>AC1</t>
        </is>
      </c>
      <c r="Q24" t="n">
        <v>1</v>
      </c>
      <c r="R24" t="n">
        <v>1</v>
      </c>
      <c r="S24" t="n">
        <v>1</v>
      </c>
      <c r="T24" t="inlineStr"/>
      <c r="U24" t="inlineStr"/>
      <c r="V24" t="inlineStr"/>
      <c r="W24"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5">
      <c r="A25" t="n">
        <v>448</v>
      </c>
      <c r="B25" t="n">
        <v>150</v>
      </c>
      <c r="C25" t="n">
        <v>1</v>
      </c>
      <c r="D25" t="n">
        <v>1</v>
      </c>
      <c r="E25" t="inlineStr">
        <is>
          <t>R1, R2 y R4 dado que por  R5 no circula corriente</t>
        </is>
      </c>
      <c r="F25" t="inlineStr">
        <is>
          <t>¿Cómo afecta la presencia de R5 al flujo de corriente entre el nodo N2 y el nulo?</t>
        </is>
      </c>
      <c r="G25" t="n">
        <v>4</v>
      </c>
      <c r="H25" t="n">
        <v>3</v>
      </c>
      <c r="I25" t="n">
        <v>3</v>
      </c>
      <c r="J25" t="n">
        <v>5</v>
      </c>
      <c r="K25" t="n">
        <v>15</v>
      </c>
      <c r="L25" t="n">
        <v>3.187</v>
      </c>
      <c r="M25" t="n">
        <v>397</v>
      </c>
      <c r="N25" t="n">
        <v>18.83</v>
      </c>
      <c r="O25" t="inlineStr">
        <is>
          <t>AC6</t>
        </is>
      </c>
      <c r="P25" t="inlineStr">
        <is>
          <t>AC1</t>
        </is>
      </c>
      <c r="Q25" t="n">
        <v>0</v>
      </c>
      <c r="R25" t="n">
        <v>0</v>
      </c>
      <c r="S25" t="n">
        <v>0</v>
      </c>
      <c r="T25" t="inlineStr"/>
      <c r="U25" t="inlineStr"/>
      <c r="V25" t="inlineStr"/>
      <c r="W2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26">
      <c r="A26" t="n">
        <v>449</v>
      </c>
      <c r="B26" t="n">
        <v>150</v>
      </c>
      <c r="C26" t="n">
        <v>2</v>
      </c>
      <c r="D26" t="n">
        <v>1</v>
      </c>
      <c r="E26" t="inlineStr">
        <is>
          <t>R1, R2 y R4 dado que R3 se puede quitar</t>
        </is>
      </c>
      <c r="F26" t="inlineStr">
        <is>
          <t>¿Cómo afecta la presencia de R3 al potencial del nodo N2 respecto al nulo?</t>
        </is>
      </c>
      <c r="G26" t="n">
        <v>4</v>
      </c>
      <c r="H26" t="n">
        <v>2</v>
      </c>
      <c r="I26" t="n">
        <v>3</v>
      </c>
      <c r="J26" t="n">
        <v>5</v>
      </c>
      <c r="K26" t="n">
        <v>14</v>
      </c>
      <c r="L26" t="n">
        <v>1.772</v>
      </c>
      <c r="M26" t="n">
        <v>190</v>
      </c>
      <c r="N26" t="n">
        <v>33.86</v>
      </c>
      <c r="O26" t="inlineStr">
        <is>
          <t>AC1</t>
        </is>
      </c>
      <c r="P26" t="inlineStr"/>
      <c r="Q26" t="n">
        <v>1</v>
      </c>
      <c r="R26" t="n">
        <v>0</v>
      </c>
      <c r="S26" t="n">
        <v>0</v>
      </c>
      <c r="T26" t="inlineStr"/>
      <c r="U26" t="inlineStr"/>
      <c r="V26" t="inlineStr"/>
      <c r="W26"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7">
      <c r="A27" t="n">
        <v>450</v>
      </c>
      <c r="B27" t="n">
        <v>150</v>
      </c>
      <c r="C27" t="n">
        <v>3</v>
      </c>
      <c r="D27" t="n">
        <v>1</v>
      </c>
      <c r="E27" t="inlineStr">
        <is>
          <t>R1, R2 y R4 dado que R5 se puede quitar</t>
        </is>
      </c>
      <c r="F27" t="inlineStr">
        <is>
          <t>¿Qué ocurre con el nodo N1 cuando R5 no está presente?</t>
        </is>
      </c>
      <c r="G27" t="n">
        <v>4</v>
      </c>
      <c r="H27" t="n">
        <v>2</v>
      </c>
      <c r="I27" t="n">
        <v>3</v>
      </c>
      <c r="J27" t="n">
        <v>5</v>
      </c>
      <c r="K27" t="n">
        <v>14</v>
      </c>
      <c r="L27" t="n">
        <v>2.136</v>
      </c>
      <c r="M27" t="n">
        <v>217</v>
      </c>
      <c r="N27" t="n">
        <v>28.08</v>
      </c>
      <c r="O27" t="inlineStr">
        <is>
          <t>AC6</t>
        </is>
      </c>
      <c r="P27" t="inlineStr"/>
      <c r="Q27" t="n">
        <v>1</v>
      </c>
      <c r="R27" t="n">
        <v>0</v>
      </c>
      <c r="S27" t="n">
        <v>0</v>
      </c>
      <c r="T27" t="inlineStr"/>
      <c r="U27" t="inlineStr"/>
      <c r="V27" t="inlineStr"/>
      <c r="W27"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8">
      <c r="A28" t="n">
        <v>451</v>
      </c>
      <c r="B28" t="n">
        <v>151</v>
      </c>
      <c r="C28" t="n">
        <v>1</v>
      </c>
      <c r="D28" t="n">
        <v>1</v>
      </c>
      <c r="E28" t="inlineStr">
        <is>
          <t>R1, R2 y R4 dado que R3 no influye para nada en la diferencia de potencial que se pide</t>
        </is>
      </c>
      <c r="F28" t="inlineStr">
        <is>
          <t>¿Cómo sientes que es la relación de R3 con la corriente en el circuito? ¿Pueden pensar en si la bifurcación del flujo de electricidad está afectando a R3?</t>
        </is>
      </c>
      <c r="G28" t="n">
        <v>3</v>
      </c>
      <c r="H28" t="n">
        <v>2</v>
      </c>
      <c r="I28" t="n">
        <v>3</v>
      </c>
      <c r="J28" t="n">
        <v>5</v>
      </c>
      <c r="K28" t="n">
        <v>13</v>
      </c>
      <c r="L28" t="n">
        <v>2.153</v>
      </c>
      <c r="M28" t="n">
        <v>174</v>
      </c>
      <c r="N28" t="n">
        <v>27.86</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9">
      <c r="A29" t="n">
        <v>452</v>
      </c>
      <c r="B29" t="n">
        <v>151</v>
      </c>
      <c r="C29" t="n">
        <v>2</v>
      </c>
      <c r="D29" t="n">
        <v>1</v>
      </c>
      <c r="E29" t="inlineStr">
        <is>
          <t>R1, R2 y R4 dado que R5 no influye para nada en la diferencia de potencial que se pide</t>
        </is>
      </c>
      <c r="F29" t="inlineStr">
        <is>
          <t>¿Pueden pensar en si R5 está incluido en algún lazo que impهدiera el flujo de electricidad a través de los nodos A y B?</t>
        </is>
      </c>
      <c r="G29" t="n">
        <v>3</v>
      </c>
      <c r="H29" t="n">
        <v>2</v>
      </c>
      <c r="I29" t="n">
        <v>3</v>
      </c>
      <c r="J29" t="n">
        <v>5</v>
      </c>
      <c r="K29" t="n">
        <v>13</v>
      </c>
      <c r="L29" t="n">
        <v>2.737</v>
      </c>
      <c r="M29" t="n">
        <v>195</v>
      </c>
      <c r="N29" t="n">
        <v>21.92</v>
      </c>
      <c r="O29" t="inlineStr">
        <is>
          <t>AC6</t>
        </is>
      </c>
      <c r="P29" t="inlineStr"/>
      <c r="Q29" t="n">
        <v>1</v>
      </c>
      <c r="R29" t="n">
        <v>0</v>
      </c>
      <c r="S29" t="n">
        <v>0</v>
      </c>
      <c r="T29" t="inlineStr"/>
      <c r="U29" t="inlineStr"/>
      <c r="V29" t="inlineStr"/>
      <c r="W2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0">
      <c r="A30" t="n">
        <v>453</v>
      </c>
      <c r="B30" t="n">
        <v>151</v>
      </c>
      <c r="C30" t="n">
        <v>3</v>
      </c>
      <c r="D30" t="n">
        <v>1</v>
      </c>
      <c r="E30" t="inlineStr">
        <is>
          <t>No lo sé</t>
        </is>
      </c>
      <c r="F30" t="inlineStr">
        <is>
          <t>¿Pueden pensar en si R5 está formando un camino alternativo para la corriente que llega al nodo A y luego al nodo B?</t>
        </is>
      </c>
      <c r="G30" t="n">
        <v>3</v>
      </c>
      <c r="H30" t="n">
        <v>3</v>
      </c>
      <c r="I30" t="n">
        <v>2</v>
      </c>
      <c r="J30" t="n">
        <v>5</v>
      </c>
      <c r="K30" t="n">
        <v>13</v>
      </c>
      <c r="L30" t="n">
        <v>1.824</v>
      </c>
      <c r="M30" t="n">
        <v>169</v>
      </c>
      <c r="N30" t="n">
        <v>32.9</v>
      </c>
      <c r="O30" t="inlineStr">
        <is>
          <t>AC9</t>
        </is>
      </c>
      <c r="P30" t="inlineStr">
        <is>
          <t>AC1, AC9</t>
        </is>
      </c>
      <c r="Q30" t="n">
        <v>0.5</v>
      </c>
      <c r="R30" t="n">
        <v>1</v>
      </c>
      <c r="S30" t="n">
        <v>0.667</v>
      </c>
      <c r="T30" t="inlineStr"/>
      <c r="U30" t="inlineStr"/>
      <c r="V30" t="inlineStr"/>
      <c r="W3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1">
      <c r="A31" t="n">
        <v>455</v>
      </c>
      <c r="B31" t="n">
        <v>152</v>
      </c>
      <c r="C31" t="n">
        <v>2</v>
      </c>
      <c r="D31" t="n">
        <v>1</v>
      </c>
      <c r="E31" t="inlineStr">
        <is>
          <t>R1 y R2</t>
        </is>
      </c>
      <c r="F31" t="inlineStr">
        <is>
          <t>¿Cómo saben si los resistores R1 y R2 están conectados en serie o paralelo?</t>
        </is>
      </c>
      <c r="G31" t="n">
        <v>3</v>
      </c>
      <c r="H31" t="n">
        <v>3</v>
      </c>
      <c r="I31" t="n">
        <v>3</v>
      </c>
      <c r="J31" t="n">
        <v>5</v>
      </c>
      <c r="K31" t="n">
        <v>14</v>
      </c>
      <c r="L31" t="n">
        <v>2.766</v>
      </c>
      <c r="M31" t="n">
        <v>298</v>
      </c>
      <c r="N31" t="n">
        <v>21.69</v>
      </c>
      <c r="O31" t="inlineStr">
        <is>
          <t>AC9</t>
        </is>
      </c>
      <c r="P31" t="inlineStr"/>
      <c r="Q31" t="n">
        <v>1</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456</v>
      </c>
      <c r="B32" t="n">
        <v>152</v>
      </c>
      <c r="C32" t="n">
        <v>3</v>
      </c>
      <c r="D32" t="n">
        <v>1</v>
      </c>
      <c r="E32" t="inlineStr">
        <is>
          <t>R1, R2 y R4</t>
        </is>
      </c>
      <c r="F32" t="inlineStr">
        <is>
          <t>¿Cómo afecta el resistor R4 a la conexión de R1 y R2 en serie o paralelo?</t>
        </is>
      </c>
      <c r="G32" t="n">
        <v>4</v>
      </c>
      <c r="H32" t="n">
        <v>3</v>
      </c>
      <c r="I32" t="n">
        <v>4</v>
      </c>
      <c r="J32" t="n">
        <v>5</v>
      </c>
      <c r="K32" t="n">
        <v>16</v>
      </c>
      <c r="L32" t="n">
        <v>1.926</v>
      </c>
      <c r="M32" t="n">
        <v>180</v>
      </c>
      <c r="N32" t="n">
        <v>31.15</v>
      </c>
      <c r="O32" t="inlineStr"/>
      <c r="P32" t="inlineStr"/>
      <c r="Q32" t="n">
        <v>1</v>
      </c>
      <c r="R32" t="n">
        <v>1</v>
      </c>
      <c r="S32" t="n">
        <v>1</v>
      </c>
      <c r="T32" t="inlineStr"/>
      <c r="U32" t="inlineStr"/>
      <c r="V32" t="inlineStr"/>
      <c r="W3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3">
      <c r="A33" t="n">
        <v>457</v>
      </c>
      <c r="B33" t="n">
        <v>153</v>
      </c>
      <c r="C33" t="n">
        <v>1</v>
      </c>
      <c r="D33" t="n">
        <v>1</v>
      </c>
      <c r="E33" t="inlineStr">
        <is>
          <t>R1, R2, R4 y R5</t>
        </is>
      </c>
      <c r="F33" t="inlineStr">
        <is>
          <t>¿Cómo afecta una conexión abierta entre los nudos N2 y N3 al flujo de corriente en el circuito? ¿Quécede con las resistencias R3 y R5 en este contexto?</t>
        </is>
      </c>
      <c r="G33" t="n">
        <v>4</v>
      </c>
      <c r="H33" t="n">
        <v>3</v>
      </c>
      <c r="I33" t="n">
        <v>3</v>
      </c>
      <c r="J33" t="n">
        <v>5</v>
      </c>
      <c r="K33" t="n">
        <v>15</v>
      </c>
      <c r="L33" t="n">
        <v>7.415</v>
      </c>
      <c r="M33" t="n">
        <v>332</v>
      </c>
      <c r="N33" t="n">
        <v>8.09</v>
      </c>
      <c r="O33" t="inlineStr">
        <is>
          <t>AC6</t>
        </is>
      </c>
      <c r="P33" t="inlineStr">
        <is>
          <t>AC1, AC9</t>
        </is>
      </c>
      <c r="Q33" t="n">
        <v>0</v>
      </c>
      <c r="R33" t="n">
        <v>0</v>
      </c>
      <c r="S33" t="n">
        <v>0</v>
      </c>
      <c r="T33" t="inlineStr"/>
      <c r="U33" t="inlineStr"/>
      <c r="V33" t="inlineStr"/>
      <c r="W3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4">
      <c r="A34" t="n">
        <v>458</v>
      </c>
      <c r="B34" t="n">
        <v>153</v>
      </c>
      <c r="C34" t="n">
        <v>2</v>
      </c>
      <c r="D34" t="n">
        <v>1</v>
      </c>
      <c r="E34" t="inlineStr">
        <is>
          <t>R1, R2, R3 y R4</t>
        </is>
      </c>
      <c r="F34" t="inlineStr">
        <is>
          <t>¿Qué sucede con la resistencia total del circuito cuando R5 no está conectado correctamente? ¿Cómo afecta esto al flujo de corriente a través de R3 y R4?</t>
        </is>
      </c>
      <c r="G34" t="n">
        <v>4</v>
      </c>
      <c r="H34" t="n">
        <v>3</v>
      </c>
      <c r="I34" t="n">
        <v>3</v>
      </c>
      <c r="J34" t="n">
        <v>5</v>
      </c>
      <c r="K34" t="n">
        <v>15</v>
      </c>
      <c r="L34" t="n">
        <v>2.503</v>
      </c>
      <c r="M34" t="n">
        <v>291</v>
      </c>
      <c r="N34" t="n">
        <v>23.97</v>
      </c>
      <c r="O34" t="inlineStr">
        <is>
          <t>AC1</t>
        </is>
      </c>
      <c r="P34" t="inlineStr">
        <is>
          <t>AC1</t>
        </is>
      </c>
      <c r="Q34" t="n">
        <v>1</v>
      </c>
      <c r="R34" t="n">
        <v>1</v>
      </c>
      <c r="S34" t="n">
        <v>1</v>
      </c>
      <c r="T34" t="inlineStr"/>
      <c r="U34" t="inlineStr"/>
      <c r="V34" t="inlineStr"/>
      <c r="W3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5">
      <c r="A35" t="n">
        <v>460</v>
      </c>
      <c r="B35" t="n">
        <v>154</v>
      </c>
      <c r="C35" t="n">
        <v>1</v>
      </c>
      <c r="D35" t="n">
        <v>1</v>
      </c>
      <c r="E35" t="inlineStr">
        <is>
          <t>R1 y R2 y R4 hacen un divisor de tensión, r3 no cuenta por estar en corto</t>
        </is>
      </c>
      <c r="F35" t="inlineStr">
        <is>
          <t>¿Cómo consideras que cada resistor contribuye al flujo de corriente desde V1 hasta tierra, y por qué el resistor R3 no afecta la diferencia de potencial entre N2 y 0?</t>
        </is>
      </c>
      <c r="G35" t="n">
        <v>3</v>
      </c>
      <c r="H35" t="n">
        <v>3</v>
      </c>
      <c r="I35" t="n">
        <v>3</v>
      </c>
      <c r="J35" t="n">
        <v>5</v>
      </c>
      <c r="K35" t="n">
        <v>14</v>
      </c>
      <c r="L35" t="n">
        <v>4.484</v>
      </c>
      <c r="M35" t="n">
        <v>272</v>
      </c>
      <c r="N35" t="n">
        <v>13.38</v>
      </c>
      <c r="O35" t="inlineStr">
        <is>
          <t>AC1</t>
        </is>
      </c>
      <c r="P35" t="inlineStr">
        <is>
          <t>AC1, AC9</t>
        </is>
      </c>
      <c r="Q35" t="n">
        <v>0.5</v>
      </c>
      <c r="R35" t="n">
        <v>1</v>
      </c>
      <c r="S35" t="n">
        <v>0.667</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461</v>
      </c>
      <c r="B36" t="n">
        <v>154</v>
      </c>
      <c r="C36" t="n">
        <v>2</v>
      </c>
      <c r="D36" t="n">
        <v>1</v>
      </c>
      <c r="E36" t="inlineStr">
        <is>
          <t>No tengo en cuenta R3 porque el interruptor está cerrado</t>
        </is>
      </c>
      <c r="F36" t="inlineStr">
        <is>
          <t>¿Cómo piensas que la conexión del resistor R3 influye en las differencias de potencial entre los nodos N1 y N2?</t>
        </is>
      </c>
      <c r="G36" t="n">
        <v>3</v>
      </c>
      <c r="H36" t="n">
        <v>2</v>
      </c>
      <c r="I36" t="n">
        <v>5</v>
      </c>
      <c r="J36" t="n">
        <v>5</v>
      </c>
      <c r="K36" t="n">
        <v>15</v>
      </c>
      <c r="L36" t="n">
        <v>2.966</v>
      </c>
      <c r="M36" t="n">
        <v>314</v>
      </c>
      <c r="N36" t="n">
        <v>20.23</v>
      </c>
      <c r="O36" t="inlineStr">
        <is>
          <t>AC1, AC9</t>
        </is>
      </c>
      <c r="P36" t="inlineStr"/>
      <c r="Q36" t="n">
        <v>1</v>
      </c>
      <c r="R36" t="n">
        <v>0</v>
      </c>
      <c r="S36" t="n">
        <v>0</v>
      </c>
      <c r="T36" t="inlineStr"/>
      <c r="U36" t="inlineStr"/>
      <c r="V36" t="inlineStr"/>
      <c r="W3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7">
      <c r="A37" t="n">
        <v>462</v>
      </c>
      <c r="B37" t="n">
        <v>154</v>
      </c>
      <c r="C37" t="n">
        <v>3</v>
      </c>
      <c r="D37" t="n">
        <v>1</v>
      </c>
      <c r="E37" t="inlineStr">
        <is>
          <t>No tengo en cuenta R5 porque está en circuito abierto</t>
        </is>
      </c>
      <c r="F37" t="inlineStr">
        <is>
          <t>¿Cómo piensas que la conexión del resistor R5 influye en el flujo de corriente en el circuito, y por qué es crítico considerarlo para entender las differencias de potencial entre los nodos N1 y N2?</t>
        </is>
      </c>
      <c r="G37" t="n">
        <v>3</v>
      </c>
      <c r="H37" t="n">
        <v>3</v>
      </c>
      <c r="I37" t="n">
        <v>5</v>
      </c>
      <c r="J37" t="n">
        <v>5</v>
      </c>
      <c r="K37" t="n">
        <v>16</v>
      </c>
      <c r="L37" t="n">
        <v>2.91</v>
      </c>
      <c r="M37" t="n">
        <v>314</v>
      </c>
      <c r="N37" t="n">
        <v>20.62</v>
      </c>
      <c r="O37" t="inlineStr">
        <is>
          <t>AC6, AC9</t>
        </is>
      </c>
      <c r="P37" t="inlineStr">
        <is>
          <t>AC1, AC9</t>
        </is>
      </c>
      <c r="Q37" t="n">
        <v>0.5</v>
      </c>
      <c r="R37" t="n">
        <v>0.5</v>
      </c>
      <c r="S37" t="n">
        <v>0.5</v>
      </c>
      <c r="T37" t="inlineStr"/>
      <c r="U37" t="inlineStr"/>
      <c r="V37" t="inlineStr"/>
      <c r="W3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85</v>
      </c>
      <c r="B2" t="n">
        <v>29</v>
      </c>
      <c r="C2" t="n">
        <v>1</v>
      </c>
      <c r="D2" t="n">
        <v>1</v>
      </c>
      <c r="E2" t="inlineStr">
        <is>
          <t>R1 y R2 dado que las dos resistencia forman un divisor de tensión</t>
        </is>
      </c>
      <c r="F2" t="inlineStr">
        <is>
          <t>Considerando que el interruptor entre N2 y N3 está abierto, ¿podría explicar cómo la ausencia de una ruta completa afecta la distribución de la corriente y, por lo tanto, la diferencia de potencial entre esos nodos, teniendo en cuenta el papel de las resistencias R1, R2 y R4 en el circuito?</t>
        </is>
      </c>
      <c r="G2" t="n">
        <v>3</v>
      </c>
      <c r="H2" t="n">
        <v>3</v>
      </c>
      <c r="I2" t="n">
        <v>4</v>
      </c>
      <c r="J2" t="n">
        <v>5</v>
      </c>
      <c r="K2" t="n">
        <v>15</v>
      </c>
      <c r="L2" t="n">
        <v>0.946</v>
      </c>
      <c r="M2" t="n">
        <v>67</v>
      </c>
      <c r="N2" t="n">
        <v>63.42</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86</v>
      </c>
      <c r="B3" t="n">
        <v>29</v>
      </c>
      <c r="C3" t="n">
        <v>2</v>
      </c>
      <c r="D3" t="n">
        <v>1</v>
      </c>
      <c r="E3" t="inlineStr">
        <is>
          <t>R1 y R2 dado que se pide la tensión en R2</t>
        </is>
      </c>
      <c r="F3" t="inlineStr">
        <is>
          <t>Si la corriente fluye a través de R1 y R2, ¿cómo influye la resistencia de cada componente en la cantidad de corriente que, en última instancia, llega a R2, considerando la ley de Ohm?</t>
        </is>
      </c>
      <c r="G3" t="n">
        <v>4</v>
      </c>
      <c r="H3" t="n">
        <v>3</v>
      </c>
      <c r="I3" t="n">
        <v>5</v>
      </c>
      <c r="J3" t="n">
        <v>5</v>
      </c>
      <c r="K3" t="n">
        <v>17</v>
      </c>
      <c r="L3" t="n">
        <v>0.828</v>
      </c>
      <c r="M3" t="n">
        <v>46</v>
      </c>
      <c r="N3" t="n">
        <v>72.45999999999999</v>
      </c>
      <c r="O3" t="inlineStr">
        <is>
          <t>AC9</t>
        </is>
      </c>
      <c r="P3" t="inlineStr">
        <is>
          <t>AC1</t>
        </is>
      </c>
      <c r="Q3" t="n">
        <v>0</v>
      </c>
      <c r="R3" t="n">
        <v>0</v>
      </c>
      <c r="S3" t="n">
        <v>0</v>
      </c>
      <c r="T3" t="inlineStr"/>
      <c r="U3" t="inlineStr"/>
      <c r="V3" t="inlineStr"/>
      <c r="W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4">
      <c r="A4" t="n">
        <v>87</v>
      </c>
      <c r="B4" t="n">
        <v>29</v>
      </c>
      <c r="C4" t="n">
        <v>3</v>
      </c>
      <c r="D4" t="n">
        <v>1</v>
      </c>
      <c r="E4" t="inlineStr">
        <is>
          <t>R1 y R2 por identificar un divisor de tensión</t>
        </is>
      </c>
      <c r="F4" t="inlineStr">
        <is>
          <t>Asumiendo que el circuito está completamente conectado, ¿cómo relacionaría la resistencia de R1 y R2 con la caída de tensión en R2, considerando la definición de divisor de tensión?</t>
        </is>
      </c>
      <c r="G4" t="n">
        <v>3</v>
      </c>
      <c r="H4" t="n">
        <v>3</v>
      </c>
      <c r="I4" t="n">
        <v>5</v>
      </c>
      <c r="J4" t="n">
        <v>5</v>
      </c>
      <c r="K4" t="n">
        <v>16</v>
      </c>
      <c r="L4" t="n">
        <v>0.764</v>
      </c>
      <c r="M4" t="n">
        <v>40</v>
      </c>
      <c r="N4" t="n">
        <v>78.48999999999999</v>
      </c>
      <c r="O4" t="inlineStr">
        <is>
          <t>AC9</t>
        </is>
      </c>
      <c r="P4" t="inlineStr"/>
      <c r="Q4" t="n">
        <v>1</v>
      </c>
      <c r="R4" t="n">
        <v>0</v>
      </c>
      <c r="S4" t="n">
        <v>0</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88</v>
      </c>
      <c r="B5" t="n">
        <v>30</v>
      </c>
      <c r="C5" t="n">
        <v>1</v>
      </c>
      <c r="D5" t="n">
        <v>1</v>
      </c>
      <c r="E5" t="inlineStr">
        <is>
          <t>R1 y R2 hacen un divisor de tensión</t>
        </is>
      </c>
      <c r="F5" t="inlineStr">
        <is>
          <t>Considerando que el interruptor entre N2 y N3 está abierto, ¿cómo afecta la ausencia de un camino completo a la relación entre la caída de tensión en R1 y R2, y la diferencia de potencial entre N2 y 0?.</t>
        </is>
      </c>
      <c r="G5" t="n">
        <v>1</v>
      </c>
      <c r="H5" t="n">
        <v>5</v>
      </c>
      <c r="I5" t="n">
        <v>3</v>
      </c>
      <c r="J5" t="n">
        <v>5</v>
      </c>
      <c r="K5" t="n">
        <v>14</v>
      </c>
      <c r="L5" t="n">
        <v>0.9399999999999999</v>
      </c>
      <c r="M5" t="n">
        <v>52</v>
      </c>
      <c r="N5" t="n">
        <v>63.84</v>
      </c>
      <c r="O5" t="inlineStr">
        <is>
          <t>AC9</t>
        </is>
      </c>
      <c r="P5" t="inlineStr">
        <is>
          <t>AC1, AC9</t>
        </is>
      </c>
      <c r="Q5" t="n">
        <v>0.5</v>
      </c>
      <c r="R5" t="n">
        <v>1</v>
      </c>
      <c r="S5" t="n">
        <v>0.667</v>
      </c>
      <c r="T5" t="inlineStr"/>
      <c r="U5" t="inlineStr"/>
      <c r="V5" t="inlineStr"/>
      <c r="W5" t="inlineStr">
        <is>
          <t>Socraticidad 1/5 (Instructivo): No termina en pregunta; el tutor es instructivo. Precisión Conceptual 5/5 (Excelente): Excelente: identifica la concepción alternativa específica y la conecta con la topología del circuito. Buen desempeño general; hay margen de mejora en profundidad socrática.</t>
        </is>
      </c>
    </row>
    <row r="6">
      <c r="A6" t="n">
        <v>89</v>
      </c>
      <c r="B6" t="n">
        <v>30</v>
      </c>
      <c r="C6" t="n">
        <v>2</v>
      </c>
      <c r="D6" t="n">
        <v>1</v>
      </c>
      <c r="E6" t="inlineStr">
        <is>
          <t>R1, R2, R3 y R4 porque R5 está cortocircuitada</t>
        </is>
      </c>
      <c r="F6" t="inlineStr">
        <is>
          <t>Si R5 está efectivamente cortocircuitada, ¿cómo cambiaría la distribución de corriente a través de los componentes R1, R2, R3 y R4, y qué implicaciones tendría esto en las tensiones medidas en cada uno de ellos, considerando que el interruptor permanece abierto?.</t>
        </is>
      </c>
      <c r="G6" t="n">
        <v>1</v>
      </c>
      <c r="H6" t="n">
        <v>3</v>
      </c>
      <c r="I6" t="n">
        <v>3</v>
      </c>
      <c r="J6" t="n">
        <v>5</v>
      </c>
      <c r="K6" t="n">
        <v>12</v>
      </c>
      <c r="L6" t="n">
        <v>0.954</v>
      </c>
      <c r="M6" t="n">
        <v>62</v>
      </c>
      <c r="N6" t="n">
        <v>62.9</v>
      </c>
      <c r="O6" t="inlineStr">
        <is>
          <t>AC1, AC6</t>
        </is>
      </c>
      <c r="P6" t="inlineStr">
        <is>
          <t>AC1</t>
        </is>
      </c>
      <c r="Q6" t="n">
        <v>1</v>
      </c>
      <c r="R6" t="n">
        <v>0.5</v>
      </c>
      <c r="S6" t="n">
        <v>0.667</v>
      </c>
      <c r="T6" t="inlineStr"/>
      <c r="U6" t="inlineStr"/>
      <c r="V6" t="inlineStr"/>
      <c r="W6"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7">
      <c r="A7" t="n">
        <v>90</v>
      </c>
      <c r="B7" t="n">
        <v>30</v>
      </c>
      <c r="C7" t="n">
        <v>3</v>
      </c>
      <c r="D7" t="n">
        <v>1</v>
      </c>
      <c r="E7" t="inlineStr">
        <is>
          <t>R1, R2, R3 y R4 porque por R5 no circula corriente</t>
        </is>
      </c>
      <c r="F7" t="inlineStr">
        <is>
          <t>Si R5 está cortocircuitado, ¿cómo afectaría la corriente que fluye a través de R1 y R2, y qué relación se mantendría entre sus tensiones, considerando el interruptor abierto?.</t>
        </is>
      </c>
      <c r="G7" t="n">
        <v>1</v>
      </c>
      <c r="H7" t="n">
        <v>3</v>
      </c>
      <c r="I7" t="n">
        <v>4</v>
      </c>
      <c r="J7" t="n">
        <v>5</v>
      </c>
      <c r="K7" t="n">
        <v>13</v>
      </c>
      <c r="L7" t="n">
        <v>0.831</v>
      </c>
      <c r="M7" t="n">
        <v>47</v>
      </c>
      <c r="N7" t="n">
        <v>72.18000000000001</v>
      </c>
      <c r="O7" t="inlineStr">
        <is>
          <t>AC1, AC6</t>
        </is>
      </c>
      <c r="P7" t="inlineStr">
        <is>
          <t>AC1</t>
        </is>
      </c>
      <c r="Q7" t="n">
        <v>1</v>
      </c>
      <c r="R7" t="n">
        <v>0.5</v>
      </c>
      <c r="S7" t="n">
        <v>0.667</v>
      </c>
      <c r="T7" t="inlineStr"/>
      <c r="U7" t="inlineStr"/>
      <c r="V7" t="inlineStr"/>
      <c r="W7"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8">
      <c r="A8" t="n">
        <v>91</v>
      </c>
      <c r="B8" t="n">
        <v>31</v>
      </c>
      <c r="C8" t="n">
        <v>1</v>
      </c>
      <c r="D8" t="n">
        <v>1</v>
      </c>
      <c r="E8" t="inlineStr">
        <is>
          <t>R1, R2, R3 y R4 porque R5 se quita</t>
        </is>
      </c>
      <c r="F8" t="inlineStr">
        <is>
          <t>Considerando que R3 está en un circuito abierto, ¿cómo afecta esto a la capacidad de la corriente para llegar a N2 y, por lo tanto, a la diferencia de potencial entre N2 y el nodo de referencia (0)?</t>
        </is>
      </c>
      <c r="G8" t="n">
        <v>4</v>
      </c>
      <c r="H8" t="n">
        <v>4</v>
      </c>
      <c r="I8" t="n">
        <v>3</v>
      </c>
      <c r="J8" t="n">
        <v>5</v>
      </c>
      <c r="K8" t="n">
        <v>16</v>
      </c>
      <c r="L8" t="n">
        <v>0.927</v>
      </c>
      <c r="M8" t="n">
        <v>49</v>
      </c>
      <c r="N8" t="n">
        <v>64.7</v>
      </c>
      <c r="O8" t="inlineStr">
        <is>
          <t>AC1, AC6</t>
        </is>
      </c>
      <c r="P8" t="inlineStr">
        <is>
          <t>AC1, AC9</t>
        </is>
      </c>
      <c r="Q8" t="n">
        <v>0.5</v>
      </c>
      <c r="R8" t="n">
        <v>0.5</v>
      </c>
      <c r="S8" t="n">
        <v>0.5</v>
      </c>
      <c r="T8" t="inlineStr"/>
      <c r="U8" t="inlineStr"/>
      <c r="V8" t="inlineStr"/>
      <c r="W8"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9">
      <c r="A9" t="n">
        <v>92</v>
      </c>
      <c r="B9" t="n">
        <v>31</v>
      </c>
      <c r="C9" t="n">
        <v>2</v>
      </c>
      <c r="D9" t="n">
        <v>1</v>
      </c>
      <c r="E9" t="inlineStr">
        <is>
          <t>R1, R3 y R4 porque R2 está en paralelo con la fuente y R5 corctocircuitada</t>
        </is>
      </c>
      <c r="F9" t="inlineStr">
        <is>
          <t>Si R2 efectivamente proporciona un camino paralelo para la corriente, ¿cómo explicarías entonces el voltaje medido en el nodo de referencia en comparación con el voltaje en N2?</t>
        </is>
      </c>
      <c r="G9" t="n">
        <v>3</v>
      </c>
      <c r="H9" t="n">
        <v>3</v>
      </c>
      <c r="I9" t="n">
        <v>3</v>
      </c>
      <c r="J9" t="n">
        <v>5</v>
      </c>
      <c r="K9" t="n">
        <v>14</v>
      </c>
      <c r="L9" t="n">
        <v>0.823</v>
      </c>
      <c r="M9" t="n">
        <v>36</v>
      </c>
      <c r="N9" t="n">
        <v>72.92</v>
      </c>
      <c r="O9" t="inlineStr">
        <is>
          <t>AC1, AC6</t>
        </is>
      </c>
      <c r="P9" t="inlineStr">
        <is>
          <t>AC1, AC9</t>
        </is>
      </c>
      <c r="Q9" t="n">
        <v>0.5</v>
      </c>
      <c r="R9" t="n">
        <v>0.5</v>
      </c>
      <c r="S9" t="n">
        <v>0.5</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93</v>
      </c>
      <c r="B10" t="n">
        <v>31</v>
      </c>
      <c r="C10" t="n">
        <v>3</v>
      </c>
      <c r="D10" t="n">
        <v>1</v>
      </c>
      <c r="E10" t="inlineStr">
        <is>
          <t>R1, R4 y R5 porque R2 se elimina y R3 también</t>
        </is>
      </c>
      <c r="F10" t="inlineStr">
        <is>
          <t>Si R3 realmente interrumpe el flujo de corriente, ¿cómo impacta esto en la distribución de voltaje a lo largo del circuito y, en particular, en el potencial en N2?</t>
        </is>
      </c>
      <c r="G10" t="n">
        <v>3</v>
      </c>
      <c r="H10" t="n">
        <v>3</v>
      </c>
      <c r="I10" t="n">
        <v>3</v>
      </c>
      <c r="J10" t="n">
        <v>5</v>
      </c>
      <c r="K10" t="n">
        <v>14</v>
      </c>
      <c r="L10" t="n">
        <v>0.874</v>
      </c>
      <c r="M10" t="n">
        <v>40</v>
      </c>
      <c r="N10" t="n">
        <v>68.62</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94</v>
      </c>
      <c r="B11" t="n">
        <v>32</v>
      </c>
      <c r="C11" t="n">
        <v>1</v>
      </c>
      <c r="D11" t="n">
        <v>1</v>
      </c>
      <c r="E11" t="inlineStr">
        <is>
          <t>R1 y R4 dado que R2 está en paralelo con la fuente, R3 en circuito abierto y R5 cortocircuitada</t>
        </is>
      </c>
      <c r="F11" t="inlineStr">
        <is>
          <t>Considerando que R3 está efectivamente en circuito abierto, ¿podrías explicar cómo la presencia de R5, conectando dos nodos, afecta la trayectoria de la corriente que busca alcanzar el nodo N2?</t>
        </is>
      </c>
      <c r="G11" t="n">
        <v>3</v>
      </c>
      <c r="H11" t="n">
        <v>4</v>
      </c>
      <c r="I11" t="n">
        <v>3</v>
      </c>
      <c r="J11" t="n">
        <v>5</v>
      </c>
      <c r="K11" t="n">
        <v>15</v>
      </c>
      <c r="L11" t="n">
        <v>1.535</v>
      </c>
      <c r="M11" t="n">
        <v>43</v>
      </c>
      <c r="N11" t="n">
        <v>39.08</v>
      </c>
      <c r="O11" t="inlineStr">
        <is>
          <t>AC1, AC6</t>
        </is>
      </c>
      <c r="P11" t="inlineStr">
        <is>
          <t>AC1</t>
        </is>
      </c>
      <c r="Q11" t="n">
        <v>1</v>
      </c>
      <c r="R11" t="n">
        <v>0.5</v>
      </c>
      <c r="S11" t="n">
        <v>0.667</v>
      </c>
      <c r="T11" t="inlineStr"/>
      <c r="U11" t="inlineStr"/>
      <c r="V11" t="inlineStr"/>
      <c r="W11" t="inlineStr">
        <is>
          <t>Socraticidad 3/5 (Clarificación): Clarificación: pide que el alumno explique su razonamiento. Precisión Conceptual 4/5 (Bueno): Bueno: identifica claramente la concepción alternativa con lenguaje técnico preciso. Buen desempeño general; hay margen de mejora en profundidad socrática.</t>
        </is>
      </c>
    </row>
    <row r="12">
      <c r="A12" t="n">
        <v>95</v>
      </c>
      <c r="B12" t="n">
        <v>32</v>
      </c>
      <c r="C12" t="n">
        <v>2</v>
      </c>
      <c r="D12" t="n">
        <v>1</v>
      </c>
      <c r="E12" t="inlineStr">
        <is>
          <t>R1, R2 y R3 dado que R2 y R3 están en paralelo y forman un divisor de tensión con R1</t>
        </is>
      </c>
      <c r="F12" t="inlineStr">
        <is>
          <t>Si R5 está cortocircuitada, ¿cómo crees que esta conexión alterará la distribución de voltaje a lo largo de R2 y R3, considerando su configuración en paralelo inicial?</t>
        </is>
      </c>
      <c r="G12" t="n">
        <v>3</v>
      </c>
      <c r="H12" t="n">
        <v>3</v>
      </c>
      <c r="I12" t="n">
        <v>4</v>
      </c>
      <c r="J12" t="n">
        <v>5</v>
      </c>
      <c r="K12" t="n">
        <v>15</v>
      </c>
      <c r="L12" t="n">
        <v>0.854</v>
      </c>
      <c r="M12" t="n">
        <v>40</v>
      </c>
      <c r="N12" t="n">
        <v>70.27</v>
      </c>
      <c r="O12" t="inlineStr">
        <is>
          <t>AC1, AC9</t>
        </is>
      </c>
      <c r="P12" t="inlineStr"/>
      <c r="Q12" t="n">
        <v>1</v>
      </c>
      <c r="R12" t="n">
        <v>0</v>
      </c>
      <c r="S12" t="n">
        <v>0</v>
      </c>
      <c r="T12" t="inlineStr"/>
      <c r="U12" t="inlineStr"/>
      <c r="V12" t="inlineStr"/>
      <c r="W1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3">
      <c r="A13" t="n">
        <v>96</v>
      </c>
      <c r="B13" t="n">
        <v>32</v>
      </c>
      <c r="C13" t="n">
        <v>3</v>
      </c>
      <c r="D13" t="n">
        <v>1</v>
      </c>
      <c r="E13" t="inlineStr">
        <is>
          <t>R1, R2, R4 y R5 dado que R3 está en circuito abierto</t>
        </is>
      </c>
      <c r="F13" t="inlineStr">
        <is>
          <t>Considerando que R3 está en circuito abierto, ¿cómo afectará esto la capacidad de la corriente para fluir a través de R4 y hacia el nodo N3?</t>
        </is>
      </c>
      <c r="G13" t="n">
        <v>3</v>
      </c>
      <c r="H13" t="n">
        <v>4</v>
      </c>
      <c r="I13" t="n">
        <v>3</v>
      </c>
      <c r="J13" t="n">
        <v>5</v>
      </c>
      <c r="K13" t="n">
        <v>15</v>
      </c>
      <c r="L13" t="n">
        <v>0.771</v>
      </c>
      <c r="M13" t="n">
        <v>36</v>
      </c>
      <c r="N13" t="n">
        <v>77.83</v>
      </c>
      <c r="O13" t="inlineStr">
        <is>
          <t>AC1, AC6</t>
        </is>
      </c>
      <c r="P13" t="inlineStr">
        <is>
          <t>AC1</t>
        </is>
      </c>
      <c r="Q13" t="n">
        <v>1</v>
      </c>
      <c r="R13" t="n">
        <v>0.5</v>
      </c>
      <c r="S13" t="n">
        <v>0.667</v>
      </c>
      <c r="T13" t="inlineStr"/>
      <c r="U13" t="inlineStr"/>
      <c r="V13" t="inlineStr"/>
      <c r="W13"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4">
      <c r="A14" t="n">
        <v>97</v>
      </c>
      <c r="B14" t="n">
        <v>33</v>
      </c>
      <c r="C14" t="n">
        <v>1</v>
      </c>
      <c r="D14" t="n">
        <v>1</v>
      </c>
      <c r="E14" t="inlineStr">
        <is>
          <t>R1, R2, R4 y R5 dado que R3 sobra</t>
        </is>
      </c>
      <c r="F14" t="inlineStr">
        <is>
          <t>Considerando que R3 está abiertamente conectada, ¿podrías explicar por qué crees que aún influye en la diferencia de potencial entre N2 y 0, teniendo en cuenta que no hay flujo de corriente a través de ella?</t>
        </is>
      </c>
      <c r="G14" t="n">
        <v>3</v>
      </c>
      <c r="H14" t="n">
        <v>3</v>
      </c>
      <c r="I14" t="n">
        <v>3</v>
      </c>
      <c r="J14" t="n">
        <v>5</v>
      </c>
      <c r="K14" t="n">
        <v>14</v>
      </c>
      <c r="L14" t="n">
        <v>0.923</v>
      </c>
      <c r="M14" t="n">
        <v>51</v>
      </c>
      <c r="N14" t="n">
        <v>65.02</v>
      </c>
      <c r="O14" t="inlineStr">
        <is>
          <t>AC1, AC6</t>
        </is>
      </c>
      <c r="P14" t="inlineStr">
        <is>
          <t>AC1, AC9</t>
        </is>
      </c>
      <c r="Q14" t="n">
        <v>0.5</v>
      </c>
      <c r="R14" t="n">
        <v>0.5</v>
      </c>
      <c r="S14" t="n">
        <v>0.5</v>
      </c>
      <c r="T14" t="inlineStr"/>
      <c r="U14" t="inlineStr"/>
      <c r="V14" t="inlineStr"/>
      <c r="W14"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15">
      <c r="A15" t="n">
        <v>98</v>
      </c>
      <c r="B15" t="n">
        <v>33</v>
      </c>
      <c r="C15" t="n">
        <v>2</v>
      </c>
      <c r="D15" t="n">
        <v>1</v>
      </c>
      <c r="E15" t="inlineStr">
        <is>
          <t>R1, R2, R4 y R5 dado que R3 no hace nada</t>
        </is>
      </c>
      <c r="F15" t="inlineStr">
        <is>
          <t>Si los nodos 1 y 2 tienen diferentes potenciales, ¿qué factores podrían estar contribuyendo a esta diferencia, considerando la conexión de R1, R2 y R4 en esa sección del circuito?</t>
        </is>
      </c>
      <c r="G15" t="n">
        <v>3</v>
      </c>
      <c r="H15" t="n">
        <v>2</v>
      </c>
      <c r="I15" t="n">
        <v>4</v>
      </c>
      <c r="J15" t="n">
        <v>5</v>
      </c>
      <c r="K15" t="n">
        <v>14</v>
      </c>
      <c r="L15" t="n">
        <v>0.847</v>
      </c>
      <c r="M15" t="n">
        <v>42</v>
      </c>
      <c r="N15" t="n">
        <v>70.88</v>
      </c>
      <c r="O15" t="inlineStr">
        <is>
          <t>AC1, AC6</t>
        </is>
      </c>
      <c r="P15" t="inlineStr"/>
      <c r="Q15" t="n">
        <v>1</v>
      </c>
      <c r="R15" t="n">
        <v>0</v>
      </c>
      <c r="S15" t="n">
        <v>0</v>
      </c>
      <c r="T15" t="inlineStr"/>
      <c r="U15" t="inlineStr"/>
      <c r="V15" t="inlineStr"/>
      <c r="W1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6">
      <c r="A16" t="n">
        <v>99</v>
      </c>
      <c r="B16" t="n">
        <v>33</v>
      </c>
      <c r="C16" t="n">
        <v>3</v>
      </c>
      <c r="D16" t="n">
        <v>1</v>
      </c>
      <c r="E16" t="inlineStr">
        <is>
          <t>R1, R2 y R4 dado que son las resistencias que forman parte del circuito.</t>
        </is>
      </c>
      <c r="F16" t="inlineStr">
        <is>
          <t>Si la corriente fluye a través de R2 y R4, ¿podrías describir cómo la resistencia de cada componente afecta la magnitud de esa corriente, considerando el nodo común que comparten?</t>
        </is>
      </c>
      <c r="G16" t="n">
        <v>3</v>
      </c>
      <c r="H16" t="n">
        <v>4</v>
      </c>
      <c r="I16" t="n">
        <v>4</v>
      </c>
      <c r="J16" t="n">
        <v>5</v>
      </c>
      <c r="K16" t="n">
        <v>16</v>
      </c>
      <c r="L16" t="n">
        <v>0.844</v>
      </c>
      <c r="M16" t="n">
        <v>40</v>
      </c>
      <c r="N16" t="n">
        <v>71.06999999999999</v>
      </c>
      <c r="O16" t="inlineStr"/>
      <c r="P16" t="inlineStr">
        <is>
          <t>AC1</t>
        </is>
      </c>
      <c r="Q16" t="n">
        <v>0</v>
      </c>
      <c r="R16" t="n">
        <v>1</v>
      </c>
      <c r="S16" t="n">
        <v>0</v>
      </c>
      <c r="T16" t="inlineStr"/>
      <c r="U16" t="inlineStr"/>
      <c r="V16" t="inlineStr"/>
      <c r="W1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7">
      <c r="A17" t="n">
        <v>100</v>
      </c>
      <c r="B17" t="n">
        <v>34</v>
      </c>
      <c r="C17" t="n">
        <v>1</v>
      </c>
      <c r="D17" t="n">
        <v>1</v>
      </c>
      <c r="E17" t="inlineStr">
        <is>
          <t>R1, R2 y R4 dado que R2 y R4 están en paralelo y forma un divisor de tensión con R1.</t>
        </is>
      </c>
      <c r="F17" t="inlineStr">
        <is>
          <t>Considerando que R2 y R4 están en paralelo, ¿cómo afectaría la presencia del interruptor abierto entre N2 y N3 a la distribución de la carga a través de estas resistencias, y por qué es importante considerar la totalidad del camino desde la fuente hasta el nodo N2 para determinar la diferencia de potencial?</t>
        </is>
      </c>
      <c r="G17" t="n">
        <v>3</v>
      </c>
      <c r="H17" t="n">
        <v>5</v>
      </c>
      <c r="I17" t="n">
        <v>4</v>
      </c>
      <c r="J17" t="n">
        <v>5</v>
      </c>
      <c r="K17" t="n">
        <v>17</v>
      </c>
      <c r="L17" t="n">
        <v>1.209</v>
      </c>
      <c r="M17" t="n">
        <v>66</v>
      </c>
      <c r="N17" t="n">
        <v>49.62</v>
      </c>
      <c r="O17" t="inlineStr"/>
      <c r="P17" t="inlineStr">
        <is>
          <t>AC1, AC9</t>
        </is>
      </c>
      <c r="Q17" t="n">
        <v>0</v>
      </c>
      <c r="R17" t="n">
        <v>1</v>
      </c>
      <c r="S17" t="n">
        <v>0</v>
      </c>
      <c r="T17" t="inlineStr"/>
      <c r="U17" t="inlineStr"/>
      <c r="V17" t="inlineStr"/>
      <c r="W17"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18">
      <c r="A18" t="n">
        <v>101</v>
      </c>
      <c r="B18" t="n">
        <v>34</v>
      </c>
      <c r="C18" t="n">
        <v>2</v>
      </c>
      <c r="D18" t="n">
        <v>1</v>
      </c>
      <c r="E18" t="inlineStr">
        <is>
          <t>R1, R2 y R4 dado que R3 está en abierto y R5 cortocircuitada</t>
        </is>
      </c>
      <c r="F18" t="inlineStr">
        <is>
          <t>Si R5 está cortocircuitada, ¿cómo crees que afectaría esto a la corriente total que fluye a través del circuito y, por lo tanto, a la tensión medida en el nodo N1?</t>
        </is>
      </c>
      <c r="G18" t="n">
        <v>3</v>
      </c>
      <c r="H18" t="n">
        <v>3</v>
      </c>
      <c r="I18" t="n">
        <v>3</v>
      </c>
      <c r="J18" t="n">
        <v>5</v>
      </c>
      <c r="K18" t="n">
        <v>14</v>
      </c>
      <c r="L18" t="n">
        <v>0.829</v>
      </c>
      <c r="M18" t="n">
        <v>45</v>
      </c>
      <c r="N18" t="n">
        <v>72.36</v>
      </c>
      <c r="O18" t="inlineStr">
        <is>
          <t>AC1, AC6</t>
        </is>
      </c>
      <c r="P18" t="inlineStr">
        <is>
          <t>AC1</t>
        </is>
      </c>
      <c r="Q18" t="n">
        <v>1</v>
      </c>
      <c r="R18" t="n">
        <v>0.5</v>
      </c>
      <c r="S18" t="n">
        <v>0.667</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102</v>
      </c>
      <c r="B19" t="n">
        <v>34</v>
      </c>
      <c r="C19" t="n">
        <v>3</v>
      </c>
      <c r="D19" t="n">
        <v>1</v>
      </c>
      <c r="E19" t="inlineStr">
        <is>
          <t>R1, R2 y R4 dado que solo por estas resistencias circula una corriente diferente de cero</t>
        </is>
      </c>
      <c r="F19" t="inlineStr">
        <is>
          <t>Dado que la corriente fluye a través de R1, R2 y R4, ¿qué implicaciones tiene esto para la relación entre la tensión en cada resistencia y la corriente que las atraviesa, considerando que el resto de los componentes están desconectados?</t>
        </is>
      </c>
      <c r="G19" t="n">
        <v>3</v>
      </c>
      <c r="H19" t="n">
        <v>4</v>
      </c>
      <c r="I19" t="n">
        <v>5</v>
      </c>
      <c r="J19" t="n">
        <v>5</v>
      </c>
      <c r="K19" t="n">
        <v>17</v>
      </c>
      <c r="L19" t="n">
        <v>0.909</v>
      </c>
      <c r="M19" t="n">
        <v>54</v>
      </c>
      <c r="N19" t="n">
        <v>66.02</v>
      </c>
      <c r="O19" t="inlineStr"/>
      <c r="P19" t="inlineStr">
        <is>
          <t>AC1</t>
        </is>
      </c>
      <c r="Q19" t="n">
        <v>0</v>
      </c>
      <c r="R19" t="n">
        <v>1</v>
      </c>
      <c r="S19" t="n">
        <v>0</v>
      </c>
      <c r="T19" t="inlineStr"/>
      <c r="U19" t="inlineStr"/>
      <c r="V19" t="inlineStr"/>
      <c r="W19"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0">
      <c r="A20" t="n">
        <v>103</v>
      </c>
      <c r="B20" t="n">
        <v>35</v>
      </c>
      <c r="C20" t="n">
        <v>1</v>
      </c>
      <c r="D20" t="n">
        <v>1</v>
      </c>
      <c r="E20" t="inlineStr">
        <is>
          <t>R1, R2 y R4 dado que por R3 y por R5 no circula corriente</t>
        </is>
      </c>
      <c r="F20" t="inlineStr">
        <is>
          <t>Considerando que R3 está en circuito abierto y R5 está cortocircuitada, ¿qué efecto tienen estas condiciones en el flujo de corriente hacia el nodo N2, y cómo podría esto afectar la caída de voltaje en las resistencias R1, R2 y R4?</t>
        </is>
      </c>
      <c r="G20" t="n">
        <v>3</v>
      </c>
      <c r="H20" t="n">
        <v>4</v>
      </c>
      <c r="I20" t="n">
        <v>5</v>
      </c>
      <c r="J20" t="n">
        <v>5</v>
      </c>
      <c r="K20" t="n">
        <v>17</v>
      </c>
      <c r="L20" t="n">
        <v>1.086</v>
      </c>
      <c r="M20" t="n">
        <v>57</v>
      </c>
      <c r="N20" t="n">
        <v>55.23</v>
      </c>
      <c r="O20" t="inlineStr">
        <is>
          <t>AC1, AC6</t>
        </is>
      </c>
      <c r="P20" t="inlineStr">
        <is>
          <t>AC1, AC6, AC9</t>
        </is>
      </c>
      <c r="Q20" t="n">
        <v>0.667</v>
      </c>
      <c r="R20" t="n">
        <v>1</v>
      </c>
      <c r="S20" t="n">
        <v>0.8</v>
      </c>
      <c r="T20" t="inlineStr"/>
      <c r="U20" t="inlineStr"/>
      <c r="V20" t="inlineStr"/>
      <c r="W20"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1">
      <c r="A21" t="n">
        <v>104</v>
      </c>
      <c r="B21" t="n">
        <v>35</v>
      </c>
      <c r="C21" t="n">
        <v>2</v>
      </c>
      <c r="D21" t="n">
        <v>1</v>
      </c>
      <c r="E21" t="inlineStr">
        <is>
          <t>R1, R2 y R4 dado que R3 y R5 se pueden quitar</t>
        </is>
      </c>
      <c r="F21" t="inlineStr">
        <is>
          <t>Si eliminamos R3 y R5, ¿cómo cambiaría la relación entre la corriente que fluye a través de R1, R2 y R4, y cómo se vería esta relación en términos de la ley de Ohm?</t>
        </is>
      </c>
      <c r="G21" t="n">
        <v>3</v>
      </c>
      <c r="H21" t="n">
        <v>2</v>
      </c>
      <c r="I21" t="n">
        <v>5</v>
      </c>
      <c r="J21" t="n">
        <v>5</v>
      </c>
      <c r="K21" t="n">
        <v>15</v>
      </c>
      <c r="L21" t="n">
        <v>0.833</v>
      </c>
      <c r="M21" t="n">
        <v>49</v>
      </c>
      <c r="N21" t="n">
        <v>72.06</v>
      </c>
      <c r="O21" t="inlineStr">
        <is>
          <t>AC1, AC6</t>
        </is>
      </c>
      <c r="P21" t="inlineStr">
        <is>
          <t>AC1</t>
        </is>
      </c>
      <c r="Q21" t="n">
        <v>1</v>
      </c>
      <c r="R21" t="n">
        <v>0.5</v>
      </c>
      <c r="S21" t="n">
        <v>0.667</v>
      </c>
      <c r="T21" t="inlineStr"/>
      <c r="U21" t="inlineStr"/>
      <c r="V21" t="inlineStr"/>
      <c r="W2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2">
      <c r="A22" t="n">
        <v>105</v>
      </c>
      <c r="B22" t="n">
        <v>35</v>
      </c>
      <c r="C22" t="n">
        <v>3</v>
      </c>
      <c r="D22" t="n">
        <v>1</v>
      </c>
      <c r="E22" t="inlineStr">
        <is>
          <t>R1, R2 y R4 dado que R3 y R5 no influyen para nada en la diferencia de potencial que se pide</t>
        </is>
      </c>
      <c r="F22" t="inlineStr">
        <is>
          <t>Si R3 y R5 no afectan la diferencia de potencial, ¿cómo se relaciona la resistencia de R1, R2 y R4 con la corriente que fluye a través de ellos, y qué papel juega la ley de Ohm en esta relación?</t>
        </is>
      </c>
      <c r="G22" t="n">
        <v>3</v>
      </c>
      <c r="H22" t="n">
        <v>3</v>
      </c>
      <c r="I22" t="n">
        <v>5</v>
      </c>
      <c r="J22" t="n">
        <v>5</v>
      </c>
      <c r="K22" t="n">
        <v>16</v>
      </c>
      <c r="L22" t="n">
        <v>0.901</v>
      </c>
      <c r="M22" t="n">
        <v>52</v>
      </c>
      <c r="N22" t="n">
        <v>66.59</v>
      </c>
      <c r="O22" t="inlineStr">
        <is>
          <t>AC1, AC6</t>
        </is>
      </c>
      <c r="P22" t="inlineStr">
        <is>
          <t>AC1</t>
        </is>
      </c>
      <c r="Q22" t="n">
        <v>1</v>
      </c>
      <c r="R22" t="n">
        <v>0.5</v>
      </c>
      <c r="S22" t="n">
        <v>0.667</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106</v>
      </c>
      <c r="B23" t="n">
        <v>36</v>
      </c>
      <c r="C23" t="n">
        <v>1</v>
      </c>
      <c r="D23" t="n">
        <v>1</v>
      </c>
      <c r="E23" t="inlineStr">
        <is>
          <t>R1, R2 y R4 dado que R3 y R5 sobran</t>
        </is>
      </c>
      <c r="F23" t="inlineStr">
        <is>
          <t>Considerando que R3 y R5 no influyen en la diferencia de potencial entre N2 y 0, ¿podrías explicar cómo la conexión de R4 al circuito afecta el flujo de corriente y, por lo tanto, el potencial en N2?.</t>
        </is>
      </c>
      <c r="G23" t="n">
        <v>1</v>
      </c>
      <c r="H23" t="n">
        <v>3</v>
      </c>
      <c r="I23" t="n">
        <v>4</v>
      </c>
      <c r="J23" t="n">
        <v>5</v>
      </c>
      <c r="K23" t="n">
        <v>13</v>
      </c>
      <c r="L23" t="n">
        <v>0.904</v>
      </c>
      <c r="M23" t="n">
        <v>54</v>
      </c>
      <c r="N23" t="n">
        <v>66.37</v>
      </c>
      <c r="O23" t="inlineStr">
        <is>
          <t>AC1, AC6</t>
        </is>
      </c>
      <c r="P23" t="inlineStr">
        <is>
          <t>AC1, AC9</t>
        </is>
      </c>
      <c r="Q23" t="n">
        <v>0.5</v>
      </c>
      <c r="R23" t="n">
        <v>0.5</v>
      </c>
      <c r="S23" t="n">
        <v>0.5</v>
      </c>
      <c r="T23" t="inlineStr"/>
      <c r="U23" t="inlineStr"/>
      <c r="V23" t="inlineStr"/>
      <c r="W23"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24">
      <c r="A24" t="n">
        <v>107</v>
      </c>
      <c r="B24" t="n">
        <v>36</v>
      </c>
      <c r="C24" t="n">
        <v>2</v>
      </c>
      <c r="D24" t="n">
        <v>1</v>
      </c>
      <c r="E24" t="inlineStr">
        <is>
          <t>R1, R2 y R4 dado que R3 sobra</t>
        </is>
      </c>
      <c r="F24" t="inlineStr">
        <is>
          <t>Si la corriente fluye a través de R1 y R2, ¿qué factores podrían influir en la magnitud de esa corriente, considerando la resistencia de cada componente?.</t>
        </is>
      </c>
      <c r="G24" t="n">
        <v>1</v>
      </c>
      <c r="H24" t="n">
        <v>3</v>
      </c>
      <c r="I24" t="n">
        <v>4</v>
      </c>
      <c r="J24" t="n">
        <v>5</v>
      </c>
      <c r="K24" t="n">
        <v>13</v>
      </c>
      <c r="L24" t="n">
        <v>0.755</v>
      </c>
      <c r="M24" t="n">
        <v>36</v>
      </c>
      <c r="N24" t="n">
        <v>79.51000000000001</v>
      </c>
      <c r="O24" t="inlineStr">
        <is>
          <t>AC1</t>
        </is>
      </c>
      <c r="P24" t="inlineStr">
        <is>
          <t>AC1</t>
        </is>
      </c>
      <c r="Q24" t="n">
        <v>1</v>
      </c>
      <c r="R24" t="n">
        <v>1</v>
      </c>
      <c r="S24" t="n">
        <v>1</v>
      </c>
      <c r="T24" t="inlineStr"/>
      <c r="U24" t="inlineStr"/>
      <c r="V24" t="inlineStr"/>
      <c r="W24"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25">
      <c r="A25" t="n">
        <v>108</v>
      </c>
      <c r="B25" t="n">
        <v>36</v>
      </c>
      <c r="C25" t="n">
        <v>3</v>
      </c>
      <c r="D25" t="n">
        <v>1</v>
      </c>
      <c r="E25" t="inlineStr">
        <is>
          <t>R1, R2 y R4 dado que R5 sobra</t>
        </is>
      </c>
      <c r="F25" t="inlineStr">
        <is>
          <t>Asumiendo que el circuito está completamente cerrado, ¿cómo crees que la resistencia de R2 afecta la distribución de la carga entre R1 y el nodo conectado a R4?.</t>
        </is>
      </c>
      <c r="G25" t="n">
        <v>1</v>
      </c>
      <c r="H25" t="n">
        <v>3</v>
      </c>
      <c r="I25" t="n">
        <v>4</v>
      </c>
      <c r="J25" t="n">
        <v>5</v>
      </c>
      <c r="K25" t="n">
        <v>13</v>
      </c>
      <c r="L25" t="n">
        <v>0.72</v>
      </c>
      <c r="M25" t="n">
        <v>39</v>
      </c>
      <c r="N25" t="n">
        <v>83.34999999999999</v>
      </c>
      <c r="O25" t="inlineStr">
        <is>
          <t>AC6</t>
        </is>
      </c>
      <c r="P25" t="inlineStr">
        <is>
          <t>AC9</t>
        </is>
      </c>
      <c r="Q25" t="n">
        <v>0</v>
      </c>
      <c r="R25" t="n">
        <v>0</v>
      </c>
      <c r="S25" t="n">
        <v>0</v>
      </c>
      <c r="T25" t="inlineStr"/>
      <c r="U25" t="inlineStr"/>
      <c r="V25" t="inlineStr"/>
      <c r="W25"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26">
      <c r="A26" t="n">
        <v>109</v>
      </c>
      <c r="B26" t="n">
        <v>37</v>
      </c>
      <c r="C26" t="n">
        <v>1</v>
      </c>
      <c r="D26" t="n">
        <v>1</v>
      </c>
      <c r="E26" t="inlineStr">
        <is>
          <t>R1, R2 y R4 dado que R3 está en abierto</t>
        </is>
      </c>
      <c r="F26" t="inlineStr">
        <is>
          <t>Considerando que R3 está efectivamente en circuito abierto, ¿qué efecto tiene la ausencia de un camino conductor entre N2 y tierra en la determinación del potencial en N2, en comparación con el potencial en el nodo 0, dado que las demás resistencias están conectadas en serie y paralelo?</t>
        </is>
      </c>
      <c r="G26" t="n">
        <v>3</v>
      </c>
      <c r="H26" t="n">
        <v>5</v>
      </c>
      <c r="I26" t="n">
        <v>3</v>
      </c>
      <c r="J26" t="n">
        <v>5</v>
      </c>
      <c r="K26" t="n">
        <v>16</v>
      </c>
      <c r="L26" t="n">
        <v>0.945</v>
      </c>
      <c r="M26" t="n">
        <v>60</v>
      </c>
      <c r="N26" t="n">
        <v>63.48</v>
      </c>
      <c r="O26" t="inlineStr">
        <is>
          <t>AC1</t>
        </is>
      </c>
      <c r="P26" t="inlineStr">
        <is>
          <t>AC1, AC9</t>
        </is>
      </c>
      <c r="Q26" t="n">
        <v>0.5</v>
      </c>
      <c r="R26" t="n">
        <v>1</v>
      </c>
      <c r="S26" t="n">
        <v>0.667</v>
      </c>
      <c r="T26" t="inlineStr"/>
      <c r="U26" t="inlineStr"/>
      <c r="V26" t="inlineStr"/>
      <c r="W26"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27">
      <c r="A27" t="n">
        <v>110</v>
      </c>
      <c r="B27" t="n">
        <v>37</v>
      </c>
      <c r="C27" t="n">
        <v>2</v>
      </c>
      <c r="D27" t="n">
        <v>1</v>
      </c>
      <c r="E27" t="inlineStr">
        <is>
          <t>R1, R2 y R4 dado que  R5 cortocircuitada</t>
        </is>
      </c>
      <c r="F27" t="inlineStr">
        <is>
          <t>Si R5 está cortocircuitada, ¿cómo afectaría la corriente que fluye a través de R1 y R2, y qué implicaciones tendría esto para la tensión en el nodo 1, considerando que R4 permanece en el circuito?</t>
        </is>
      </c>
      <c r="G27" t="n">
        <v>3</v>
      </c>
      <c r="H27" t="n">
        <v>3</v>
      </c>
      <c r="I27" t="n">
        <v>4</v>
      </c>
      <c r="J27" t="n">
        <v>5</v>
      </c>
      <c r="K27" t="n">
        <v>15</v>
      </c>
      <c r="L27" t="n">
        <v>1.203</v>
      </c>
      <c r="M27" t="n">
        <v>52</v>
      </c>
      <c r="N27" t="n">
        <v>49.88</v>
      </c>
      <c r="O27" t="inlineStr">
        <is>
          <t>AC6</t>
        </is>
      </c>
      <c r="P27" t="inlineStr">
        <is>
          <t>AC1</t>
        </is>
      </c>
      <c r="Q27" t="n">
        <v>0</v>
      </c>
      <c r="R27" t="n">
        <v>0</v>
      </c>
      <c r="S27" t="n">
        <v>0</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111</v>
      </c>
      <c r="B28" t="n">
        <v>37</v>
      </c>
      <c r="C28" t="n">
        <v>3</v>
      </c>
      <c r="D28" t="n">
        <v>1</v>
      </c>
      <c r="E28" t="inlineStr">
        <is>
          <t>R1, R2 y R4 dado que por R3 no circula corriente</t>
        </is>
      </c>
      <c r="F28" t="inlineStr">
        <is>
          <t>Si R3 no permite la circulación de corriente, ¿cómo cambiaría la relación entre la tensión aplicada y la corriente total que fluye a través de R1 y R2 en este circuito, considerando su conexión en serie?</t>
        </is>
      </c>
      <c r="G28" t="n">
        <v>3</v>
      </c>
      <c r="H28" t="n">
        <v>3</v>
      </c>
      <c r="I28" t="n">
        <v>4</v>
      </c>
      <c r="J28" t="n">
        <v>5</v>
      </c>
      <c r="K28" t="n">
        <v>15</v>
      </c>
      <c r="L28" t="n">
        <v>2.18</v>
      </c>
      <c r="M28" t="n">
        <v>46</v>
      </c>
      <c r="N28" t="n">
        <v>27.52</v>
      </c>
      <c r="O28" t="inlineStr">
        <is>
          <t>AC1</t>
        </is>
      </c>
      <c r="P28" t="inlineStr">
        <is>
          <t>AC1, AC9</t>
        </is>
      </c>
      <c r="Q28" t="n">
        <v>0.5</v>
      </c>
      <c r="R28" t="n">
        <v>1</v>
      </c>
      <c r="S28" t="n">
        <v>0.667</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112</v>
      </c>
      <c r="B29" t="n">
        <v>38</v>
      </c>
      <c r="C29" t="n">
        <v>1</v>
      </c>
      <c r="D29" t="n">
        <v>1</v>
      </c>
      <c r="E29" t="inlineStr">
        <is>
          <t>R1, R2 y R4 dado que por  R5 no circula corriente</t>
        </is>
      </c>
      <c r="F29" t="inlineStr">
        <is>
          <t>Considerando que R5 está cortocircuitada, ¿cómo afecta esta condición al flujo de corriente y, por lo tanto, a la diferencia de potencial entre N2 y 0, teniendo en cuenta el papel de las demás resistencias en el circuito?</t>
        </is>
      </c>
      <c r="G29" t="n">
        <v>4</v>
      </c>
      <c r="H29" t="n">
        <v>3</v>
      </c>
      <c r="I29" t="n">
        <v>3</v>
      </c>
      <c r="J29" t="n">
        <v>5</v>
      </c>
      <c r="K29" t="n">
        <v>15</v>
      </c>
      <c r="L29" t="n">
        <v>3.864</v>
      </c>
      <c r="M29" t="n">
        <v>52</v>
      </c>
      <c r="N29" t="n">
        <v>15.53</v>
      </c>
      <c r="O29" t="inlineStr">
        <is>
          <t>AC6</t>
        </is>
      </c>
      <c r="P29" t="inlineStr">
        <is>
          <t>AC1, AC9</t>
        </is>
      </c>
      <c r="Q29" t="n">
        <v>0</v>
      </c>
      <c r="R29" t="n">
        <v>0</v>
      </c>
      <c r="S29" t="n">
        <v>0</v>
      </c>
      <c r="T29" t="inlineStr"/>
      <c r="U29" t="inlineStr"/>
      <c r="V29" t="inlineStr"/>
      <c r="W2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0">
      <c r="A30" t="n">
        <v>113</v>
      </c>
      <c r="B30" t="n">
        <v>38</v>
      </c>
      <c r="C30" t="n">
        <v>2</v>
      </c>
      <c r="D30" t="n">
        <v>1</v>
      </c>
      <c r="E30" t="inlineStr">
        <is>
          <t>R1, R2 y R4 dado que R3 se puede quitar</t>
        </is>
      </c>
      <c r="F30" t="inlineStr">
        <is>
          <t>Si eliminas R3 del circuito, ¿cómo cambiaría la relación entre la corriente que fluye por R2 y el voltaje aplicado al nodo donde se encuentran R1 y R2, considerando la configuración original?</t>
        </is>
      </c>
      <c r="G30" t="n">
        <v>3</v>
      </c>
      <c r="H30" t="n">
        <v>3</v>
      </c>
      <c r="I30" t="n">
        <v>4</v>
      </c>
      <c r="J30" t="n">
        <v>5</v>
      </c>
      <c r="K30" t="n">
        <v>15</v>
      </c>
      <c r="L30" t="n">
        <v>4.364</v>
      </c>
      <c r="M30" t="n">
        <v>44</v>
      </c>
      <c r="N30" t="n">
        <v>13.75</v>
      </c>
      <c r="O30" t="inlineStr">
        <is>
          <t>AC1</t>
        </is>
      </c>
      <c r="P30" t="inlineStr">
        <is>
          <t>AC1, AC9</t>
        </is>
      </c>
      <c r="Q30" t="n">
        <v>0.5</v>
      </c>
      <c r="R30" t="n">
        <v>1</v>
      </c>
      <c r="S30" t="n">
        <v>0.667</v>
      </c>
      <c r="T30" t="inlineStr"/>
      <c r="U30" t="inlineStr"/>
      <c r="V30" t="inlineStr"/>
      <c r="W3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1">
      <c r="A31" t="n">
        <v>114</v>
      </c>
      <c r="B31" t="n">
        <v>38</v>
      </c>
      <c r="C31" t="n">
        <v>3</v>
      </c>
      <c r="D31" t="n">
        <v>1</v>
      </c>
      <c r="E31" t="inlineStr">
        <is>
          <t>R1, R2 y R4 dado que R5 se puede quitar</t>
        </is>
      </c>
      <c r="F31" t="inlineStr">
        <is>
          <t>Si se eliminara R5 del circuito, ¿cómo afectaría la ley de Ohm y la distribución de la corriente a través de R1, R2 y R4, considerando la resistencia total?</t>
        </is>
      </c>
      <c r="G31" t="n">
        <v>3</v>
      </c>
      <c r="H31" t="n">
        <v>3</v>
      </c>
      <c r="I31" t="n">
        <v>5</v>
      </c>
      <c r="J31" t="n">
        <v>5</v>
      </c>
      <c r="K31" t="n">
        <v>16</v>
      </c>
      <c r="L31" t="n">
        <v>3.931</v>
      </c>
      <c r="M31" t="n">
        <v>41</v>
      </c>
      <c r="N31" t="n">
        <v>15.26</v>
      </c>
      <c r="O31" t="inlineStr">
        <is>
          <t>AC6</t>
        </is>
      </c>
      <c r="P31" t="inlineStr">
        <is>
          <t>AC1</t>
        </is>
      </c>
      <c r="Q31" t="n">
        <v>0</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115</v>
      </c>
      <c r="B32" t="n">
        <v>39</v>
      </c>
      <c r="C32" t="n">
        <v>1</v>
      </c>
      <c r="D32" t="n">
        <v>1</v>
      </c>
      <c r="E32" t="inlineStr">
        <is>
          <t>R1, R2 y R4 dado que R3 no influye para nada en la diferencia de potencial que se pide</t>
        </is>
      </c>
      <c r="F32" t="inlineStr">
        <is>
          <t>Considerando que R3 está abierto, ¿podrías describir qué ocurre con la corriente que intenta fluir desde N2 hacia tierra, y cómo esa corriente podría afectar el potencial en N2?</t>
        </is>
      </c>
      <c r="G32" t="n">
        <v>3</v>
      </c>
      <c r="H32" t="n">
        <v>2</v>
      </c>
      <c r="I32" t="n">
        <v>3</v>
      </c>
      <c r="J32" t="n">
        <v>5</v>
      </c>
      <c r="K32" t="n">
        <v>13</v>
      </c>
      <c r="L32" t="n">
        <v>2.71</v>
      </c>
      <c r="M32" t="n">
        <v>41</v>
      </c>
      <c r="N32" t="n">
        <v>22.14</v>
      </c>
      <c r="O32" t="inlineStr">
        <is>
          <t>AC1</t>
        </is>
      </c>
      <c r="P32" t="inlineStr">
        <is>
          <t>AC1, AC9</t>
        </is>
      </c>
      <c r="Q32" t="n">
        <v>0.5</v>
      </c>
      <c r="R32" t="n">
        <v>1</v>
      </c>
      <c r="S32" t="n">
        <v>0.667</v>
      </c>
      <c r="T32" t="inlineStr"/>
      <c r="U32" t="inlineStr"/>
      <c r="V32" t="inlineStr"/>
      <c r="W3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3">
      <c r="A33" t="n">
        <v>116</v>
      </c>
      <c r="B33" t="n">
        <v>39</v>
      </c>
      <c r="C33" t="n">
        <v>2</v>
      </c>
      <c r="D33" t="n">
        <v>1</v>
      </c>
      <c r="E33" t="inlineStr">
        <is>
          <t>R1, R2 y R4 dado que R5 no influye para nada en la diferencia de potencial que se pide</t>
        </is>
      </c>
      <c r="F33" t="inlineStr">
        <is>
          <t>Si R5 no afecta la diferencia de potencial, ¿cómo se relaciona el valor de R5 con la corriente que fluye a través de R1 y R2, y qué implicaciones tiene esto para la ley de Ohm en este circuito?</t>
        </is>
      </c>
      <c r="G33" t="n">
        <v>3</v>
      </c>
      <c r="H33" t="n">
        <v>3</v>
      </c>
      <c r="I33" t="n">
        <v>4</v>
      </c>
      <c r="J33" t="n">
        <v>5</v>
      </c>
      <c r="K33" t="n">
        <v>15</v>
      </c>
      <c r="L33" t="n">
        <v>1.513</v>
      </c>
      <c r="M33" t="n">
        <v>50</v>
      </c>
      <c r="N33" t="n">
        <v>39.66</v>
      </c>
      <c r="O33" t="inlineStr">
        <is>
          <t>AC6</t>
        </is>
      </c>
      <c r="P33" t="inlineStr">
        <is>
          <t>AC1</t>
        </is>
      </c>
      <c r="Q33" t="n">
        <v>0</v>
      </c>
      <c r="R33" t="n">
        <v>0</v>
      </c>
      <c r="S33" t="n">
        <v>0</v>
      </c>
      <c r="T33" t="inlineStr"/>
      <c r="U33" t="inlineStr"/>
      <c r="V33" t="inlineStr"/>
      <c r="W3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4">
      <c r="A34" t="n">
        <v>117</v>
      </c>
      <c r="B34" t="n">
        <v>39</v>
      </c>
      <c r="C34" t="n">
        <v>3</v>
      </c>
      <c r="D34" t="n">
        <v>1</v>
      </c>
      <c r="E34" t="inlineStr">
        <is>
          <t>No lo sé</t>
        </is>
      </c>
      <c r="F34" t="inlineStr">
        <is>
          <t>Si ignoramos el efecto de R5, ¿podrías explicar cómo la resistencia de R2 influiría en la cantidad de corriente que fluye a través de R1, considerando que ambos están conectados en paralelo?</t>
        </is>
      </c>
      <c r="G34" t="n">
        <v>3</v>
      </c>
      <c r="H34" t="n">
        <v>3</v>
      </c>
      <c r="I34" t="n">
        <v>2</v>
      </c>
      <c r="J34" t="n">
        <v>5</v>
      </c>
      <c r="K34" t="n">
        <v>13</v>
      </c>
      <c r="L34" t="n">
        <v>1.236</v>
      </c>
      <c r="M34" t="n">
        <v>46</v>
      </c>
      <c r="N34" t="n">
        <v>48.53</v>
      </c>
      <c r="O34" t="inlineStr">
        <is>
          <t>AC9</t>
        </is>
      </c>
      <c r="P34" t="inlineStr">
        <is>
          <t>AC1</t>
        </is>
      </c>
      <c r="Q34" t="n">
        <v>0</v>
      </c>
      <c r="R34" t="n">
        <v>0</v>
      </c>
      <c r="S34" t="n">
        <v>0</v>
      </c>
      <c r="T34" t="inlineStr"/>
      <c r="U34" t="inlineStr"/>
      <c r="V34" t="inlineStr"/>
      <c r="W34"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35">
      <c r="A35" t="n">
        <v>118</v>
      </c>
      <c r="B35" t="n">
        <v>40</v>
      </c>
      <c r="C35" t="n">
        <v>1</v>
      </c>
      <c r="D35" t="n">
        <v>1</v>
      </c>
      <c r="E35" t="inlineStr">
        <is>
          <t>Todas las resistencias</t>
        </is>
      </c>
      <c r="F35" t="inlineStr">
        <is>
          <t>Considerando que el interruptor entre N2 y N3 está abierto, ¿podrías explicar qué ocurre con el flujo de corriente a través de las resistencias que conectan directamente N2 a tierra?</t>
        </is>
      </c>
      <c r="G35" t="n">
        <v>3</v>
      </c>
      <c r="H35" t="n">
        <v>3</v>
      </c>
      <c r="I35" t="n">
        <v>2</v>
      </c>
      <c r="J35" t="n">
        <v>5</v>
      </c>
      <c r="K35" t="n">
        <v>13</v>
      </c>
      <c r="L35" t="n">
        <v>1.707</v>
      </c>
      <c r="M35" t="n">
        <v>42</v>
      </c>
      <c r="N35" t="n">
        <v>35.16</v>
      </c>
      <c r="O35" t="inlineStr">
        <is>
          <t>AC9</t>
        </is>
      </c>
      <c r="P35" t="inlineStr">
        <is>
          <t>AC1, AC9</t>
        </is>
      </c>
      <c r="Q35" t="n">
        <v>0.5</v>
      </c>
      <c r="R35" t="n">
        <v>1</v>
      </c>
      <c r="S35" t="n">
        <v>0.667</v>
      </c>
      <c r="T35" t="inlineStr"/>
      <c r="U35" t="inlineStr"/>
      <c r="V35" t="inlineStr"/>
      <c r="W35"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36">
      <c r="A36" t="n">
        <v>119</v>
      </c>
      <c r="B36" t="n">
        <v>40</v>
      </c>
      <c r="C36" t="n">
        <v>2</v>
      </c>
      <c r="D36" t="n">
        <v>1</v>
      </c>
      <c r="E36" t="inlineStr">
        <is>
          <t>R1 y R2</t>
        </is>
      </c>
      <c r="F36" t="inlineStr">
        <is>
          <t>Si el interruptor estuviera cerrado, ¿cómo cambiaría la relación entre la tensión aplicada y la corriente que fluye a través de R1 y R2, respectivamente?</t>
        </is>
      </c>
      <c r="G36" t="n">
        <v>3</v>
      </c>
      <c r="H36" t="n">
        <v>3</v>
      </c>
      <c r="I36" t="n">
        <v>2</v>
      </c>
      <c r="J36" t="n">
        <v>5</v>
      </c>
      <c r="K36" t="n">
        <v>13</v>
      </c>
      <c r="L36" t="n">
        <v>1.088</v>
      </c>
      <c r="M36" t="n">
        <v>36</v>
      </c>
      <c r="N36" t="n">
        <v>55.16</v>
      </c>
      <c r="O36" t="inlineStr">
        <is>
          <t>AC9</t>
        </is>
      </c>
      <c r="P36" t="inlineStr">
        <is>
          <t>AC1</t>
        </is>
      </c>
      <c r="Q36" t="n">
        <v>0</v>
      </c>
      <c r="R36" t="n">
        <v>0</v>
      </c>
      <c r="S36" t="n">
        <v>0</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120</v>
      </c>
      <c r="B37" t="n">
        <v>40</v>
      </c>
      <c r="C37" t="n">
        <v>3</v>
      </c>
      <c r="D37" t="n">
        <v>1</v>
      </c>
      <c r="E37" t="inlineStr">
        <is>
          <t>R1, R2 y R4</t>
        </is>
      </c>
      <c r="F37" t="inlineStr">
        <is>
          <t>Dada la configuración actual, ¿cómo crees que la resistencia en paralelo de R2 y R4 afectaría la caída de tensión a través de cada uno de esos componentes?</t>
        </is>
      </c>
      <c r="G37" t="n">
        <v>3</v>
      </c>
      <c r="H37" t="n">
        <v>4</v>
      </c>
      <c r="I37" t="n">
        <v>3</v>
      </c>
      <c r="J37" t="n">
        <v>5</v>
      </c>
      <c r="K37" t="n">
        <v>15</v>
      </c>
      <c r="L37" t="n">
        <v>0.877</v>
      </c>
      <c r="M37" t="n">
        <v>37</v>
      </c>
      <c r="N37" t="n">
        <v>68.42</v>
      </c>
      <c r="O37" t="inlineStr"/>
      <c r="P37" t="inlineStr"/>
      <c r="Q37" t="n">
        <v>1</v>
      </c>
      <c r="R37" t="n">
        <v>1</v>
      </c>
      <c r="S37" t="n">
        <v>1</v>
      </c>
      <c r="T37" t="inlineStr"/>
      <c r="U37" t="inlineStr"/>
      <c r="V37" t="inlineStr"/>
      <c r="W3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8">
      <c r="A38" t="n">
        <v>121</v>
      </c>
      <c r="B38" t="n">
        <v>41</v>
      </c>
      <c r="C38" t="n">
        <v>1</v>
      </c>
      <c r="D38" t="n">
        <v>1</v>
      </c>
      <c r="E38" t="inlineStr">
        <is>
          <t>R1, R2, R4 y R5</t>
        </is>
      </c>
      <c r="F38" t="inlineStr">
        <is>
          <t>Considerando que R5 está efectivamente cortocircuitada, ¿podría explicar cómo la presencia de este componente, aunque no afecte directamente la diferencia de potencial, influye en la determinación de las resistencias que sí contribuyen a esa diferencia entre N2 y 0?</t>
        </is>
      </c>
      <c r="G38" t="n">
        <v>3</v>
      </c>
      <c r="H38" t="n">
        <v>3</v>
      </c>
      <c r="I38" t="n">
        <v>2</v>
      </c>
      <c r="J38" t="n">
        <v>5</v>
      </c>
      <c r="K38" t="n">
        <v>13</v>
      </c>
      <c r="L38" t="n">
        <v>1.292</v>
      </c>
      <c r="M38" t="n">
        <v>56</v>
      </c>
      <c r="N38" t="n">
        <v>46.43</v>
      </c>
      <c r="O38" t="inlineStr">
        <is>
          <t>AC6</t>
        </is>
      </c>
      <c r="P38" t="inlineStr">
        <is>
          <t>AC9</t>
        </is>
      </c>
      <c r="Q38" t="n">
        <v>0</v>
      </c>
      <c r="R38" t="n">
        <v>0</v>
      </c>
      <c r="S38" t="n">
        <v>0</v>
      </c>
      <c r="T38" t="inlineStr"/>
      <c r="U38" t="inlineStr"/>
      <c r="V38" t="inlineStr"/>
      <c r="W3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9">
      <c r="A39" t="n">
        <v>122</v>
      </c>
      <c r="B39" t="n">
        <v>41</v>
      </c>
      <c r="C39" t="n">
        <v>2</v>
      </c>
      <c r="D39" t="n">
        <v>1</v>
      </c>
      <c r="E39" t="inlineStr">
        <is>
          <t>R1, R2, R3 y R4</t>
        </is>
      </c>
      <c r="F39" t="inlineStr">
        <is>
          <t>Si asumiendo que R3 es un interruptor abierto, ¿cómo cambiaría la relación entre la corriente que fluye a través de R1 y R2 para determinar la tensión en el nodo común?</t>
        </is>
      </c>
      <c r="G39" t="n">
        <v>3</v>
      </c>
      <c r="H39" t="n">
        <v>4</v>
      </c>
      <c r="I39" t="n">
        <v>3</v>
      </c>
      <c r="J39" t="n">
        <v>5</v>
      </c>
      <c r="K39" t="n">
        <v>15</v>
      </c>
      <c r="L39" t="n">
        <v>0.995</v>
      </c>
      <c r="M39" t="n">
        <v>43</v>
      </c>
      <c r="N39" t="n">
        <v>60.28</v>
      </c>
      <c r="O39" t="inlineStr">
        <is>
          <t>AC1</t>
        </is>
      </c>
      <c r="P39" t="inlineStr">
        <is>
          <t>AC1</t>
        </is>
      </c>
      <c r="Q39" t="n">
        <v>1</v>
      </c>
      <c r="R39" t="n">
        <v>1</v>
      </c>
      <c r="S39" t="n">
        <v>1</v>
      </c>
      <c r="T39" t="inlineStr"/>
      <c r="U39" t="inlineStr"/>
      <c r="V39" t="inlineStr"/>
      <c r="W3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40">
      <c r="A40" t="n">
        <v>123</v>
      </c>
      <c r="B40" t="n">
        <v>41</v>
      </c>
      <c r="C40" t="n">
        <v>3</v>
      </c>
      <c r="D40" t="n">
        <v>1</v>
      </c>
      <c r="E40" t="inlineStr">
        <is>
          <t>R1 y R2 y R4 hacen un divisor de corriente</t>
        </is>
      </c>
      <c r="F40" t="inlineStr">
        <is>
          <t>Considerando que R4 está en serie con el resto del circuito, ¿cómo afecta la resistencia adicional a la distribución de la corriente y, por lo tanto, a la tensión medida en el nodo entre R1 y R2?</t>
        </is>
      </c>
      <c r="G40" t="n">
        <v>4</v>
      </c>
      <c r="H40" t="n">
        <v>4</v>
      </c>
      <c r="I40" t="n">
        <v>4</v>
      </c>
      <c r="J40" t="n">
        <v>5</v>
      </c>
      <c r="K40" t="n">
        <v>17</v>
      </c>
      <c r="L40" t="n">
        <v>0.889</v>
      </c>
      <c r="M40" t="n">
        <v>47</v>
      </c>
      <c r="N40" t="n">
        <v>67.51000000000001</v>
      </c>
      <c r="O40" t="inlineStr"/>
      <c r="P40" t="inlineStr">
        <is>
          <t>AC1, AC9</t>
        </is>
      </c>
      <c r="Q40" t="n">
        <v>0</v>
      </c>
      <c r="R40" t="n">
        <v>1</v>
      </c>
      <c r="S40" t="n">
        <v>0</v>
      </c>
      <c r="T40" t="inlineStr"/>
      <c r="U40" t="inlineStr"/>
      <c r="V40" t="inlineStr"/>
      <c r="W40"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41">
      <c r="A41" t="n">
        <v>124</v>
      </c>
      <c r="B41" t="n">
        <v>42</v>
      </c>
      <c r="C41" t="n">
        <v>1</v>
      </c>
      <c r="D41" t="n">
        <v>1</v>
      </c>
      <c r="E41" t="inlineStr">
        <is>
          <t>R1 y R2 y R4 hacen un divisor de tensión, r3 no cuenta por estar en corto</t>
        </is>
      </c>
      <c r="F41" t="inlineStr">
        <is>
          <t>Si la corriente no puede fluir a través de R3 debido a un cortocircuito, ¿qué efecto tiene esto en la forma en que se distribuye el potencial entre N2 y tierra?</t>
        </is>
      </c>
      <c r="G41" t="n">
        <v>3</v>
      </c>
      <c r="H41" t="n">
        <v>3</v>
      </c>
      <c r="I41" t="n">
        <v>3</v>
      </c>
      <c r="J41" t="n">
        <v>5</v>
      </c>
      <c r="K41" t="n">
        <v>14</v>
      </c>
      <c r="L41" t="n">
        <v>1.07</v>
      </c>
      <c r="M41" t="n">
        <v>41</v>
      </c>
      <c r="N41" t="n">
        <v>56.06</v>
      </c>
      <c r="O41" t="inlineStr">
        <is>
          <t>AC1</t>
        </is>
      </c>
      <c r="P41" t="inlineStr">
        <is>
          <t>AC1, AC6, AC9</t>
        </is>
      </c>
      <c r="Q41" t="n">
        <v>0.333</v>
      </c>
      <c r="R41" t="n">
        <v>1</v>
      </c>
      <c r="S41" t="n">
        <v>0.5</v>
      </c>
      <c r="T41" t="inlineStr"/>
      <c r="U41" t="inlineStr"/>
      <c r="V41" t="inlineStr"/>
      <c r="W4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2">
      <c r="A42" t="n">
        <v>125</v>
      </c>
      <c r="B42" t="n">
        <v>42</v>
      </c>
      <c r="C42" t="n">
        <v>2</v>
      </c>
      <c r="D42" t="n">
        <v>1</v>
      </c>
      <c r="E42" t="inlineStr">
        <is>
          <t>No tengo en cuenta R3 porque el interruptor está cerrado</t>
        </is>
      </c>
      <c r="F42" t="inlineStr">
        <is>
          <t>Considerando que el interruptor permanece cerrado, ¿cómo influye la resistencia de R3 en la caída de tensión específica que observas entre N2 y tierra?</t>
        </is>
      </c>
      <c r="G42" t="n">
        <v>4</v>
      </c>
      <c r="H42" t="n">
        <v>4</v>
      </c>
      <c r="I42" t="n">
        <v>5</v>
      </c>
      <c r="J42" t="n">
        <v>5</v>
      </c>
      <c r="K42" t="n">
        <v>18</v>
      </c>
      <c r="L42" t="n">
        <v>0.732</v>
      </c>
      <c r="M42" t="n">
        <v>34</v>
      </c>
      <c r="N42" t="n">
        <v>81.98999999999999</v>
      </c>
      <c r="O42" t="inlineStr">
        <is>
          <t>AC1, AC9</t>
        </is>
      </c>
      <c r="P42" t="inlineStr">
        <is>
          <t>AC1, AC9</t>
        </is>
      </c>
      <c r="Q42" t="n">
        <v>1</v>
      </c>
      <c r="R42" t="n">
        <v>1</v>
      </c>
      <c r="S42" t="n">
        <v>1</v>
      </c>
      <c r="T42" t="inlineStr"/>
      <c r="U42" t="inlineStr"/>
      <c r="V42" t="inlineStr"/>
      <c r="W42"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43">
      <c r="A43" t="n">
        <v>126</v>
      </c>
      <c r="B43" t="n">
        <v>42</v>
      </c>
      <c r="C43" t="n">
        <v>3</v>
      </c>
      <c r="D43" t="n">
        <v>1</v>
      </c>
      <c r="E43" t="inlineStr">
        <is>
          <t>No tengo en cuenta R5 porque está en circuito abierto</t>
        </is>
      </c>
      <c r="F43" t="inlineStr">
        <is>
          <t>Si R5 está en circuito abierto, ¿cómo afectaría esto a la relación entre la corriente que fluye a través de R1 y R2 en el circuito?</t>
        </is>
      </c>
      <c r="G43" t="n">
        <v>3</v>
      </c>
      <c r="H43" t="n">
        <v>3</v>
      </c>
      <c r="I43" t="n">
        <v>5</v>
      </c>
      <c r="J43" t="n">
        <v>5</v>
      </c>
      <c r="K43" t="n">
        <v>16</v>
      </c>
      <c r="L43" t="n">
        <v>0.881</v>
      </c>
      <c r="M43" t="n">
        <v>35</v>
      </c>
      <c r="N43" t="n">
        <v>68.13</v>
      </c>
      <c r="O43" t="inlineStr">
        <is>
          <t>AC6, AC9</t>
        </is>
      </c>
      <c r="P43" t="inlineStr">
        <is>
          <t>AC1, AC9</t>
        </is>
      </c>
      <c r="Q43" t="n">
        <v>0.5</v>
      </c>
      <c r="R43" t="n">
        <v>0.5</v>
      </c>
      <c r="S43" t="n">
        <v>0.5</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40"/>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466</v>
      </c>
      <c r="B2" t="n">
        <v>156</v>
      </c>
      <c r="C2" t="n">
        <v>1</v>
      </c>
      <c r="D2" t="n">
        <v>1</v>
      </c>
      <c r="E2" t="inlineStr">
        <is>
          <t>R1 y R2 hacen un divisor de tensión</t>
        </is>
      </c>
      <c r="F2" t="inlineStr">
        <is>
          <t>Si consideras el camino completo desde la fuente de tensión hasta el nodo 0 (tierra), ¿qué otros elementos podrían estar influyendo en la corriente que fluye a través de R1 y R2?</t>
        </is>
      </c>
      <c r="G2" t="n">
        <v>3</v>
      </c>
      <c r="H2" t="n">
        <v>5</v>
      </c>
      <c r="I2" t="n">
        <v>4</v>
      </c>
      <c r="J2" t="n">
        <v>5</v>
      </c>
      <c r="K2" t="n">
        <v>17</v>
      </c>
      <c r="L2" t="n">
        <v>56.213</v>
      </c>
      <c r="M2" t="n">
        <v>44</v>
      </c>
      <c r="N2" t="n">
        <v>1.07</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3">
      <c r="A3" t="n">
        <v>467</v>
      </c>
      <c r="B3" t="n">
        <v>156</v>
      </c>
      <c r="C3" t="n">
        <v>2</v>
      </c>
      <c r="D3" t="n">
        <v>1</v>
      </c>
      <c r="E3" t="inlineStr">
        <is>
          <t>R1, R2, R3 y R4 porque R5 está cortocircuitada</t>
        </is>
      </c>
      <c r="F3" t="inlineStr">
        <is>
          <t>Si R5 está cortocircuitada, ¿cómo afecta esto a la corriente que circula por la rama que contiene a R4, y cómo podría simplificar el circuito para analizar el divisor de tensión formado por R1 y R2?</t>
        </is>
      </c>
      <c r="G3" t="n">
        <v>4</v>
      </c>
      <c r="H3" t="n">
        <v>3</v>
      </c>
      <c r="I3" t="n">
        <v>4</v>
      </c>
      <c r="J3" t="n">
        <v>5</v>
      </c>
      <c r="K3" t="n">
        <v>16</v>
      </c>
      <c r="L3" t="n">
        <v>1.781</v>
      </c>
      <c r="M3" t="n">
        <v>49</v>
      </c>
      <c r="N3" t="n">
        <v>33.69</v>
      </c>
      <c r="O3" t="inlineStr">
        <is>
          <t>AC1, AC6</t>
        </is>
      </c>
      <c r="P3" t="inlineStr">
        <is>
          <t>AC1, AC9</t>
        </is>
      </c>
      <c r="Q3" t="n">
        <v>0.5</v>
      </c>
      <c r="R3" t="n">
        <v>0.5</v>
      </c>
      <c r="S3" t="n">
        <v>0.5</v>
      </c>
      <c r="T3" t="inlineStr"/>
      <c r="U3" t="inlineStr"/>
      <c r="V3" t="inlineStr"/>
      <c r="W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4">
      <c r="A4" t="n">
        <v>468</v>
      </c>
      <c r="B4" t="n">
        <v>156</v>
      </c>
      <c r="C4" t="n">
        <v>3</v>
      </c>
      <c r="D4" t="n">
        <v>1</v>
      </c>
      <c r="E4" t="inlineStr">
        <is>
          <t>R1, R2, R3 y R4 porque por R5 no circula corriente</t>
        </is>
      </c>
      <c r="F4" t="inlineStr">
        <is>
          <t>Si no circula corriente por R5, ¿cómo impacta esto en el voltaje a través de R4 y, por consiguiente, en la corriente total que alimenta la combinación de R3 y R4?</t>
        </is>
      </c>
      <c r="G4" t="n">
        <v>3</v>
      </c>
      <c r="H4" t="n">
        <v>3</v>
      </c>
      <c r="I4" t="n">
        <v>4</v>
      </c>
      <c r="J4" t="n">
        <v>5</v>
      </c>
      <c r="K4" t="n">
        <v>15</v>
      </c>
      <c r="L4" t="n">
        <v>1.627</v>
      </c>
      <c r="M4" t="n">
        <v>43</v>
      </c>
      <c r="N4" t="n">
        <v>36.87</v>
      </c>
      <c r="O4" t="inlineStr">
        <is>
          <t>AC1, AC6</t>
        </is>
      </c>
      <c r="P4" t="inlineStr">
        <is>
          <t>AC1</t>
        </is>
      </c>
      <c r="Q4" t="n">
        <v>1</v>
      </c>
      <c r="R4" t="n">
        <v>0.5</v>
      </c>
      <c r="S4" t="n">
        <v>0.667</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469</v>
      </c>
      <c r="B5" t="n">
        <v>157</v>
      </c>
      <c r="C5" t="n">
        <v>1</v>
      </c>
      <c r="D5" t="n">
        <v>1</v>
      </c>
      <c r="E5" t="inlineStr">
        <is>
          <t>R1, R2, R3 y R4 porque R5 se quita</t>
        </is>
      </c>
      <c r="F5" t="inlineStr">
        <is>
          <t>Si observas detenidamente la conexión entre los nodos N2 y N3, ¿qué implicación tiene el interruptor abierto en la posible circulación de corriente a través de R3?</t>
        </is>
      </c>
      <c r="G5" t="n">
        <v>3</v>
      </c>
      <c r="H5" t="n">
        <v>4</v>
      </c>
      <c r="I5" t="n">
        <v>3</v>
      </c>
      <c r="J5" t="n">
        <v>5</v>
      </c>
      <c r="K5" t="n">
        <v>15</v>
      </c>
      <c r="L5" t="n">
        <v>1.583</v>
      </c>
      <c r="M5" t="n">
        <v>38</v>
      </c>
      <c r="N5" t="n">
        <v>37.91</v>
      </c>
      <c r="O5" t="inlineStr">
        <is>
          <t>AC1, AC6</t>
        </is>
      </c>
      <c r="P5" t="inlineStr">
        <is>
          <t>AC1</t>
        </is>
      </c>
      <c r="Q5" t="n">
        <v>1</v>
      </c>
      <c r="R5" t="n">
        <v>0.5</v>
      </c>
      <c r="S5" t="n">
        <v>0.667</v>
      </c>
      <c r="T5" t="inlineStr"/>
      <c r="U5" t="inlineStr"/>
      <c r="V5" t="inlineStr"/>
      <c r="W5"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6">
      <c r="A6" t="n">
        <v>470</v>
      </c>
      <c r="B6" t="n">
        <v>157</v>
      </c>
      <c r="C6" t="n">
        <v>2</v>
      </c>
      <c r="D6" t="n">
        <v>1</v>
      </c>
      <c r="E6" t="inlineStr">
        <is>
          <t>R1, R3 y R4 porque R2 está en paralelo con la fuente y R5 corctocircuitada</t>
        </is>
      </c>
      <c r="F6" t="inlineStr">
        <is>
          <t>Si R2 está en paralelo con la fuente, ¿cómo afectaría esto al voltaje a través de R2 en comparación con el voltaje de la fuente, y qué consecuencias tendría para la corriente que fluye a través de ella?</t>
        </is>
      </c>
      <c r="G6" t="n">
        <v>3</v>
      </c>
      <c r="H6" t="n">
        <v>3</v>
      </c>
      <c r="I6" t="n">
        <v>3</v>
      </c>
      <c r="J6" t="n">
        <v>5</v>
      </c>
      <c r="K6" t="n">
        <v>14</v>
      </c>
      <c r="L6" t="n">
        <v>1.902</v>
      </c>
      <c r="M6" t="n">
        <v>47</v>
      </c>
      <c r="N6" t="n">
        <v>31.55</v>
      </c>
      <c r="O6" t="inlineStr">
        <is>
          <t>AC1, AC6</t>
        </is>
      </c>
      <c r="P6" t="inlineStr">
        <is>
          <t>AC1</t>
        </is>
      </c>
      <c r="Q6" t="n">
        <v>1</v>
      </c>
      <c r="R6" t="n">
        <v>0.5</v>
      </c>
      <c r="S6" t="n">
        <v>0.667</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471</v>
      </c>
      <c r="B7" t="n">
        <v>157</v>
      </c>
      <c r="C7" t="n">
        <v>3</v>
      </c>
      <c r="D7" t="n">
        <v>1</v>
      </c>
      <c r="E7" t="inlineStr">
        <is>
          <t>R1, R4 y R5 porque R2 se elimina y R3 también</t>
        </is>
      </c>
      <c r="F7" t="inlineStr">
        <is>
          <t>Considerando que has eliminado R2 y R3 de tu análisis, ¿cómo describirías la configuración resultante del circuito: serie, paralelo o una combinación de ambas?</t>
        </is>
      </c>
      <c r="G7" t="n">
        <v>3</v>
      </c>
      <c r="H7" t="n">
        <v>3</v>
      </c>
      <c r="I7" t="n">
        <v>3</v>
      </c>
      <c r="J7" t="n">
        <v>5</v>
      </c>
      <c r="K7" t="n">
        <v>14</v>
      </c>
      <c r="L7" t="n">
        <v>1.626</v>
      </c>
      <c r="M7" t="n">
        <v>34</v>
      </c>
      <c r="N7" t="n">
        <v>36.9</v>
      </c>
      <c r="O7" t="inlineStr">
        <is>
          <t>AC1, AC6</t>
        </is>
      </c>
      <c r="P7" t="inlineStr"/>
      <c r="Q7" t="n">
        <v>1</v>
      </c>
      <c r="R7" t="n">
        <v>0</v>
      </c>
      <c r="S7" t="n">
        <v>0</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472</v>
      </c>
      <c r="B8" t="n">
        <v>158</v>
      </c>
      <c r="C8" t="n">
        <v>1</v>
      </c>
      <c r="D8" t="n">
        <v>1</v>
      </c>
      <c r="E8" t="inlineStr">
        <is>
          <t>R1 y R4 dado que R2 está en paralelo con la fuente, R3 en circuito abierto y R5 cortocircuitada</t>
        </is>
      </c>
      <c r="F8" t="inlineStr">
        <is>
          <t>Considerando que R2 está en paralelo con la fuente, ¿cómo afecta esta configuración a la corriente que fluye a través de R2 en comparación con la que podría fluir si estuviera en serie?</t>
        </is>
      </c>
      <c r="G8" t="n">
        <v>4</v>
      </c>
      <c r="H8" t="n">
        <v>3</v>
      </c>
      <c r="I8" t="n">
        <v>3</v>
      </c>
      <c r="J8" t="n">
        <v>5</v>
      </c>
      <c r="K8" t="n">
        <v>15</v>
      </c>
      <c r="L8" t="n">
        <v>1.871</v>
      </c>
      <c r="M8" t="n">
        <v>43</v>
      </c>
      <c r="N8" t="n">
        <v>32.07</v>
      </c>
      <c r="O8" t="inlineStr">
        <is>
          <t>AC1, AC6</t>
        </is>
      </c>
      <c r="P8" t="inlineStr">
        <is>
          <t>AC1</t>
        </is>
      </c>
      <c r="Q8" t="n">
        <v>1</v>
      </c>
      <c r="R8" t="n">
        <v>0.5</v>
      </c>
      <c r="S8" t="n">
        <v>0.667</v>
      </c>
      <c r="T8" t="inlineStr"/>
      <c r="U8" t="inlineStr"/>
      <c r="V8" t="inlineStr"/>
      <c r="W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9">
      <c r="A9" t="n">
        <v>473</v>
      </c>
      <c r="B9" t="n">
        <v>158</v>
      </c>
      <c r="C9" t="n">
        <v>2</v>
      </c>
      <c r="D9" t="n">
        <v>1</v>
      </c>
      <c r="E9" t="inlineStr">
        <is>
          <t>R1, R2 y R3 dado que R2 y R3 están en paralelo y forman un divisor de tensión con R1</t>
        </is>
      </c>
      <c r="F9" t="inlineStr">
        <is>
          <t>Si R2 y R3 están en paralelo, ¿cómo se compara el voltaje a través de R2 con el voltaje a través de R3, y cómo influye esto en la corriente que circula por cada resistor?</t>
        </is>
      </c>
      <c r="G9" t="n">
        <v>3</v>
      </c>
      <c r="H9" t="n">
        <v>3</v>
      </c>
      <c r="I9" t="n">
        <v>4</v>
      </c>
      <c r="J9" t="n">
        <v>5</v>
      </c>
      <c r="K9" t="n">
        <v>15</v>
      </c>
      <c r="L9" t="n">
        <v>1.811</v>
      </c>
      <c r="M9" t="n">
        <v>45</v>
      </c>
      <c r="N9" t="n">
        <v>33.14</v>
      </c>
      <c r="O9" t="inlineStr">
        <is>
          <t>AC1, AC9</t>
        </is>
      </c>
      <c r="P9" t="inlineStr">
        <is>
          <t>AC1</t>
        </is>
      </c>
      <c r="Q9" t="n">
        <v>1</v>
      </c>
      <c r="R9" t="n">
        <v>0.5</v>
      </c>
      <c r="S9" t="n">
        <v>0.667</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474</v>
      </c>
      <c r="B10" t="n">
        <v>158</v>
      </c>
      <c r="C10" t="n">
        <v>3</v>
      </c>
      <c r="D10" t="n">
        <v>1</v>
      </c>
      <c r="E10" t="inlineStr">
        <is>
          <t>R1, R2, R4 y R5 dado que R3 está en circuito abierto</t>
        </is>
      </c>
      <c r="F10" t="inlineStr">
        <is>
          <t>Si R3 está en circuito abierto, ¿cómo crees que esto afecta el flujo de corriente en el resto del circuito y, específicamente, en R4 y R5?</t>
        </is>
      </c>
      <c r="G10" t="n">
        <v>3</v>
      </c>
      <c r="H10" t="n">
        <v>3</v>
      </c>
      <c r="I10" t="n">
        <v>4</v>
      </c>
      <c r="J10" t="n">
        <v>5</v>
      </c>
      <c r="K10" t="n">
        <v>15</v>
      </c>
      <c r="L10" t="n">
        <v>1.726</v>
      </c>
      <c r="M10" t="n">
        <v>36</v>
      </c>
      <c r="N10" t="n">
        <v>34.76</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475</v>
      </c>
      <c r="B11" t="n">
        <v>159</v>
      </c>
      <c r="C11" t="n">
        <v>1</v>
      </c>
      <c r="D11" t="n">
        <v>1</v>
      </c>
      <c r="E11" t="inlineStr">
        <is>
          <t>R1, R2, R4 y R5 dado que R3 sobra</t>
        </is>
      </c>
      <c r="F11" t="inlineStr">
        <is>
          <t>Si observas cuidadosamente la conexión entre los nodos N1 y N3, ¿qué implicación tiene esa conexión para la corriente que podría fluir a través de R5?</t>
        </is>
      </c>
      <c r="G11" t="n">
        <v>3</v>
      </c>
      <c r="H11" t="n">
        <v>3</v>
      </c>
      <c r="I11" t="n">
        <v>3</v>
      </c>
      <c r="J11" t="n">
        <v>5</v>
      </c>
      <c r="K11" t="n">
        <v>14</v>
      </c>
      <c r="L11" t="n">
        <v>1.589</v>
      </c>
      <c r="M11" t="n">
        <v>36</v>
      </c>
      <c r="N11" t="n">
        <v>37.76</v>
      </c>
      <c r="O11" t="inlineStr">
        <is>
          <t>AC1, AC6</t>
        </is>
      </c>
      <c r="P11" t="inlineStr">
        <is>
          <t>AC1</t>
        </is>
      </c>
      <c r="Q11" t="n">
        <v>1</v>
      </c>
      <c r="R11" t="n">
        <v>0.5</v>
      </c>
      <c r="S11" t="n">
        <v>0.667</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476</v>
      </c>
      <c r="B12" t="n">
        <v>159</v>
      </c>
      <c r="C12" t="n">
        <v>2</v>
      </c>
      <c r="D12" t="n">
        <v>1</v>
      </c>
      <c r="E12" t="inlineStr">
        <is>
          <t>R1, R2, R4 y R5 dado que R3 no hace nada</t>
        </is>
      </c>
      <c r="F12" t="inlineStr">
        <is>
          <t>Si R3 no participa en el circuito, ¿cómo describirías su rol en términos de la trayectoria que sigue la corriente eléctrica desde la fuente de voltaje?</t>
        </is>
      </c>
      <c r="G12" t="n">
        <v>3</v>
      </c>
      <c r="H12" t="n">
        <v>3</v>
      </c>
      <c r="I12" t="n">
        <v>3</v>
      </c>
      <c r="J12" t="n">
        <v>5</v>
      </c>
      <c r="K12" t="n">
        <v>14</v>
      </c>
      <c r="L12" t="n">
        <v>1.691</v>
      </c>
      <c r="M12" t="n">
        <v>32</v>
      </c>
      <c r="N12" t="n">
        <v>35.49</v>
      </c>
      <c r="O12" t="inlineStr">
        <is>
          <t>AC1, AC6</t>
        </is>
      </c>
      <c r="P12" t="inlineStr">
        <is>
          <t>AC1, AC9</t>
        </is>
      </c>
      <c r="Q12" t="n">
        <v>0.5</v>
      </c>
      <c r="R12" t="n">
        <v>0.5</v>
      </c>
      <c r="S12" t="n">
        <v>0.5</v>
      </c>
      <c r="T12" t="inlineStr"/>
      <c r="U12" t="inlineStr"/>
      <c r="V12" t="inlineStr"/>
      <c r="W1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3">
      <c r="A13" t="n">
        <v>477</v>
      </c>
      <c r="B13" t="n">
        <v>159</v>
      </c>
      <c r="C13" t="n">
        <v>3</v>
      </c>
      <c r="D13" t="n">
        <v>1</v>
      </c>
      <c r="E13" t="inlineStr">
        <is>
          <t>R1, R2 y R4 dado que son las resistencias que forman parte del circuito.</t>
        </is>
      </c>
      <c r="F13" t="inlineStr">
        <is>
          <t>Considerando que la corriente siempre busca el camino de menor resistencia, ¿podrías explicar cómo la presencia de R5, incluso si parece tener un valor alto, podría afectar el flujo de corriente en el circuito?</t>
        </is>
      </c>
      <c r="G13" t="n">
        <v>3</v>
      </c>
      <c r="H13" t="n">
        <v>4</v>
      </c>
      <c r="I13" t="n">
        <v>3</v>
      </c>
      <c r="J13" t="n">
        <v>5</v>
      </c>
      <c r="K13" t="n">
        <v>15</v>
      </c>
      <c r="L13" t="n">
        <v>1.802</v>
      </c>
      <c r="M13" t="n">
        <v>44</v>
      </c>
      <c r="N13" t="n">
        <v>33.3</v>
      </c>
      <c r="O13" t="inlineStr"/>
      <c r="P13" t="inlineStr">
        <is>
          <t>AC1, AC9</t>
        </is>
      </c>
      <c r="Q13" t="n">
        <v>0</v>
      </c>
      <c r="R13" t="n">
        <v>1</v>
      </c>
      <c r="S13" t="n">
        <v>0</v>
      </c>
      <c r="T13" t="inlineStr"/>
      <c r="U13" t="inlineStr"/>
      <c r="V13" t="inlineStr"/>
      <c r="W13" t="inlineStr">
        <is>
          <t>Socraticidad 3/5 (Clarificación): Clarificación: pide que el alumno explique su razonamiento. Precisión Conceptual 4/5 (Bueno): Bueno: identifica claramente la concepción alternativa con lenguaje técnico preciso. Buen desempeño general; hay margen de mejora en profundidad socrática.</t>
        </is>
      </c>
    </row>
    <row r="14">
      <c r="A14" t="n">
        <v>478</v>
      </c>
      <c r="B14" t="n">
        <v>160</v>
      </c>
      <c r="C14" t="n">
        <v>1</v>
      </c>
      <c r="D14" t="n">
        <v>1</v>
      </c>
      <c r="E14" t="inlineStr">
        <is>
          <t>R1, R2 y R4 dado que R2 y R4 están en paralelo y forma un divisor de tensión con R1.</t>
        </is>
      </c>
      <c r="F14" t="inlineStr">
        <is>
          <t>Considerando que el interruptor entre N2 y N3 está abierto, ¿cómo afecta esto al flujo de corriente a través de la resistencia conectada a ese nodo?</t>
        </is>
      </c>
      <c r="G14" t="n">
        <v>4</v>
      </c>
      <c r="H14" t="n">
        <v>4</v>
      </c>
      <c r="I14" t="n">
        <v>3</v>
      </c>
      <c r="J14" t="n">
        <v>5</v>
      </c>
      <c r="K14" t="n">
        <v>16</v>
      </c>
      <c r="L14" t="n">
        <v>1.661</v>
      </c>
      <c r="M14" t="n">
        <v>35</v>
      </c>
      <c r="N14" t="n">
        <v>36.13</v>
      </c>
      <c r="O14" t="inlineStr"/>
      <c r="P14" t="inlineStr">
        <is>
          <t>AC1</t>
        </is>
      </c>
      <c r="Q14" t="n">
        <v>0</v>
      </c>
      <c r="R14" t="n">
        <v>1</v>
      </c>
      <c r="S14" t="n">
        <v>0</v>
      </c>
      <c r="T14" t="inlineStr"/>
      <c r="U14" t="inlineStr"/>
      <c r="V14" t="inlineStr"/>
      <c r="W14"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15">
      <c r="A15" t="n">
        <v>479</v>
      </c>
      <c r="B15" t="n">
        <v>160</v>
      </c>
      <c r="C15" t="n">
        <v>2</v>
      </c>
      <c r="D15" t="n">
        <v>1</v>
      </c>
      <c r="E15" t="inlineStr">
        <is>
          <t>R1, R2 y R4 dado que R3 está en abierto y R5 cortocircuitada</t>
        </is>
      </c>
      <c r="F15" t="inlineStr">
        <is>
          <t>Si R5 está en cortocircuito, ¿cómo impacta esto en la diferencia de potencial a través de ella y, consecuentemente, en el potencial del nodo donde se conecta?</t>
        </is>
      </c>
      <c r="G15" t="n">
        <v>3</v>
      </c>
      <c r="H15" t="n">
        <v>4</v>
      </c>
      <c r="I15" t="n">
        <v>3</v>
      </c>
      <c r="J15" t="n">
        <v>5</v>
      </c>
      <c r="K15" t="n">
        <v>15</v>
      </c>
      <c r="L15" t="n">
        <v>1.82</v>
      </c>
      <c r="M15" t="n">
        <v>39</v>
      </c>
      <c r="N15" t="n">
        <v>32.96</v>
      </c>
      <c r="O15" t="inlineStr">
        <is>
          <t>AC1, AC6</t>
        </is>
      </c>
      <c r="P15" t="inlineStr">
        <is>
          <t>AC6</t>
        </is>
      </c>
      <c r="Q15" t="n">
        <v>1</v>
      </c>
      <c r="R15" t="n">
        <v>0.5</v>
      </c>
      <c r="S15" t="n">
        <v>0.667</v>
      </c>
      <c r="T15" t="inlineStr"/>
      <c r="U15" t="inlineStr"/>
      <c r="V15" t="inlineStr"/>
      <c r="W15"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6">
      <c r="A16" t="n">
        <v>480</v>
      </c>
      <c r="B16" t="n">
        <v>160</v>
      </c>
      <c r="C16" t="n">
        <v>3</v>
      </c>
      <c r="D16" t="n">
        <v>1</v>
      </c>
      <c r="E16" t="inlineStr">
        <is>
          <t>R1, R2 y R4 dado que solo por estas resistencias circula una corriente diferente de cero</t>
        </is>
      </c>
      <c r="F16" t="inlineStr">
        <is>
          <t>Considerando que R2 y R4 están en paralelo, ¿cómo se relaciona su resistencia equivalente con la corriente total que fluye desde la fuente en comparación con la corriente a través de R1?</t>
        </is>
      </c>
      <c r="G16" t="n">
        <v>3</v>
      </c>
      <c r="H16" t="n">
        <v>4</v>
      </c>
      <c r="I16" t="n">
        <v>5</v>
      </c>
      <c r="J16" t="n">
        <v>5</v>
      </c>
      <c r="K16" t="n">
        <v>17</v>
      </c>
      <c r="L16" t="n">
        <v>1.8</v>
      </c>
      <c r="M16" t="n">
        <v>41</v>
      </c>
      <c r="N16" t="n">
        <v>33.33</v>
      </c>
      <c r="O16" t="inlineStr"/>
      <c r="P16" t="inlineStr">
        <is>
          <t>AC1</t>
        </is>
      </c>
      <c r="Q16" t="n">
        <v>0</v>
      </c>
      <c r="R16" t="n">
        <v>1</v>
      </c>
      <c r="S16" t="n">
        <v>0</v>
      </c>
      <c r="T16" t="inlineStr"/>
      <c r="U16" t="inlineStr"/>
      <c r="V16" t="inlineStr"/>
      <c r="W16"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17">
      <c r="A17" t="n">
        <v>481</v>
      </c>
      <c r="B17" t="n">
        <v>161</v>
      </c>
      <c r="C17" t="n">
        <v>1</v>
      </c>
      <c r="D17" t="n">
        <v>1</v>
      </c>
      <c r="E17" t="inlineStr">
        <is>
          <t>R1, R2 y R4 dado que por R3 y por R5 no circula corriente</t>
        </is>
      </c>
      <c r="F17" t="inlineStr">
        <is>
          <t>Si consideramos los nodos conectados a R5, ¿qué puedes deducir sobre el potencial eléctrico en esos puntos y cómo afecta esto a la corriente que podría circular por esa resistencia?</t>
        </is>
      </c>
      <c r="G17" t="n">
        <v>3</v>
      </c>
      <c r="H17" t="n">
        <v>3</v>
      </c>
      <c r="I17" t="n">
        <v>3</v>
      </c>
      <c r="J17" t="n">
        <v>5</v>
      </c>
      <c r="K17" t="n">
        <v>14</v>
      </c>
      <c r="L17" t="n">
        <v>1.819</v>
      </c>
      <c r="M17" t="n">
        <v>37</v>
      </c>
      <c r="N17" t="n">
        <v>32.99</v>
      </c>
      <c r="O17" t="inlineStr">
        <is>
          <t>AC1, AC6</t>
        </is>
      </c>
      <c r="P17" t="inlineStr">
        <is>
          <t>AC1</t>
        </is>
      </c>
      <c r="Q17" t="n">
        <v>1</v>
      </c>
      <c r="R17" t="n">
        <v>0.5</v>
      </c>
      <c r="S17" t="n">
        <v>0.667</v>
      </c>
      <c r="T17" t="inlineStr"/>
      <c r="U17" t="inlineStr"/>
      <c r="V17" t="inlineStr"/>
      <c r="W1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8">
      <c r="A18" t="n">
        <v>482</v>
      </c>
      <c r="B18" t="n">
        <v>161</v>
      </c>
      <c r="C18" t="n">
        <v>2</v>
      </c>
      <c r="D18" t="n">
        <v>1</v>
      </c>
      <c r="E18" t="inlineStr">
        <is>
          <t>R1, R2 y R4 dado que R3 y R5 se pueden quitar</t>
        </is>
      </c>
      <c r="F18" t="inlineStr">
        <is>
          <t>Si R3 y R5 no tienen corriente circulando, ¿cómo describirías su función en el circuito equivalente simplificado y qué implicaciones tiene esto para el cálculo de la resistencia total?</t>
        </is>
      </c>
      <c r="G18" t="n">
        <v>3</v>
      </c>
      <c r="H18" t="n">
        <v>3</v>
      </c>
      <c r="I18" t="n">
        <v>3</v>
      </c>
      <c r="J18" t="n">
        <v>5</v>
      </c>
      <c r="K18" t="n">
        <v>14</v>
      </c>
      <c r="L18" t="n">
        <v>1.741</v>
      </c>
      <c r="M18" t="n">
        <v>39</v>
      </c>
      <c r="N18" t="n">
        <v>34.46</v>
      </c>
      <c r="O18" t="inlineStr">
        <is>
          <t>AC1, AC6</t>
        </is>
      </c>
      <c r="P18" t="inlineStr">
        <is>
          <t>AC1</t>
        </is>
      </c>
      <c r="Q18" t="n">
        <v>1</v>
      </c>
      <c r="R18" t="n">
        <v>0.5</v>
      </c>
      <c r="S18" t="n">
        <v>0.667</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483</v>
      </c>
      <c r="B19" t="n">
        <v>161</v>
      </c>
      <c r="C19" t="n">
        <v>3</v>
      </c>
      <c r="D19" t="n">
        <v>1</v>
      </c>
      <c r="E19" t="inlineStr">
        <is>
          <t>R1, R2 y R4 dado que R3 y R5 no influyen para nada en la diferencia de potencial que se pide</t>
        </is>
      </c>
      <c r="F19" t="inlineStr">
        <is>
          <t>Si R3 y R5 no influyen en la diferencia de potencial, ¿cómo describirías la configuración de estos componentes en relación con el resto del circuito y qué tipo de conexión eléctrica presentan?</t>
        </is>
      </c>
      <c r="G19" t="n">
        <v>3</v>
      </c>
      <c r="H19" t="n">
        <v>2</v>
      </c>
      <c r="I19" t="n">
        <v>3</v>
      </c>
      <c r="J19" t="n">
        <v>5</v>
      </c>
      <c r="K19" t="n">
        <v>13</v>
      </c>
      <c r="L19" t="n">
        <v>1.916</v>
      </c>
      <c r="M19" t="n">
        <v>40</v>
      </c>
      <c r="N19" t="n">
        <v>31.32</v>
      </c>
      <c r="O19" t="inlineStr">
        <is>
          <t>AC1, AC6</t>
        </is>
      </c>
      <c r="P19" t="inlineStr"/>
      <c r="Q19" t="n">
        <v>1</v>
      </c>
      <c r="R19" t="n">
        <v>0</v>
      </c>
      <c r="S19" t="n">
        <v>0</v>
      </c>
      <c r="T19" t="inlineStr"/>
      <c r="U19" t="inlineStr"/>
      <c r="V19" t="inlineStr"/>
      <c r="W1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0">
      <c r="A20" t="n">
        <v>484</v>
      </c>
      <c r="B20" t="n">
        <v>162</v>
      </c>
      <c r="C20" t="n">
        <v>1</v>
      </c>
      <c r="D20" t="n">
        <v>1</v>
      </c>
      <c r="E20" t="inlineStr">
        <is>
          <t>R1, R2 y R4 dado que R3 y R5 sobran</t>
        </is>
      </c>
      <c r="F20" t="inlineStr">
        <is>
          <t>Si observas cuidadosamente la descripción del circuito, ¿qué condición eléctrica particular presentan los terminales de R5 que podría afectar su contribución al flujo de corriente?</t>
        </is>
      </c>
      <c r="G20" t="n">
        <v>3</v>
      </c>
      <c r="H20" t="n">
        <v>2</v>
      </c>
      <c r="I20" t="n">
        <v>3</v>
      </c>
      <c r="J20" t="n">
        <v>5</v>
      </c>
      <c r="K20" t="n">
        <v>13</v>
      </c>
      <c r="L20" t="n">
        <v>1.562</v>
      </c>
      <c r="M20" t="n">
        <v>34</v>
      </c>
      <c r="N20" t="n">
        <v>38.42</v>
      </c>
      <c r="O20" t="inlineStr">
        <is>
          <t>AC1, AC6</t>
        </is>
      </c>
      <c r="P20" t="inlineStr">
        <is>
          <t>AC1, AC6</t>
        </is>
      </c>
      <c r="Q20" t="n">
        <v>1</v>
      </c>
      <c r="R20" t="n">
        <v>1</v>
      </c>
      <c r="S20" t="n">
        <v>1</v>
      </c>
      <c r="T20" t="inlineStr"/>
      <c r="U20" t="inlineStr"/>
      <c r="V20" t="inlineStr"/>
      <c r="W2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1">
      <c r="A21" t="n">
        <v>485</v>
      </c>
      <c r="B21" t="n">
        <v>162</v>
      </c>
      <c r="C21" t="n">
        <v>2</v>
      </c>
      <c r="D21" t="n">
        <v>1</v>
      </c>
      <c r="E21" t="inlineStr">
        <is>
          <t>R1, R2 y R4 dado que R3 sobra</t>
        </is>
      </c>
      <c r="F21" t="inlineStr">
        <is>
          <t>Si R3 no está en el camino del flujo de corriente principal, ¿cómo describirías su relación eléctrica con los demás componentes en términos de nodos y posibles caminos alternativos para la corriente?</t>
        </is>
      </c>
      <c r="G21" t="n">
        <v>3</v>
      </c>
      <c r="H21" t="n">
        <v>3</v>
      </c>
      <c r="I21" t="n">
        <v>3</v>
      </c>
      <c r="J21" t="n">
        <v>5</v>
      </c>
      <c r="K21" t="n">
        <v>14</v>
      </c>
      <c r="L21" t="n">
        <v>1.691</v>
      </c>
      <c r="M21" t="n">
        <v>39</v>
      </c>
      <c r="N21" t="n">
        <v>35.49</v>
      </c>
      <c r="O21" t="inlineStr">
        <is>
          <t>AC1</t>
        </is>
      </c>
      <c r="P21" t="inlineStr">
        <is>
          <t>AC1, AC9</t>
        </is>
      </c>
      <c r="Q21" t="n">
        <v>0.5</v>
      </c>
      <c r="R21" t="n">
        <v>1</v>
      </c>
      <c r="S21" t="n">
        <v>0.667</v>
      </c>
      <c r="T21" t="inlineStr"/>
      <c r="U21" t="inlineStr"/>
      <c r="V21" t="inlineStr"/>
      <c r="W2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2">
      <c r="A22" t="n">
        <v>486</v>
      </c>
      <c r="B22" t="n">
        <v>162</v>
      </c>
      <c r="C22" t="n">
        <v>3</v>
      </c>
      <c r="D22" t="n">
        <v>1</v>
      </c>
      <c r="E22" t="inlineStr">
        <is>
          <t>R1, R2 y R4 dado que R5 sobra</t>
        </is>
      </c>
      <c r="F22" t="inlineStr">
        <is>
          <t>Considerando que has eliminado componentes, ¿cómo afectaría la eliminación de R5 la resistencia total equivalente del circuito y, por lo tanto, la corriente total que fluye desde la fuente?</t>
        </is>
      </c>
      <c r="G22" t="n">
        <v>3</v>
      </c>
      <c r="H22" t="n">
        <v>3</v>
      </c>
      <c r="I22" t="n">
        <v>3</v>
      </c>
      <c r="J22" t="n">
        <v>5</v>
      </c>
      <c r="K22" t="n">
        <v>14</v>
      </c>
      <c r="L22" t="n">
        <v>1.471</v>
      </c>
      <c r="M22" t="n">
        <v>39</v>
      </c>
      <c r="N22" t="n">
        <v>40.79</v>
      </c>
      <c r="O22" t="inlineStr">
        <is>
          <t>AC6</t>
        </is>
      </c>
      <c r="P22" t="inlineStr">
        <is>
          <t>AC1, AC9</t>
        </is>
      </c>
      <c r="Q22" t="n">
        <v>0</v>
      </c>
      <c r="R22" t="n">
        <v>0</v>
      </c>
      <c r="S22" t="n">
        <v>0</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487</v>
      </c>
      <c r="B23" t="n">
        <v>163</v>
      </c>
      <c r="C23" t="n">
        <v>1</v>
      </c>
      <c r="D23" t="n">
        <v>1</v>
      </c>
      <c r="E23" t="inlineStr">
        <is>
          <t>R1, R2 y R4 dado que R3 está en abierto</t>
        </is>
      </c>
      <c r="F23" t="inlineStr">
        <is>
          <t>Considerando que el interruptor entre N2 y N3 está abierto, ¿qué implicación tiene esto para el flujo de corriente en la rama que contiene a R3?</t>
        </is>
      </c>
      <c r="G23" t="n">
        <v>3</v>
      </c>
      <c r="H23" t="n">
        <v>5</v>
      </c>
      <c r="I23" t="n">
        <v>3</v>
      </c>
      <c r="J23" t="n">
        <v>5</v>
      </c>
      <c r="K23" t="n">
        <v>16</v>
      </c>
      <c r="L23" t="n">
        <v>1.398</v>
      </c>
      <c r="M23" t="n">
        <v>37</v>
      </c>
      <c r="N23" t="n">
        <v>42.9</v>
      </c>
      <c r="O23" t="inlineStr">
        <is>
          <t>AC1</t>
        </is>
      </c>
      <c r="P23" t="inlineStr">
        <is>
          <t>AC1</t>
        </is>
      </c>
      <c r="Q23" t="n">
        <v>1</v>
      </c>
      <c r="R23" t="n">
        <v>1</v>
      </c>
      <c r="S23" t="n">
        <v>1</v>
      </c>
      <c r="T23" t="inlineStr"/>
      <c r="U23" t="inlineStr"/>
      <c r="V23" t="inlineStr"/>
      <c r="W23"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24">
      <c r="A24" t="n">
        <v>488</v>
      </c>
      <c r="B24" t="n">
        <v>163</v>
      </c>
      <c r="C24" t="n">
        <v>2</v>
      </c>
      <c r="D24" t="n">
        <v>1</v>
      </c>
      <c r="E24" t="inlineStr">
        <is>
          <t>R1, R2 y R4 dado que  R5 cortocircuitada</t>
        </is>
      </c>
      <c r="F24" t="inlineStr">
        <is>
          <t>Si R5 está en cortocircuito, ¿cómo afecta esta condición a la diferencia de potencial a través de ella y, por consiguiente, a la corriente que fluye por las demás resistencias en el circuito?</t>
        </is>
      </c>
      <c r="G24" t="n">
        <v>4</v>
      </c>
      <c r="H24" t="n">
        <v>4</v>
      </c>
      <c r="I24" t="n">
        <v>3</v>
      </c>
      <c r="J24" t="n">
        <v>5</v>
      </c>
      <c r="K24" t="n">
        <v>16</v>
      </c>
      <c r="L24" t="n">
        <v>1.797</v>
      </c>
      <c r="M24" t="n">
        <v>44</v>
      </c>
      <c r="N24" t="n">
        <v>33.38</v>
      </c>
      <c r="O24" t="inlineStr">
        <is>
          <t>AC6</t>
        </is>
      </c>
      <c r="P24" t="inlineStr">
        <is>
          <t>AC1, AC6, AC9</t>
        </is>
      </c>
      <c r="Q24" t="n">
        <v>0.333</v>
      </c>
      <c r="R24" t="n">
        <v>1</v>
      </c>
      <c r="S24" t="n">
        <v>0.5</v>
      </c>
      <c r="T24" t="inlineStr"/>
      <c r="U24" t="inlineStr"/>
      <c r="V24" t="inlineStr"/>
      <c r="W24"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5">
      <c r="A25" t="n">
        <v>489</v>
      </c>
      <c r="B25" t="n">
        <v>163</v>
      </c>
      <c r="C25" t="n">
        <v>3</v>
      </c>
      <c r="D25" t="n">
        <v>1</v>
      </c>
      <c r="E25" t="inlineStr">
        <is>
          <t>R1, R2 y R4 dado que por R3 no circula corriente</t>
        </is>
      </c>
      <c r="F25" t="inlineStr">
        <is>
          <t>Si no circula corriente por R3, ¿cómo describirías el estado de voltaje en sus terminales y cómo esto afecta la configuración general del circuito, considerando los nodos conectados a R2 y R4?</t>
        </is>
      </c>
      <c r="G25" t="n">
        <v>3</v>
      </c>
      <c r="H25" t="n">
        <v>4</v>
      </c>
      <c r="I25" t="n">
        <v>4</v>
      </c>
      <c r="J25" t="n">
        <v>5</v>
      </c>
      <c r="K25" t="n">
        <v>16</v>
      </c>
      <c r="L25" t="n">
        <v>1.874</v>
      </c>
      <c r="M25" t="n">
        <v>42</v>
      </c>
      <c r="N25" t="n">
        <v>32.01</v>
      </c>
      <c r="O25" t="inlineStr">
        <is>
          <t>AC1</t>
        </is>
      </c>
      <c r="P25" t="inlineStr">
        <is>
          <t>AC1, AC6</t>
        </is>
      </c>
      <c r="Q25" t="n">
        <v>0.5</v>
      </c>
      <c r="R25" t="n">
        <v>1</v>
      </c>
      <c r="S25" t="n">
        <v>0.667</v>
      </c>
      <c r="T25" t="inlineStr"/>
      <c r="U25" t="inlineStr"/>
      <c r="V25" t="inlineStr"/>
      <c r="W25"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6">
      <c r="A26" t="n">
        <v>490</v>
      </c>
      <c r="B26" t="n">
        <v>164</v>
      </c>
      <c r="C26" t="n">
        <v>1</v>
      </c>
      <c r="D26" t="n">
        <v>1</v>
      </c>
      <c r="E26" t="inlineStr">
        <is>
          <t>R1, R2 y R4 dado que por  R5 no circula corriente</t>
        </is>
      </c>
      <c r="F26" t="inlineStr">
        <is>
          <t>Si observas detenidamente la conexión de R5 en el netlist, ¿qué relación de potencial eléctrico existe entre sus terminales?</t>
        </is>
      </c>
      <c r="G26" t="n">
        <v>3</v>
      </c>
      <c r="H26" t="n">
        <v>2</v>
      </c>
      <c r="I26" t="n">
        <v>3</v>
      </c>
      <c r="J26" t="n">
        <v>5</v>
      </c>
      <c r="K26" t="n">
        <v>13</v>
      </c>
      <c r="L26" t="n">
        <v>1.458</v>
      </c>
      <c r="M26" t="n">
        <v>28</v>
      </c>
      <c r="N26" t="n">
        <v>41.16</v>
      </c>
      <c r="O26" t="inlineStr">
        <is>
          <t>AC6</t>
        </is>
      </c>
      <c r="P26" t="inlineStr">
        <is>
          <t>AC6</t>
        </is>
      </c>
      <c r="Q26" t="n">
        <v>1</v>
      </c>
      <c r="R26" t="n">
        <v>1</v>
      </c>
      <c r="S26" t="n">
        <v>1</v>
      </c>
      <c r="T26" t="inlineStr"/>
      <c r="U26" t="inlineStr"/>
      <c r="V26" t="inlineStr"/>
      <c r="W2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7">
      <c r="A27" t="n">
        <v>491</v>
      </c>
      <c r="B27" t="n">
        <v>164</v>
      </c>
      <c r="C27" t="n">
        <v>2</v>
      </c>
      <c r="D27" t="n">
        <v>1</v>
      </c>
      <c r="E27" t="inlineStr">
        <is>
          <t>R1, R2 y R4 dado que R3 se puede quitar</t>
        </is>
      </c>
      <c r="F27" t="inlineStr">
        <is>
          <t>Si R3 fuera removido del circuito, ¿cómo cambiaría la trayectoria de la corriente que originalmente fluía a través de él y qué implicaciones tendría esto para el nodo donde se conectaba?</t>
        </is>
      </c>
      <c r="G27" t="n">
        <v>3</v>
      </c>
      <c r="H27" t="n">
        <v>3</v>
      </c>
      <c r="I27" t="n">
        <v>3</v>
      </c>
      <c r="J27" t="n">
        <v>5</v>
      </c>
      <c r="K27" t="n">
        <v>14</v>
      </c>
      <c r="L27" t="n">
        <v>1.82</v>
      </c>
      <c r="M27" t="n">
        <v>41</v>
      </c>
      <c r="N27" t="n">
        <v>32.97</v>
      </c>
      <c r="O27" t="inlineStr">
        <is>
          <t>AC1</t>
        </is>
      </c>
      <c r="P27" t="inlineStr">
        <is>
          <t>AC1</t>
        </is>
      </c>
      <c r="Q27" t="n">
        <v>1</v>
      </c>
      <c r="R27" t="n">
        <v>1</v>
      </c>
      <c r="S27" t="n">
        <v>1</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492</v>
      </c>
      <c r="B28" t="n">
        <v>164</v>
      </c>
      <c r="C28" t="n">
        <v>3</v>
      </c>
      <c r="D28" t="n">
        <v>1</v>
      </c>
      <c r="E28" t="inlineStr">
        <is>
          <t>R1, R2 y R4 dado que R5 se puede quitar</t>
        </is>
      </c>
      <c r="F28" t="inlineStr">
        <is>
          <t>Si R5 se eliminara del circuito, ¿cómo afectaría esto a la resistencia total equivalente vista por la fuente de voltaje y, por consiguiente, a la corriente total que circula?</t>
        </is>
      </c>
      <c r="G28" t="n">
        <v>3</v>
      </c>
      <c r="H28" t="n">
        <v>3</v>
      </c>
      <c r="I28" t="n">
        <v>3</v>
      </c>
      <c r="J28" t="n">
        <v>5</v>
      </c>
      <c r="K28" t="n">
        <v>14</v>
      </c>
      <c r="L28" t="n">
        <v>1.739</v>
      </c>
      <c r="M28" t="n">
        <v>39</v>
      </c>
      <c r="N28" t="n">
        <v>34.49</v>
      </c>
      <c r="O28" t="inlineStr">
        <is>
          <t>AC6</t>
        </is>
      </c>
      <c r="P28" t="inlineStr">
        <is>
          <t>AC1</t>
        </is>
      </c>
      <c r="Q28" t="n">
        <v>0</v>
      </c>
      <c r="R28" t="n">
        <v>0</v>
      </c>
      <c r="S28" t="n">
        <v>0</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493</v>
      </c>
      <c r="B29" t="n">
        <v>165</v>
      </c>
      <c r="C29" t="n">
        <v>1</v>
      </c>
      <c r="D29" t="n">
        <v>1</v>
      </c>
      <c r="E29" t="inlineStr">
        <is>
          <t>R1, R2 y R4 dado que R3 no influye para nada en la diferencia de potencial que se pide</t>
        </is>
      </c>
      <c r="F29" t="inlineStr">
        <is>
          <t>Considerando el estado del interruptor entre N2 y N3, ¿cómo afecta esto al flujo de corriente a través de R3 y, por lo tanto, a su contribución a la diferencia de potencial en N2?</t>
        </is>
      </c>
      <c r="G29" t="n">
        <v>4</v>
      </c>
      <c r="H29" t="n">
        <v>5</v>
      </c>
      <c r="I29" t="n">
        <v>3</v>
      </c>
      <c r="J29" t="n">
        <v>5</v>
      </c>
      <c r="K29" t="n">
        <v>17</v>
      </c>
      <c r="L29" t="n">
        <v>1.739</v>
      </c>
      <c r="M29" t="n">
        <v>47</v>
      </c>
      <c r="N29" t="n">
        <v>34.49</v>
      </c>
      <c r="O29" t="inlineStr">
        <is>
          <t>AC1</t>
        </is>
      </c>
      <c r="P29" t="inlineStr">
        <is>
          <t>AC1</t>
        </is>
      </c>
      <c r="Q29" t="n">
        <v>1</v>
      </c>
      <c r="R29" t="n">
        <v>1</v>
      </c>
      <c r="S29" t="n">
        <v>1</v>
      </c>
      <c r="T29" t="inlineStr"/>
      <c r="U29" t="inlineStr"/>
      <c r="V29" t="inlineStr"/>
      <c r="W29" t="inlineStr">
        <is>
          <t>Socraticidad 4/5 (Andamiaje para detección): Andamiaje para detección: identifica el área del error y plantea pregunta que confronta con la teoría. Precisión Conceptual 5/5 (Excelente): Excelente: identifica la concepción alternativa específica y la conecta con la topología del circuito. Tutor de alto rendimiento: guía socrática experta con diagnóstico preciso.</t>
        </is>
      </c>
    </row>
    <row r="30">
      <c r="A30" t="n">
        <v>494</v>
      </c>
      <c r="B30" t="n">
        <v>165</v>
      </c>
      <c r="C30" t="n">
        <v>2</v>
      </c>
      <c r="D30" t="n">
        <v>1</v>
      </c>
      <c r="E30" t="inlineStr">
        <is>
          <t>R1, R2 y R4 dado que R5 no influye para nada en la diferencia de potencial que se pide</t>
        </is>
      </c>
      <c r="F30" t="inlineStr">
        <is>
          <t>Si R5 no está en el camino de la corriente entre el punto donde se mide el potencial y el nodo de referencia, ¿cómo describirías su rol en el circuito en términos de corriente que circula a través de él?</t>
        </is>
      </c>
      <c r="G30" t="n">
        <v>3</v>
      </c>
      <c r="H30" t="n">
        <v>3</v>
      </c>
      <c r="I30" t="n">
        <v>3</v>
      </c>
      <c r="J30" t="n">
        <v>5</v>
      </c>
      <c r="K30" t="n">
        <v>14</v>
      </c>
      <c r="L30" t="n">
        <v>1.982</v>
      </c>
      <c r="M30" t="n">
        <v>46</v>
      </c>
      <c r="N30" t="n">
        <v>30.27</v>
      </c>
      <c r="O30" t="inlineStr">
        <is>
          <t>AC6</t>
        </is>
      </c>
      <c r="P30" t="inlineStr">
        <is>
          <t>AC1, AC9</t>
        </is>
      </c>
      <c r="Q30" t="n">
        <v>0</v>
      </c>
      <c r="R30" t="n">
        <v>0</v>
      </c>
      <c r="S30" t="n">
        <v>0</v>
      </c>
      <c r="T30" t="inlineStr"/>
      <c r="U30" t="inlineStr"/>
      <c r="V30" t="inlineStr"/>
      <c r="W3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1">
      <c r="A31" t="n">
        <v>495</v>
      </c>
      <c r="B31" t="n">
        <v>165</v>
      </c>
      <c r="C31" t="n">
        <v>3</v>
      </c>
      <c r="D31" t="n">
        <v>1</v>
      </c>
      <c r="E31" t="inlineStr">
        <is>
          <t>No lo sé</t>
        </is>
      </c>
      <c r="F31" t="inlineStr">
        <is>
          <t>¿Podrías describir cómo la corriente se divide en un nodo, considerando las resistencias en paralelo y cómo esto podría afectar la caída de tensión en cada una?</t>
        </is>
      </c>
      <c r="G31" t="n">
        <v>3</v>
      </c>
      <c r="H31" t="n">
        <v>3</v>
      </c>
      <c r="I31" t="n">
        <v>2</v>
      </c>
      <c r="J31" t="n">
        <v>5</v>
      </c>
      <c r="K31" t="n">
        <v>13</v>
      </c>
      <c r="L31" t="n">
        <v>1.951</v>
      </c>
      <c r="M31" t="n">
        <v>33</v>
      </c>
      <c r="N31" t="n">
        <v>30.75</v>
      </c>
      <c r="O31" t="inlineStr">
        <is>
          <t>AC9</t>
        </is>
      </c>
      <c r="P31" t="inlineStr">
        <is>
          <t>AC1, AC9</t>
        </is>
      </c>
      <c r="Q31" t="n">
        <v>0.5</v>
      </c>
      <c r="R31" t="n">
        <v>1</v>
      </c>
      <c r="S31" t="n">
        <v>0.667</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496</v>
      </c>
      <c r="B32" t="n">
        <v>166</v>
      </c>
      <c r="C32" t="n">
        <v>1</v>
      </c>
      <c r="D32" t="n">
        <v>1</v>
      </c>
      <c r="E32" t="inlineStr">
        <is>
          <t>Todas las resistencias</t>
        </is>
      </c>
      <c r="F32" t="inlineStr">
        <is>
          <t>Si el interruptor entre N2 y N3 está abierto, ¿qué implicaciones tiene esto para el flujo de corriente en la rama que contiene a R3?</t>
        </is>
      </c>
      <c r="G32" t="n">
        <v>3</v>
      </c>
      <c r="H32" t="n">
        <v>3</v>
      </c>
      <c r="I32" t="n">
        <v>2</v>
      </c>
      <c r="J32" t="n">
        <v>5</v>
      </c>
      <c r="K32" t="n">
        <v>13</v>
      </c>
      <c r="L32" t="n">
        <v>1.81</v>
      </c>
      <c r="M32" t="n">
        <v>34</v>
      </c>
      <c r="N32" t="n">
        <v>33.15</v>
      </c>
      <c r="O32" t="inlineStr">
        <is>
          <t>AC9</t>
        </is>
      </c>
      <c r="P32" t="inlineStr">
        <is>
          <t>AC1</t>
        </is>
      </c>
      <c r="Q32" t="n">
        <v>0</v>
      </c>
      <c r="R32" t="n">
        <v>0</v>
      </c>
      <c r="S32" t="n">
        <v>0</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497</v>
      </c>
      <c r="B33" t="n">
        <v>166</v>
      </c>
      <c r="C33" t="n">
        <v>2</v>
      </c>
      <c r="D33" t="n">
        <v>1</v>
      </c>
      <c r="E33" t="inlineStr">
        <is>
          <t>R1 y R2</t>
        </is>
      </c>
      <c r="F33" t="inlineStr">
        <is>
          <t>Si R1 y R2 están en paralelo, ¿cómo afecta esta configuración a la diferencia de potencial a través de cada resistencia en comparación con la fuente de voltaje total?</t>
        </is>
      </c>
      <c r="G33" t="n">
        <v>4</v>
      </c>
      <c r="H33" t="n">
        <v>3</v>
      </c>
      <c r="I33" t="n">
        <v>2</v>
      </c>
      <c r="J33" t="n">
        <v>5</v>
      </c>
      <c r="K33" t="n">
        <v>14</v>
      </c>
      <c r="L33" t="n">
        <v>1.64</v>
      </c>
      <c r="M33" t="n">
        <v>35</v>
      </c>
      <c r="N33" t="n">
        <v>36.59</v>
      </c>
      <c r="O33" t="inlineStr">
        <is>
          <t>AC9</t>
        </is>
      </c>
      <c r="P33" t="inlineStr"/>
      <c r="Q33" t="n">
        <v>1</v>
      </c>
      <c r="R33" t="n">
        <v>0</v>
      </c>
      <c r="S33" t="n">
        <v>0</v>
      </c>
      <c r="T33" t="inlineStr"/>
      <c r="U33" t="inlineStr"/>
      <c r="V33" t="inlineStr"/>
      <c r="W3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4">
      <c r="A34" t="n">
        <v>498</v>
      </c>
      <c r="B34" t="n">
        <v>166</v>
      </c>
      <c r="C34" t="n">
        <v>3</v>
      </c>
      <c r="D34" t="n">
        <v>1</v>
      </c>
      <c r="E34" t="inlineStr">
        <is>
          <t>R1, R2 y R4</t>
        </is>
      </c>
      <c r="F34" t="inlineStr">
        <is>
          <t>Considerando que R3 está en cortocircuito, ¿cómo esperaría que esto afecte la corriente que fluye a través de R4 y, por lo tanto, la diferencia de potencial en sus extremos?</t>
        </is>
      </c>
      <c r="G34" t="n">
        <v>3</v>
      </c>
      <c r="H34" t="n">
        <v>4</v>
      </c>
      <c r="I34" t="n">
        <v>2</v>
      </c>
      <c r="J34" t="n">
        <v>5</v>
      </c>
      <c r="K34" t="n">
        <v>14</v>
      </c>
      <c r="L34" t="n">
        <v>2.173</v>
      </c>
      <c r="M34" t="n">
        <v>44</v>
      </c>
      <c r="N34" t="n">
        <v>27.61</v>
      </c>
      <c r="O34" t="inlineStr"/>
      <c r="P34" t="inlineStr">
        <is>
          <t>AC1, AC6</t>
        </is>
      </c>
      <c r="Q34" t="n">
        <v>0</v>
      </c>
      <c r="R34" t="n">
        <v>1</v>
      </c>
      <c r="S34" t="n">
        <v>0</v>
      </c>
      <c r="T34" t="inlineStr"/>
      <c r="U34" t="inlineStr"/>
      <c r="V34" t="inlineStr"/>
      <c r="W34"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5">
      <c r="A35" t="n">
        <v>499</v>
      </c>
      <c r="B35" t="n">
        <v>167</v>
      </c>
      <c r="C35" t="n">
        <v>1</v>
      </c>
      <c r="D35" t="n">
        <v>1</v>
      </c>
      <c r="E35" t="inlineStr">
        <is>
          <t>R1, R2, R4 y R5</t>
        </is>
      </c>
      <c r="F35" t="inlineStr">
        <is>
          <t>Si observas detenidamente la conexión de R5 en el netlist, ¿qué relación de potencial eléctrico existe entre sus dos terminales?</t>
        </is>
      </c>
      <c r="G35" t="n">
        <v>3</v>
      </c>
      <c r="H35" t="n">
        <v>2</v>
      </c>
      <c r="I35" t="n">
        <v>3</v>
      </c>
      <c r="J35" t="n">
        <v>5</v>
      </c>
      <c r="K35" t="n">
        <v>13</v>
      </c>
      <c r="L35" t="n">
        <v>1.763</v>
      </c>
      <c r="M35" t="n">
        <v>29</v>
      </c>
      <c r="N35" t="n">
        <v>34.04</v>
      </c>
      <c r="O35" t="inlineStr">
        <is>
          <t>AC6</t>
        </is>
      </c>
      <c r="P35" t="inlineStr">
        <is>
          <t>AC6</t>
        </is>
      </c>
      <c r="Q35" t="n">
        <v>1</v>
      </c>
      <c r="R35" t="n">
        <v>1</v>
      </c>
      <c r="S35" t="n">
        <v>1</v>
      </c>
      <c r="T35" t="inlineStr"/>
      <c r="U35" t="inlineStr"/>
      <c r="V35" t="inlineStr"/>
      <c r="W3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6">
      <c r="A36" t="n">
        <v>500</v>
      </c>
      <c r="B36" t="n">
        <v>167</v>
      </c>
      <c r="C36" t="n">
        <v>2</v>
      </c>
      <c r="D36" t="n">
        <v>1</v>
      </c>
      <c r="E36" t="inlineStr">
        <is>
          <t>R1, R2, R3 y R4</t>
        </is>
      </c>
      <c r="F36" t="inlineStr">
        <is>
          <t>Considerando que has modificado la lista original de resistencias, ¿podrías explicar qué implicación tiene la omisión de R5 en el análisis de la corriente total del circuito?</t>
        </is>
      </c>
      <c r="G36" t="n">
        <v>3</v>
      </c>
      <c r="H36" t="n">
        <v>3</v>
      </c>
      <c r="I36" t="n">
        <v>2</v>
      </c>
      <c r="J36" t="n">
        <v>5</v>
      </c>
      <c r="K36" t="n">
        <v>13</v>
      </c>
      <c r="L36" t="n">
        <v>1.594</v>
      </c>
      <c r="M36" t="n">
        <v>38</v>
      </c>
      <c r="N36" t="n">
        <v>37.65</v>
      </c>
      <c r="O36" t="inlineStr">
        <is>
          <t>AC1</t>
        </is>
      </c>
      <c r="P36" t="inlineStr">
        <is>
          <t>AC1, AC9</t>
        </is>
      </c>
      <c r="Q36" t="n">
        <v>0.5</v>
      </c>
      <c r="R36" t="n">
        <v>1</v>
      </c>
      <c r="S36" t="n">
        <v>0.667</v>
      </c>
      <c r="T36" t="inlineStr"/>
      <c r="U36" t="inlineStr"/>
      <c r="V36" t="inlineStr"/>
      <c r="W36"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37">
      <c r="A37" t="n">
        <v>501</v>
      </c>
      <c r="B37" t="n">
        <v>167</v>
      </c>
      <c r="C37" t="n">
        <v>3</v>
      </c>
      <c r="D37" t="n">
        <v>1</v>
      </c>
      <c r="E37" t="inlineStr">
        <is>
          <t>R1 y R2 y R4 hacen un divisor de corriente</t>
        </is>
      </c>
      <c r="F37" t="inlineStr">
        <is>
          <t>Si R1, R2 y R4 forman un divisor de corriente, ¿cómo afectaría la presencia de R3 a la distribución de corriente en ese divisor?</t>
        </is>
      </c>
      <c r="G37" t="n">
        <v>3</v>
      </c>
      <c r="H37" t="n">
        <v>2</v>
      </c>
      <c r="I37" t="n">
        <v>5</v>
      </c>
      <c r="J37" t="n">
        <v>5</v>
      </c>
      <c r="K37" t="n">
        <v>15</v>
      </c>
      <c r="L37" t="n">
        <v>1.691</v>
      </c>
      <c r="M37" t="n">
        <v>34</v>
      </c>
      <c r="N37" t="n">
        <v>35.48</v>
      </c>
      <c r="O37" t="inlineStr"/>
      <c r="P37" t="inlineStr">
        <is>
          <t>AC1</t>
        </is>
      </c>
      <c r="Q37" t="n">
        <v>0</v>
      </c>
      <c r="R37" t="n">
        <v>1</v>
      </c>
      <c r="S37" t="n">
        <v>0</v>
      </c>
      <c r="T37" t="inlineStr"/>
      <c r="U37" t="inlineStr"/>
      <c r="V37" t="inlineStr"/>
      <c r="W3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8">
      <c r="A38" t="n">
        <v>502</v>
      </c>
      <c r="B38" t="n">
        <v>168</v>
      </c>
      <c r="C38" t="n">
        <v>1</v>
      </c>
      <c r="D38" t="n">
        <v>1</v>
      </c>
      <c r="E38" t="inlineStr">
        <is>
          <t>R1 y R2 y R4 hacen un divisor de tensión, r3 no cuenta por estar en corto</t>
        </is>
      </c>
      <c r="F38" t="inlineStr">
        <is>
          <t>Si consideramos el estado del interruptor entre N2 y N3, ¿qué implicaciones tiene esto para el flujo de corriente en la rama que contiene a R3?</t>
        </is>
      </c>
      <c r="G38" t="n">
        <v>3</v>
      </c>
      <c r="H38" t="n">
        <v>5</v>
      </c>
      <c r="I38" t="n">
        <v>3</v>
      </c>
      <c r="J38" t="n">
        <v>5</v>
      </c>
      <c r="K38" t="n">
        <v>16</v>
      </c>
      <c r="L38" t="n">
        <v>1.616</v>
      </c>
      <c r="M38" t="n">
        <v>35</v>
      </c>
      <c r="N38" t="n">
        <v>37.14</v>
      </c>
      <c r="O38" t="inlineStr">
        <is>
          <t>AC1</t>
        </is>
      </c>
      <c r="P38" t="inlineStr">
        <is>
          <t>AC1</t>
        </is>
      </c>
      <c r="Q38" t="n">
        <v>1</v>
      </c>
      <c r="R38" t="n">
        <v>1</v>
      </c>
      <c r="S38" t="n">
        <v>1</v>
      </c>
      <c r="T38" t="inlineStr"/>
      <c r="U38" t="inlineStr"/>
      <c r="V38" t="inlineStr"/>
      <c r="W38"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9">
      <c r="A39" t="n">
        <v>503</v>
      </c>
      <c r="B39" t="n">
        <v>168</v>
      </c>
      <c r="C39" t="n">
        <v>2</v>
      </c>
      <c r="D39" t="n">
        <v>1</v>
      </c>
      <c r="E39" t="inlineStr">
        <is>
          <t>No tengo en cuenta R3 porque el interruptor está cerrado</t>
        </is>
      </c>
      <c r="F39" t="inlineStr">
        <is>
          <t>Si el interruptor está cerrado, ¿cómo afecta esto a la diferencia de potencial a través de R3 y, por lo tanto, a la corriente que podría fluir a través de él?</t>
        </is>
      </c>
      <c r="G39" t="n">
        <v>4</v>
      </c>
      <c r="H39" t="n">
        <v>4</v>
      </c>
      <c r="I39" t="n">
        <v>5</v>
      </c>
      <c r="J39" t="n">
        <v>5</v>
      </c>
      <c r="K39" t="n">
        <v>18</v>
      </c>
      <c r="L39" t="n">
        <v>1.89</v>
      </c>
      <c r="M39" t="n">
        <v>40</v>
      </c>
      <c r="N39" t="n">
        <v>31.75</v>
      </c>
      <c r="O39" t="inlineStr">
        <is>
          <t>AC1, AC9</t>
        </is>
      </c>
      <c r="P39" t="inlineStr">
        <is>
          <t>AC1</t>
        </is>
      </c>
      <c r="Q39" t="n">
        <v>1</v>
      </c>
      <c r="R39" t="n">
        <v>0.5</v>
      </c>
      <c r="S39" t="n">
        <v>0.667</v>
      </c>
      <c r="T39" t="inlineStr"/>
      <c r="U39" t="inlineStr"/>
      <c r="V39" t="inlineStr"/>
      <c r="W39"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40">
      <c r="A40" t="n">
        <v>504</v>
      </c>
      <c r="B40" t="n">
        <v>168</v>
      </c>
      <c r="C40" t="n">
        <v>3</v>
      </c>
      <c r="D40" t="n">
        <v>1</v>
      </c>
      <c r="E40" t="inlineStr">
        <is>
          <t>No tengo en cuenta R5 porque está en circuito abierto</t>
        </is>
      </c>
      <c r="F40" t="inlineStr">
        <is>
          <t>Si R5 está en circuito abierto, ¿cómo afecta esto a la corriente total que fluye desde la fuente de voltaje y a la distribución de voltaje en el resto del circuito?</t>
        </is>
      </c>
      <c r="G40" t="n">
        <v>4</v>
      </c>
      <c r="H40" t="n">
        <v>3</v>
      </c>
      <c r="I40" t="n">
        <v>5</v>
      </c>
      <c r="J40" t="n">
        <v>5</v>
      </c>
      <c r="K40" t="n">
        <v>17</v>
      </c>
      <c r="L40" t="n">
        <v>1.765</v>
      </c>
      <c r="M40" t="n">
        <v>37</v>
      </c>
      <c r="N40" t="n">
        <v>34</v>
      </c>
      <c r="O40" t="inlineStr">
        <is>
          <t>AC6, AC9</t>
        </is>
      </c>
      <c r="P40" t="inlineStr">
        <is>
          <t>AC1, AC9</t>
        </is>
      </c>
      <c r="Q40" t="n">
        <v>0.5</v>
      </c>
      <c r="R40" t="n">
        <v>0.5</v>
      </c>
      <c r="S40" t="n">
        <v>0.5</v>
      </c>
      <c r="T40" t="inlineStr"/>
      <c r="U40" t="inlineStr"/>
      <c r="V40" t="inlineStr"/>
      <c r="W40"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381</v>
      </c>
      <c r="B2" t="n">
        <v>127</v>
      </c>
      <c r="C2" t="n">
        <v>3</v>
      </c>
      <c r="D2" t="n">
        <v>1</v>
      </c>
      <c r="E2" t="inlineStr">
        <is>
          <t>R1 y R2 por identificar un divisor de tensión</t>
        </is>
      </c>
      <c r="F2" t="inlineStr">
        <is>
          <t>Considerando que R1 y R2 forman un divisor de tensión, ¿podrías explicar cómo la resistencia de cada componente influye en la distribución de la tensión total a través del circuito?</t>
        </is>
      </c>
      <c r="G2" t="n">
        <v>3</v>
      </c>
      <c r="H2" t="n">
        <v>3</v>
      </c>
      <c r="I2" t="n">
        <v>5</v>
      </c>
      <c r="J2" t="n">
        <v>5</v>
      </c>
      <c r="K2" t="n">
        <v>16</v>
      </c>
      <c r="L2" t="n">
        <v>19.267</v>
      </c>
      <c r="M2" t="n">
        <v>41</v>
      </c>
      <c r="N2" t="n">
        <v>3.11</v>
      </c>
      <c r="O2" t="inlineStr">
        <is>
          <t>AC9</t>
        </is>
      </c>
      <c r="P2" t="inlineStr"/>
      <c r="Q2" t="n">
        <v>1</v>
      </c>
      <c r="R2" t="n">
        <v>0</v>
      </c>
      <c r="S2" t="n">
        <v>0</v>
      </c>
      <c r="T2" t="inlineStr"/>
      <c r="U2" t="inlineStr"/>
      <c r="V2" t="inlineStr"/>
      <c r="W2"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3">
      <c r="A3" t="n">
        <v>382</v>
      </c>
      <c r="B3" t="n">
        <v>128</v>
      </c>
      <c r="C3" t="n">
        <v>1</v>
      </c>
      <c r="D3" t="n">
        <v>1</v>
      </c>
      <c r="E3" t="inlineStr">
        <is>
          <t>R1 y R2 hacen un divisor de tensión</t>
        </is>
      </c>
      <c r="F3" t="inlineStr">
        <is>
          <t>Considerando que R1 y R2 forman un divisor de tensión, ¿qué efecto tiene la ausencia de un camino conductor entre N2 y tierra en la determinación del potencial en N2, en comparación con un circuito cerrado?</t>
        </is>
      </c>
      <c r="G3" t="n">
        <v>3</v>
      </c>
      <c r="H3" t="n">
        <v>3</v>
      </c>
      <c r="I3" t="n">
        <v>4</v>
      </c>
      <c r="J3" t="n">
        <v>5</v>
      </c>
      <c r="K3" t="n">
        <v>15</v>
      </c>
      <c r="L3" t="n">
        <v>1.886</v>
      </c>
      <c r="M3" t="n">
        <v>46</v>
      </c>
      <c r="N3" t="n">
        <v>31.82</v>
      </c>
      <c r="O3" t="inlineStr">
        <is>
          <t>AC9</t>
        </is>
      </c>
      <c r="P3" t="inlineStr">
        <is>
          <t>AC1, AC9</t>
        </is>
      </c>
      <c r="Q3" t="n">
        <v>0.5</v>
      </c>
      <c r="R3" t="n">
        <v>1</v>
      </c>
      <c r="S3" t="n">
        <v>0.667</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383</v>
      </c>
      <c r="B4" t="n">
        <v>128</v>
      </c>
      <c r="C4" t="n">
        <v>2</v>
      </c>
      <c r="D4" t="n">
        <v>1</v>
      </c>
      <c r="E4" t="inlineStr">
        <is>
          <t>R1, R2, R3 y R4 porque R5 está cortocircuitada</t>
        </is>
      </c>
      <c r="F4" t="inlineStr">
        <is>
          <t>Si los componentes están dispuestos de esa manera, ¿cómo afectaría la presencia de un cortocircuito en R5 a la distribución de la corriente y, por lo tanto, a las tensiones medidas en los nodos?</t>
        </is>
      </c>
      <c r="G4" t="n">
        <v>3</v>
      </c>
      <c r="H4" t="n">
        <v>4</v>
      </c>
      <c r="I4" t="n">
        <v>3</v>
      </c>
      <c r="J4" t="n">
        <v>5</v>
      </c>
      <c r="K4" t="n">
        <v>15</v>
      </c>
      <c r="L4" t="n">
        <v>1.539</v>
      </c>
      <c r="M4" t="n">
        <v>45</v>
      </c>
      <c r="N4" t="n">
        <v>38.98</v>
      </c>
      <c r="O4" t="inlineStr">
        <is>
          <t>AC1, AC6</t>
        </is>
      </c>
      <c r="P4" t="inlineStr">
        <is>
          <t>AC1, AC6</t>
        </is>
      </c>
      <c r="Q4" t="n">
        <v>1</v>
      </c>
      <c r="R4" t="n">
        <v>1</v>
      </c>
      <c r="S4" t="n">
        <v>1</v>
      </c>
      <c r="T4" t="inlineStr"/>
      <c r="U4" t="inlineStr"/>
      <c r="V4" t="inlineStr"/>
      <c r="W4"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5">
      <c r="A5" t="n">
        <v>384</v>
      </c>
      <c r="B5" t="n">
        <v>128</v>
      </c>
      <c r="C5" t="n">
        <v>3</v>
      </c>
      <c r="D5" t="n">
        <v>1</v>
      </c>
      <c r="E5" t="inlineStr">
        <is>
          <t>R1, R2, R3 y R4 porque por R5 no circula corriente</t>
        </is>
      </c>
      <c r="F5" t="inlineStr">
        <is>
          <t>Considerando que R5 está cortocircuitada, ¿cómo crees que esta alteración afecta la relación entre la corriente que fluye a través de R1 y R2, y la tensión resultante en el nodo común?</t>
        </is>
      </c>
      <c r="G5" t="n">
        <v>3</v>
      </c>
      <c r="H5" t="n">
        <v>3</v>
      </c>
      <c r="I5" t="n">
        <v>4</v>
      </c>
      <c r="J5" t="n">
        <v>5</v>
      </c>
      <c r="K5" t="n">
        <v>15</v>
      </c>
      <c r="L5" t="n">
        <v>1.505</v>
      </c>
      <c r="M5" t="n">
        <v>47</v>
      </c>
      <c r="N5" t="n">
        <v>39.87</v>
      </c>
      <c r="O5" t="inlineStr">
        <is>
          <t>AC1, AC6</t>
        </is>
      </c>
      <c r="P5" t="inlineStr">
        <is>
          <t>AC1, AC6</t>
        </is>
      </c>
      <c r="Q5" t="n">
        <v>1</v>
      </c>
      <c r="R5" t="n">
        <v>1</v>
      </c>
      <c r="S5" t="n">
        <v>1</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385</v>
      </c>
      <c r="B6" t="n">
        <v>129</v>
      </c>
      <c r="C6" t="n">
        <v>1</v>
      </c>
      <c r="D6" t="n">
        <v>1</v>
      </c>
      <c r="E6" t="inlineStr">
        <is>
          <t>R1, R2, R3 y R4 porque R5 se quita</t>
        </is>
      </c>
      <c r="F6" t="inlineStr">
        <is>
          <t>Considerando que R3 está en un circuito abierto, ¿podría explicar cómo un circuito abierto afecta la capacidad de una resistencia para influir en la diferencia de potencial entre N2 y el nodo de referencia 0?</t>
        </is>
      </c>
      <c r="G6" t="n">
        <v>3</v>
      </c>
      <c r="H6" t="n">
        <v>4</v>
      </c>
      <c r="I6" t="n">
        <v>3</v>
      </c>
      <c r="J6" t="n">
        <v>5</v>
      </c>
      <c r="K6" t="n">
        <v>15</v>
      </c>
      <c r="L6" t="n">
        <v>1.544</v>
      </c>
      <c r="M6" t="n">
        <v>45</v>
      </c>
      <c r="N6" t="n">
        <v>38.87</v>
      </c>
      <c r="O6" t="inlineStr">
        <is>
          <t>AC1, AC6</t>
        </is>
      </c>
      <c r="P6" t="inlineStr">
        <is>
          <t>AC1, AC9</t>
        </is>
      </c>
      <c r="Q6" t="n">
        <v>0.5</v>
      </c>
      <c r="R6" t="n">
        <v>0.5</v>
      </c>
      <c r="S6" t="n">
        <v>0.5</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386</v>
      </c>
      <c r="B7" t="n">
        <v>129</v>
      </c>
      <c r="C7" t="n">
        <v>2</v>
      </c>
      <c r="D7" t="n">
        <v>1</v>
      </c>
      <c r="E7" t="inlineStr">
        <is>
          <t>R1, R3 y R4 porque R2 está en paralelo con la fuente y R5 corctocircuitada</t>
        </is>
      </c>
      <c r="F7" t="inlineStr">
        <is>
          <t>Si R2 está en paralelo con la fuente, ¿cómo crees que esto impacta la corriente que fluye a través de R1 y R3, considerando que R5 está efectivamente cortocircuitando el circuito?</t>
        </is>
      </c>
      <c r="G7" t="n">
        <v>3</v>
      </c>
      <c r="H7" t="n">
        <v>3</v>
      </c>
      <c r="I7" t="n">
        <v>5</v>
      </c>
      <c r="J7" t="n">
        <v>5</v>
      </c>
      <c r="K7" t="n">
        <v>16</v>
      </c>
      <c r="L7" t="n">
        <v>0.906</v>
      </c>
      <c r="M7" t="n">
        <v>46</v>
      </c>
      <c r="N7" t="n">
        <v>66.2</v>
      </c>
      <c r="O7" t="inlineStr">
        <is>
          <t>AC1, AC6</t>
        </is>
      </c>
      <c r="P7" t="inlineStr">
        <is>
          <t>AC1</t>
        </is>
      </c>
      <c r="Q7" t="n">
        <v>1</v>
      </c>
      <c r="R7" t="n">
        <v>0.5</v>
      </c>
      <c r="S7" t="n">
        <v>0.667</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387</v>
      </c>
      <c r="B8" t="n">
        <v>129</v>
      </c>
      <c r="C8" t="n">
        <v>3</v>
      </c>
      <c r="D8" t="n">
        <v>1</v>
      </c>
      <c r="E8" t="inlineStr">
        <is>
          <t>R1, R4 y R5 porque R2 se elimina y R3 también</t>
        </is>
      </c>
      <c r="F8" t="inlineStr">
        <is>
          <t>Si R3 está efectivamente eliminando el flujo de corriente a través de R4, ¿cómo afectaría esto al voltaje medido entre el nodo y el terminal de la fuente?</t>
        </is>
      </c>
      <c r="G8" t="n">
        <v>3</v>
      </c>
      <c r="H8" t="n">
        <v>3</v>
      </c>
      <c r="I8" t="n">
        <v>3</v>
      </c>
      <c r="J8" t="n">
        <v>5</v>
      </c>
      <c r="K8" t="n">
        <v>14</v>
      </c>
      <c r="L8" t="n">
        <v>1.427</v>
      </c>
      <c r="M8" t="n">
        <v>38</v>
      </c>
      <c r="N8" t="n">
        <v>42.05</v>
      </c>
      <c r="O8" t="inlineStr">
        <is>
          <t>AC1, AC6</t>
        </is>
      </c>
      <c r="P8" t="inlineStr">
        <is>
          <t>AC1</t>
        </is>
      </c>
      <c r="Q8" t="n">
        <v>1</v>
      </c>
      <c r="R8" t="n">
        <v>0.5</v>
      </c>
      <c r="S8" t="n">
        <v>0.667</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388</v>
      </c>
      <c r="B9" t="n">
        <v>130</v>
      </c>
      <c r="C9" t="n">
        <v>1</v>
      </c>
      <c r="D9" t="n">
        <v>1</v>
      </c>
      <c r="E9" t="inlineStr">
        <is>
          <t>R1 y R4 dado que R2 está en paralelo con la fuente, R3 en circuito abierto y R5 cortocircuitada</t>
        </is>
      </c>
      <c r="F9" t="inlineStr">
        <is>
          <t>Considerando que R3 está efectivamente en circuito abierto, ¿podrías explicar cómo la conexión cortocircuitada de R5 afecta la capacidad de las resistencias restantes para influir en el potencial entre N2 y 0?</t>
        </is>
      </c>
      <c r="G9" t="n">
        <v>3</v>
      </c>
      <c r="H9" t="n">
        <v>3</v>
      </c>
      <c r="I9" t="n">
        <v>3</v>
      </c>
      <c r="J9" t="n">
        <v>5</v>
      </c>
      <c r="K9" t="n">
        <v>14</v>
      </c>
      <c r="L9" t="n">
        <v>2.17</v>
      </c>
      <c r="M9" t="n">
        <v>47</v>
      </c>
      <c r="N9" t="n">
        <v>27.65</v>
      </c>
      <c r="O9" t="inlineStr">
        <is>
          <t>AC1, AC6</t>
        </is>
      </c>
      <c r="P9" t="inlineStr">
        <is>
          <t>AC1, AC9</t>
        </is>
      </c>
      <c r="Q9" t="n">
        <v>0.5</v>
      </c>
      <c r="R9" t="n">
        <v>0.5</v>
      </c>
      <c r="S9" t="n">
        <v>0.5</v>
      </c>
      <c r="T9" t="inlineStr"/>
      <c r="U9" t="inlineStr"/>
      <c r="V9" t="inlineStr"/>
      <c r="W9"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10">
      <c r="A10" t="n">
        <v>389</v>
      </c>
      <c r="B10" t="n">
        <v>130</v>
      </c>
      <c r="C10" t="n">
        <v>2</v>
      </c>
      <c r="D10" t="n">
        <v>1</v>
      </c>
      <c r="E10" t="inlineStr">
        <is>
          <t>R1, R2 y R3 dado que R2 y R3 están en paralelo y forman un divisor de tensión con R1</t>
        </is>
      </c>
      <c r="F10" t="inlineStr">
        <is>
          <t>Si R2 y R3 forman un divisor de tensión, ¿cómo crees que la resistencia total de ese divisor afectará el flujo de corriente a través de R1?</t>
        </is>
      </c>
      <c r="G10" t="n">
        <v>3</v>
      </c>
      <c r="H10" t="n">
        <v>3</v>
      </c>
      <c r="I10" t="n">
        <v>5</v>
      </c>
      <c r="J10" t="n">
        <v>5</v>
      </c>
      <c r="K10" t="n">
        <v>16</v>
      </c>
      <c r="L10" t="n">
        <v>1.337</v>
      </c>
      <c r="M10" t="n">
        <v>36</v>
      </c>
      <c r="N10" t="n">
        <v>44.88</v>
      </c>
      <c r="O10" t="inlineStr">
        <is>
          <t>AC1, AC9</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390</v>
      </c>
      <c r="B11" t="n">
        <v>130</v>
      </c>
      <c r="C11" t="n">
        <v>3</v>
      </c>
      <c r="D11" t="n">
        <v>1</v>
      </c>
      <c r="E11" t="inlineStr">
        <is>
          <t>R1, R2, R4 y R5 dado que R3 está en circuito abierto</t>
        </is>
      </c>
      <c r="F11" t="inlineStr">
        <is>
          <t>Si R3 está en circuito abierto, ¿cómo esto impacta la relación entre la corriente que fluye a través de R4 y la tensión en el nodo entre R4 y R5?</t>
        </is>
      </c>
      <c r="G11" t="n">
        <v>3</v>
      </c>
      <c r="H11" t="n">
        <v>4</v>
      </c>
      <c r="I11" t="n">
        <v>4</v>
      </c>
      <c r="J11" t="n">
        <v>5</v>
      </c>
      <c r="K11" t="n">
        <v>16</v>
      </c>
      <c r="L11" t="n">
        <v>1.507</v>
      </c>
      <c r="M11" t="n">
        <v>40</v>
      </c>
      <c r="N11" t="n">
        <v>39.81</v>
      </c>
      <c r="O11" t="inlineStr">
        <is>
          <t>AC1, AC6</t>
        </is>
      </c>
      <c r="P11" t="inlineStr">
        <is>
          <t>AC1, AC9</t>
        </is>
      </c>
      <c r="Q11" t="n">
        <v>0.5</v>
      </c>
      <c r="R11" t="n">
        <v>0.5</v>
      </c>
      <c r="S11" t="n">
        <v>0.5</v>
      </c>
      <c r="T11" t="inlineStr"/>
      <c r="U11" t="inlineStr"/>
      <c r="V11" t="inlineStr"/>
      <c r="W1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2">
      <c r="A12" t="n">
        <v>391</v>
      </c>
      <c r="B12" t="n">
        <v>131</v>
      </c>
      <c r="C12" t="n">
        <v>1</v>
      </c>
      <c r="D12" t="n">
        <v>1</v>
      </c>
      <c r="E12" t="inlineStr">
        <is>
          <t>R1, R2, R4 y R5 dado que R3 sobra</t>
        </is>
      </c>
      <c r="F12" t="inlineStr">
        <is>
          <t>Considerando que R3 está abierto y R5 está cortocircuitada, ¿qué componentes específicos del circuito, conectados directamente entre el nodo N2 y el nodo 0, determinan la caída de tensión en este camino?</t>
        </is>
      </c>
      <c r="G12" t="n">
        <v>3</v>
      </c>
      <c r="H12" t="n">
        <v>3</v>
      </c>
      <c r="I12" t="n">
        <v>3</v>
      </c>
      <c r="J12" t="n">
        <v>5</v>
      </c>
      <c r="K12" t="n">
        <v>14</v>
      </c>
      <c r="L12" t="n">
        <v>1.654</v>
      </c>
      <c r="M12" t="n">
        <v>47</v>
      </c>
      <c r="N12" t="n">
        <v>36.27</v>
      </c>
      <c r="O12" t="inlineStr">
        <is>
          <t>AC1, AC6</t>
        </is>
      </c>
      <c r="P12" t="inlineStr">
        <is>
          <t>AC1, AC9</t>
        </is>
      </c>
      <c r="Q12" t="n">
        <v>0.5</v>
      </c>
      <c r="R12" t="n">
        <v>0.5</v>
      </c>
      <c r="S12" t="n">
        <v>0.5</v>
      </c>
      <c r="T12" t="inlineStr"/>
      <c r="U12" t="inlineStr"/>
      <c r="V12" t="inlineStr"/>
      <c r="W1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3">
      <c r="A13" t="n">
        <v>392</v>
      </c>
      <c r="B13" t="n">
        <v>131</v>
      </c>
      <c r="C13" t="n">
        <v>2</v>
      </c>
      <c r="D13" t="n">
        <v>1</v>
      </c>
      <c r="E13" t="inlineStr">
        <is>
          <t>R1, R2, R4 y R5 dado que R3 no hace nada</t>
        </is>
      </c>
      <c r="F13" t="inlineStr">
        <is>
          <t>Si R3 estuviera conectado en paralelo con R5, ¿cómo cambiaría la relación entre la corriente que fluye a través de R1 y la corriente que fluye a través de R2, y por qué?</t>
        </is>
      </c>
      <c r="G13" t="n">
        <v>3</v>
      </c>
      <c r="H13" t="n">
        <v>3</v>
      </c>
      <c r="I13" t="n">
        <v>5</v>
      </c>
      <c r="J13" t="n">
        <v>5</v>
      </c>
      <c r="K13" t="n">
        <v>16</v>
      </c>
      <c r="L13" t="n">
        <v>1.626</v>
      </c>
      <c r="M13" t="n">
        <v>46</v>
      </c>
      <c r="N13" t="n">
        <v>36.9</v>
      </c>
      <c r="O13" t="inlineStr">
        <is>
          <t>AC1, AC6</t>
        </is>
      </c>
      <c r="P13" t="inlineStr">
        <is>
          <t>AC1</t>
        </is>
      </c>
      <c r="Q13" t="n">
        <v>1</v>
      </c>
      <c r="R13" t="n">
        <v>0.5</v>
      </c>
      <c r="S13" t="n">
        <v>0.667</v>
      </c>
      <c r="T13" t="inlineStr"/>
      <c r="U13" t="inlineStr"/>
      <c r="V13" t="inlineStr"/>
      <c r="W1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4">
      <c r="A14" t="n">
        <v>393</v>
      </c>
      <c r="B14" t="n">
        <v>131</v>
      </c>
      <c r="C14" t="n">
        <v>3</v>
      </c>
      <c r="D14" t="n">
        <v>1</v>
      </c>
      <c r="E14" t="inlineStr">
        <is>
          <t>R1, R2 y R4 dado que son las resistencias que forman parte del circuito.</t>
        </is>
      </c>
      <c r="F14" t="inlineStr">
        <is>
          <t>Si eliminamos R5 y consideramos únicamente la conexión entre los nodos N2 y 0, ¿qué efecto tendría la ausencia de esta resistencia en la distribución de la corriente en el circuito?</t>
        </is>
      </c>
      <c r="G14" t="n">
        <v>3</v>
      </c>
      <c r="H14" t="n">
        <v>4</v>
      </c>
      <c r="I14" t="n">
        <v>3</v>
      </c>
      <c r="J14" t="n">
        <v>5</v>
      </c>
      <c r="K14" t="n">
        <v>15</v>
      </c>
      <c r="L14" t="n">
        <v>1.562</v>
      </c>
      <c r="M14" t="n">
        <v>39</v>
      </c>
      <c r="N14" t="n">
        <v>38.4</v>
      </c>
      <c r="O14" t="inlineStr"/>
      <c r="P14" t="inlineStr">
        <is>
          <t>AC1, AC9</t>
        </is>
      </c>
      <c r="Q14" t="n">
        <v>0</v>
      </c>
      <c r="R14" t="n">
        <v>1</v>
      </c>
      <c r="S14" t="n">
        <v>0</v>
      </c>
      <c r="T14" t="inlineStr"/>
      <c r="U14" t="inlineStr"/>
      <c r="V14" t="inlineStr"/>
      <c r="W14"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5">
      <c r="A15" t="n">
        <v>394</v>
      </c>
      <c r="B15" t="n">
        <v>132</v>
      </c>
      <c r="C15" t="n">
        <v>1</v>
      </c>
      <c r="D15" t="n">
        <v>1</v>
      </c>
      <c r="E15" t="inlineStr">
        <is>
          <t>R1, R2 y R4 dado que R2 y R4 están en paralelo y forma un divisor de tensión con R1.</t>
        </is>
      </c>
      <c r="F15" t="inlineStr">
        <is>
          <t>Considerando que R2 y R4 están en paralelo, ¿podrías explicar cómo la presencia de un interruptor abierto en el nodo N2-N3 afecta la relación entre la corriente y el potencial en ese circuito específico, considerando que R5 está cortocircuitada?.</t>
        </is>
      </c>
      <c r="G15" t="n">
        <v>1</v>
      </c>
      <c r="H15" t="n">
        <v>5</v>
      </c>
      <c r="I15" t="n">
        <v>4</v>
      </c>
      <c r="J15" t="n">
        <v>5</v>
      </c>
      <c r="K15" t="n">
        <v>15</v>
      </c>
      <c r="L15" t="n">
        <v>1.778</v>
      </c>
      <c r="M15" t="n">
        <v>58</v>
      </c>
      <c r="N15" t="n">
        <v>33.74</v>
      </c>
      <c r="O15" t="inlineStr"/>
      <c r="P15" t="inlineStr">
        <is>
          <t>AC1, AC6, AC9</t>
        </is>
      </c>
      <c r="Q15" t="n">
        <v>0</v>
      </c>
      <c r="R15" t="n">
        <v>1</v>
      </c>
      <c r="S15" t="n">
        <v>0</v>
      </c>
      <c r="T15" t="inlineStr"/>
      <c r="U15" t="inlineStr"/>
      <c r="V15" t="inlineStr"/>
      <c r="W15" t="inlineStr">
        <is>
          <t>Socraticidad 1/5 (Instructivo): No termina en pregunta; el tutor es instructivo. Precisión Conceptual 5/5 (Excelente): Excelente: identifica la concepción alternativa específica y la conecta con la topología del circuito. Buen desempeño general; hay margen de mejora en profundidad socrática.</t>
        </is>
      </c>
    </row>
    <row r="16">
      <c r="A16" t="n">
        <v>395</v>
      </c>
      <c r="B16" t="n">
        <v>132</v>
      </c>
      <c r="C16" t="n">
        <v>2</v>
      </c>
      <c r="D16" t="n">
        <v>1</v>
      </c>
      <c r="E16" t="inlineStr">
        <is>
          <t>R1, R2 y R4 dado que R3 está en abierto y R5 cortocircuitada</t>
        </is>
      </c>
      <c r="F16" t="inlineStr">
        <is>
          <t>Si R5 está cortocircuitada, ¿cómo crees que esto impacta la distribución de la corriente a través de R1, R2 y R4, considerando que están conectados en serie?.</t>
        </is>
      </c>
      <c r="G16" t="n">
        <v>1</v>
      </c>
      <c r="H16" t="n">
        <v>3</v>
      </c>
      <c r="I16" t="n">
        <v>5</v>
      </c>
      <c r="J16" t="n">
        <v>5</v>
      </c>
      <c r="K16" t="n">
        <v>14</v>
      </c>
      <c r="L16" t="n">
        <v>1.239</v>
      </c>
      <c r="M16" t="n">
        <v>42</v>
      </c>
      <c r="N16" t="n">
        <v>48.42</v>
      </c>
      <c r="O16" t="inlineStr">
        <is>
          <t>AC1, AC6</t>
        </is>
      </c>
      <c r="P16" t="inlineStr">
        <is>
          <t>AC1, AC6</t>
        </is>
      </c>
      <c r="Q16" t="n">
        <v>1</v>
      </c>
      <c r="R16" t="n">
        <v>1</v>
      </c>
      <c r="S16" t="n">
        <v>1</v>
      </c>
      <c r="T16" t="inlineStr"/>
      <c r="U16" t="inlineStr"/>
      <c r="V16" t="inlineStr"/>
      <c r="W16"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17">
      <c r="A17" t="n">
        <v>396</v>
      </c>
      <c r="B17" t="n">
        <v>132</v>
      </c>
      <c r="C17" t="n">
        <v>3</v>
      </c>
      <c r="D17" t="n">
        <v>1</v>
      </c>
      <c r="E17" t="inlineStr">
        <is>
          <t>R1, R2 y R4 dado que solo por estas resistencias circula una corriente diferente de cero</t>
        </is>
      </c>
      <c r="F17" t="inlineStr">
        <is>
          <t>Considerando la configuración actual, ¿qué factores podrían estar contribuyendo a la circulación de corriente a través de R1, R2 y R4, a pesar de la ausencia de una fuente de voltaje aplicada?.</t>
        </is>
      </c>
      <c r="G17" t="n">
        <v>1</v>
      </c>
      <c r="H17" t="n">
        <v>3</v>
      </c>
      <c r="I17" t="n">
        <v>5</v>
      </c>
      <c r="J17" t="n">
        <v>5</v>
      </c>
      <c r="K17" t="n">
        <v>14</v>
      </c>
      <c r="L17" t="n">
        <v>1.558</v>
      </c>
      <c r="M17" t="n">
        <v>44</v>
      </c>
      <c r="N17" t="n">
        <v>38.5</v>
      </c>
      <c r="O17" t="inlineStr"/>
      <c r="P17" t="inlineStr">
        <is>
          <t>AC1</t>
        </is>
      </c>
      <c r="Q17" t="n">
        <v>0</v>
      </c>
      <c r="R17" t="n">
        <v>1</v>
      </c>
      <c r="S17" t="n">
        <v>0</v>
      </c>
      <c r="T17" t="inlineStr"/>
      <c r="U17" t="inlineStr"/>
      <c r="V17" t="inlineStr"/>
      <c r="W17"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18">
      <c r="A18" t="n">
        <v>397</v>
      </c>
      <c r="B18" t="n">
        <v>133</v>
      </c>
      <c r="C18" t="n">
        <v>1</v>
      </c>
      <c r="D18" t="n">
        <v>1</v>
      </c>
      <c r="E18" t="inlineStr">
        <is>
          <t>R1, R2 y R4 dado que por R3 y por R5 no circula corriente</t>
        </is>
      </c>
      <c r="F18" t="inlineStr">
        <is>
          <t>Considerando que R3 está abierto y R5 está cortocircuitada, ¿cómo afecta la presencia de estos componentes a la capacidad de las resistencias R1, R2 y R4 para influir en la diferencia de potencial entre N2 y 0?</t>
        </is>
      </c>
      <c r="G18" t="n">
        <v>4</v>
      </c>
      <c r="H18" t="n">
        <v>3</v>
      </c>
      <c r="I18" t="n">
        <v>5</v>
      </c>
      <c r="J18" t="n">
        <v>5</v>
      </c>
      <c r="K18" t="n">
        <v>17</v>
      </c>
      <c r="L18" t="n">
        <v>1.811</v>
      </c>
      <c r="M18" t="n">
        <v>54</v>
      </c>
      <c r="N18" t="n">
        <v>33.13</v>
      </c>
      <c r="O18" t="inlineStr">
        <is>
          <t>AC1, AC6</t>
        </is>
      </c>
      <c r="P18" t="inlineStr">
        <is>
          <t>AC1, AC9</t>
        </is>
      </c>
      <c r="Q18" t="n">
        <v>0.5</v>
      </c>
      <c r="R18" t="n">
        <v>0.5</v>
      </c>
      <c r="S18" t="n">
        <v>0.5</v>
      </c>
      <c r="T18" t="inlineStr"/>
      <c r="U18" t="inlineStr"/>
      <c r="V18" t="inlineStr"/>
      <c r="W1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19">
      <c r="A19" t="n">
        <v>398</v>
      </c>
      <c r="B19" t="n">
        <v>133</v>
      </c>
      <c r="C19" t="n">
        <v>2</v>
      </c>
      <c r="D19" t="n">
        <v>1</v>
      </c>
      <c r="E19" t="inlineStr">
        <is>
          <t>R1, R2 y R4 dado que R3 y R5 se pueden quitar</t>
        </is>
      </c>
      <c r="F19" t="inlineStr">
        <is>
          <t>Si R3 y R5 no están presentes en el circuito, ¿cómo cambia la relación entre la tensión aplicada y la corriente que puede fluir a través de R1, R2 y R4, considerando que ahora forman el único camino posible?</t>
        </is>
      </c>
      <c r="G19" t="n">
        <v>4</v>
      </c>
      <c r="H19" t="n">
        <v>3</v>
      </c>
      <c r="I19" t="n">
        <v>5</v>
      </c>
      <c r="J19" t="n">
        <v>5</v>
      </c>
      <c r="K19" t="n">
        <v>17</v>
      </c>
      <c r="L19" t="n">
        <v>1.728</v>
      </c>
      <c r="M19" t="n">
        <v>51</v>
      </c>
      <c r="N19" t="n">
        <v>34.71</v>
      </c>
      <c r="O19" t="inlineStr">
        <is>
          <t>AC1, AC6</t>
        </is>
      </c>
      <c r="P19" t="inlineStr">
        <is>
          <t>AC1, AC9</t>
        </is>
      </c>
      <c r="Q19" t="n">
        <v>0.5</v>
      </c>
      <c r="R19" t="n">
        <v>0.5</v>
      </c>
      <c r="S19" t="n">
        <v>0.5</v>
      </c>
      <c r="T19" t="inlineStr"/>
      <c r="U19" t="inlineStr"/>
      <c r="V19" t="inlineStr"/>
      <c r="W1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20">
      <c r="A20" t="n">
        <v>399</v>
      </c>
      <c r="B20" t="n">
        <v>133</v>
      </c>
      <c r="C20" t="n">
        <v>3</v>
      </c>
      <c r="D20" t="n">
        <v>1</v>
      </c>
      <c r="E20" t="inlineStr">
        <is>
          <t>R1, R2 y R4 dado que R3 y R5 no influyen para nada en la diferencia de potencial que se pide</t>
        </is>
      </c>
      <c r="F20" t="inlineStr">
        <is>
          <t>Si R3 y R5 no afectan el flujo de corriente en el circuito, ¿cómo se define y calcula la diferencia de potencial entre dos nodos específicos?</t>
        </is>
      </c>
      <c r="G20" t="n">
        <v>3</v>
      </c>
      <c r="H20" t="n">
        <v>3</v>
      </c>
      <c r="I20" t="n">
        <v>3</v>
      </c>
      <c r="J20" t="n">
        <v>5</v>
      </c>
      <c r="K20" t="n">
        <v>14</v>
      </c>
      <c r="L20" t="n">
        <v>1.262</v>
      </c>
      <c r="M20" t="n">
        <v>32</v>
      </c>
      <c r="N20" t="n">
        <v>47.56</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400</v>
      </c>
      <c r="B21" t="n">
        <v>134</v>
      </c>
      <c r="C21" t="n">
        <v>1</v>
      </c>
      <c r="D21" t="n">
        <v>1</v>
      </c>
      <c r="E21" t="inlineStr">
        <is>
          <t>R1, R2 y R4 dado que R3 y R5 sobran</t>
        </is>
      </c>
      <c r="F21" t="inlineStr">
        <is>
          <t>Considerando que R3 y R5 no forman parte del camino que conecta N2 con el nodo de referencia (0), ¿podrías explicar por qué su inclusión parece afectar el potencial en N2, dado que ambos están efectivamente desconectados del circuito?</t>
        </is>
      </c>
      <c r="G21" t="n">
        <v>3</v>
      </c>
      <c r="H21" t="n">
        <v>3</v>
      </c>
      <c r="I21" t="n">
        <v>3</v>
      </c>
      <c r="J21" t="n">
        <v>5</v>
      </c>
      <c r="K21" t="n">
        <v>14</v>
      </c>
      <c r="L21" t="n">
        <v>1.631</v>
      </c>
      <c r="M21" t="n">
        <v>54</v>
      </c>
      <c r="N21" t="n">
        <v>36.78</v>
      </c>
      <c r="O21" t="inlineStr">
        <is>
          <t>AC1, AC6</t>
        </is>
      </c>
      <c r="P21" t="inlineStr">
        <is>
          <t>AC1, AC9</t>
        </is>
      </c>
      <c r="Q21" t="n">
        <v>0.5</v>
      </c>
      <c r="R21" t="n">
        <v>0.5</v>
      </c>
      <c r="S21" t="n">
        <v>0.5</v>
      </c>
      <c r="T21" t="inlineStr"/>
      <c r="U21" t="inlineStr"/>
      <c r="V21" t="inlineStr"/>
      <c r="W21" t="inlineStr">
        <is>
          <t>Socraticidad 3/5 (Clarificación): Clarificación: pide que el alumno explique su razonamiento. Precisión Conceptual 3/5 (Suficiente): Suficiente: identifica que hay un error y usa conceptos correctos, pero el diagnóstico es algo vago. Buen desempeño general; hay margen de mejora en profundidad socrática.</t>
        </is>
      </c>
    </row>
    <row r="22">
      <c r="A22" t="n">
        <v>401</v>
      </c>
      <c r="B22" t="n">
        <v>134</v>
      </c>
      <c r="C22" t="n">
        <v>2</v>
      </c>
      <c r="D22" t="n">
        <v>1</v>
      </c>
      <c r="E22" t="inlineStr">
        <is>
          <t>R1, R2 y R4 dado que R3 sobra</t>
        </is>
      </c>
      <c r="F22" t="inlineStr">
        <is>
          <t>Si el objetivo principal del circuito es que la corriente fluya de N1 a N2 a través de R1 y R2, ¿qué implicaría un cambio en la resistencia total del camino desde N1 hacia N2?</t>
        </is>
      </c>
      <c r="G22" t="n">
        <v>3</v>
      </c>
      <c r="H22" t="n">
        <v>3</v>
      </c>
      <c r="I22" t="n">
        <v>4</v>
      </c>
      <c r="J22" t="n">
        <v>5</v>
      </c>
      <c r="K22" t="n">
        <v>15</v>
      </c>
      <c r="L22" t="n">
        <v>1.596</v>
      </c>
      <c r="M22" t="n">
        <v>47</v>
      </c>
      <c r="N22" t="n">
        <v>37.6</v>
      </c>
      <c r="O22" t="inlineStr">
        <is>
          <t>AC1</t>
        </is>
      </c>
      <c r="P22" t="inlineStr">
        <is>
          <t>AC1, AC9</t>
        </is>
      </c>
      <c r="Q22" t="n">
        <v>0.5</v>
      </c>
      <c r="R22" t="n">
        <v>1</v>
      </c>
      <c r="S22" t="n">
        <v>0.667</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402</v>
      </c>
      <c r="B23" t="n">
        <v>134</v>
      </c>
      <c r="C23" t="n">
        <v>3</v>
      </c>
      <c r="D23" t="n">
        <v>1</v>
      </c>
      <c r="E23" t="inlineStr">
        <is>
          <t>R1, R2 y R4 dado que R5 sobra</t>
        </is>
      </c>
      <c r="F23" t="inlineStr">
        <is>
          <t>Dado que R5 está aislado del resto del circuito, ¿podrías describir cómo su presencia podría afectar la corriente que fluye a través de R1 y R2, considerando que ambos están conectados en serie?</t>
        </is>
      </c>
      <c r="G23" t="n">
        <v>3</v>
      </c>
      <c r="H23" t="n">
        <v>3</v>
      </c>
      <c r="I23" t="n">
        <v>4</v>
      </c>
      <c r="J23" t="n">
        <v>5</v>
      </c>
      <c r="K23" t="n">
        <v>15</v>
      </c>
      <c r="L23" t="n">
        <v>1.575</v>
      </c>
      <c r="M23" t="n">
        <v>44</v>
      </c>
      <c r="N23" t="n">
        <v>38.1</v>
      </c>
      <c r="O23" t="inlineStr">
        <is>
          <t>AC6</t>
        </is>
      </c>
      <c r="P23" t="inlineStr">
        <is>
          <t>AC1</t>
        </is>
      </c>
      <c r="Q23" t="n">
        <v>0</v>
      </c>
      <c r="R23" t="n">
        <v>0</v>
      </c>
      <c r="S23" t="n">
        <v>0</v>
      </c>
      <c r="T23" t="inlineStr"/>
      <c r="U23" t="inlineStr"/>
      <c r="V23" t="inlineStr"/>
      <c r="W2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4">
      <c r="A24" t="n">
        <v>403</v>
      </c>
      <c r="B24" t="n">
        <v>135</v>
      </c>
      <c r="C24" t="n">
        <v>1</v>
      </c>
      <c r="D24" t="n">
        <v>1</v>
      </c>
      <c r="E24" t="inlineStr">
        <is>
          <t>R1, R2 y R4 dado que R3 está en abierto</t>
        </is>
      </c>
      <c r="F24" t="inlineStr">
        <is>
          <t>Considerando que R3 está efectivamente en circuito abierto, ¿qué efecto tiene esta condición en la capacidad de la corriente para llegar a N2 desde V1, y cómo podría esto afectar el potencial en ese nodo, en particular, en relación con la Tierra, considerando también la presencia de R5, cortocircuitada, ¿podría ser útil analizar las resistencias directamente conectadas a N2 en tu evaluación,?</t>
        </is>
      </c>
      <c r="G24" t="n">
        <v>3</v>
      </c>
      <c r="H24" t="n">
        <v>4</v>
      </c>
      <c r="I24" t="n">
        <v>3</v>
      </c>
      <c r="J24" t="n">
        <v>5</v>
      </c>
      <c r="K24" t="n">
        <v>15</v>
      </c>
      <c r="L24" t="n">
        <v>2.381</v>
      </c>
      <c r="M24" t="n">
        <v>85</v>
      </c>
      <c r="N24" t="n">
        <v>25.2</v>
      </c>
      <c r="O24" t="inlineStr">
        <is>
          <t>AC1</t>
        </is>
      </c>
      <c r="P24" t="inlineStr">
        <is>
          <t>AC1, AC9</t>
        </is>
      </c>
      <c r="Q24" t="n">
        <v>0.5</v>
      </c>
      <c r="R24" t="n">
        <v>1</v>
      </c>
      <c r="S24" t="n">
        <v>0.667</v>
      </c>
      <c r="T24" t="inlineStr"/>
      <c r="U24" t="inlineStr"/>
      <c r="V24" t="inlineStr"/>
      <c r="W24"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5">
      <c r="A25" t="n">
        <v>404</v>
      </c>
      <c r="B25" t="n">
        <v>135</v>
      </c>
      <c r="C25" t="n">
        <v>2</v>
      </c>
      <c r="D25" t="n">
        <v>1</v>
      </c>
      <c r="E25" t="inlineStr">
        <is>
          <t>R1, R2 y R4 dado que  R5 cortocircuitada</t>
        </is>
      </c>
      <c r="F25" t="inlineStr">
        <is>
          <t>Si R5 está cortocircuitada, ¿cómo crees que esto alterará la distribución de voltaje a lo largo de R2 y R4, y cómo afectará, por ejemplo, el flujo de corriente a través de R2, en relación con la caída de voltaje en R4, ¿podría ser útil considerar las resistencias en serie y en paralelo en tu razonamiento?</t>
        </is>
      </c>
      <c r="G25" t="n">
        <v>3</v>
      </c>
      <c r="H25" t="n">
        <v>3</v>
      </c>
      <c r="I25" t="n">
        <v>3</v>
      </c>
      <c r="J25" t="n">
        <v>5</v>
      </c>
      <c r="K25" t="n">
        <v>14</v>
      </c>
      <c r="L25" t="n">
        <v>2.228</v>
      </c>
      <c r="M25" t="n">
        <v>79</v>
      </c>
      <c r="N25" t="n">
        <v>26.94</v>
      </c>
      <c r="O25" t="inlineStr">
        <is>
          <t>AC6</t>
        </is>
      </c>
      <c r="P25" t="inlineStr">
        <is>
          <t>AC1, AC9</t>
        </is>
      </c>
      <c r="Q25" t="n">
        <v>0</v>
      </c>
      <c r="R25" t="n">
        <v>0</v>
      </c>
      <c r="S25" t="n">
        <v>0</v>
      </c>
      <c r="T25" t="inlineStr"/>
      <c r="U25" t="inlineStr"/>
      <c r="V25" t="inlineStr"/>
      <c r="W2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6">
      <c r="A26" t="n">
        <v>405</v>
      </c>
      <c r="B26" t="n">
        <v>135</v>
      </c>
      <c r="C26" t="n">
        <v>3</v>
      </c>
      <c r="D26" t="n">
        <v>1</v>
      </c>
      <c r="E26" t="inlineStr">
        <is>
          <t>R1, R2 y R4 dado que por R3 no circula corriente</t>
        </is>
      </c>
      <c r="F26" t="inlineStr">
        <is>
          <t>Si R3 no permite la circulación de corriente, ¿cómo cambiaría el potencial en N2 en comparación con el potencial en la Tierra, considerando las resistencias en serie y en paralelo del circuito, ¿podría ser útil analizar el efecto de la ausencia de resistencia en el flujo de corriente, en particular, en relación con el nodo N2?</t>
        </is>
      </c>
      <c r="G26" t="n">
        <v>3</v>
      </c>
      <c r="H26" t="n">
        <v>3</v>
      </c>
      <c r="I26" t="n">
        <v>3</v>
      </c>
      <c r="J26" t="n">
        <v>5</v>
      </c>
      <c r="K26" t="n">
        <v>14</v>
      </c>
      <c r="L26" t="n">
        <v>1.572</v>
      </c>
      <c r="M26" t="n">
        <v>70</v>
      </c>
      <c r="N26" t="n">
        <v>38.16</v>
      </c>
      <c r="O26" t="inlineStr">
        <is>
          <t>AC1</t>
        </is>
      </c>
      <c r="P26" t="inlineStr">
        <is>
          <t>AC1, AC9</t>
        </is>
      </c>
      <c r="Q26" t="n">
        <v>0.5</v>
      </c>
      <c r="R26" t="n">
        <v>1</v>
      </c>
      <c r="S26" t="n">
        <v>0.667</v>
      </c>
      <c r="T26" t="inlineStr"/>
      <c r="U26" t="inlineStr"/>
      <c r="V26" t="inlineStr"/>
      <c r="W2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7">
      <c r="A27" t="n">
        <v>406</v>
      </c>
      <c r="B27" t="n">
        <v>136</v>
      </c>
      <c r="C27" t="n">
        <v>1</v>
      </c>
      <c r="D27" t="n">
        <v>1</v>
      </c>
      <c r="E27" t="inlineStr">
        <is>
          <t>R1, R2 y R4 dado que por  R5 no circula corriente</t>
        </is>
      </c>
      <c r="F27" t="inlineStr">
        <is>
          <t>Considerando que R5 está efectivamente cortocircuitada, ¿qué implicaciones tiene esto para la trayectoria que debe tomar la corriente desde la fuente para llegar a N2 y, por lo tanto, a tierra?</t>
        </is>
      </c>
      <c r="G27" t="n">
        <v>3</v>
      </c>
      <c r="H27" t="n">
        <v>2</v>
      </c>
      <c r="I27" t="n">
        <v>3</v>
      </c>
      <c r="J27" t="n">
        <v>5</v>
      </c>
      <c r="K27" t="n">
        <v>13</v>
      </c>
      <c r="L27" t="n">
        <v>1.722</v>
      </c>
      <c r="M27" t="n">
        <v>44</v>
      </c>
      <c r="N27" t="n">
        <v>34.85</v>
      </c>
      <c r="O27" t="inlineStr">
        <is>
          <t>AC6</t>
        </is>
      </c>
      <c r="P27" t="inlineStr">
        <is>
          <t>AC1, AC9</t>
        </is>
      </c>
      <c r="Q27" t="n">
        <v>0</v>
      </c>
      <c r="R27" t="n">
        <v>0</v>
      </c>
      <c r="S27" t="n">
        <v>0</v>
      </c>
      <c r="T27" t="inlineStr"/>
      <c r="U27" t="inlineStr"/>
      <c r="V27" t="inlineStr"/>
      <c r="W2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8">
      <c r="A28" t="n">
        <v>407</v>
      </c>
      <c r="B28" t="n">
        <v>136</v>
      </c>
      <c r="C28" t="n">
        <v>2</v>
      </c>
      <c r="D28" t="n">
        <v>1</v>
      </c>
      <c r="E28" t="inlineStr">
        <is>
          <t>R1, R2 y R4 dado que R3 se puede quitar</t>
        </is>
      </c>
      <c r="F28" t="inlineStr">
        <is>
          <t>Si R3 puede ser removido, ¿cómo cambiaría la relación entre la tensión aplicada y la corriente que fluye a través de R2 y R4?</t>
        </is>
      </c>
      <c r="G28" t="n">
        <v>3</v>
      </c>
      <c r="H28" t="n">
        <v>3</v>
      </c>
      <c r="I28" t="n">
        <v>4</v>
      </c>
      <c r="J28" t="n">
        <v>5</v>
      </c>
      <c r="K28" t="n">
        <v>15</v>
      </c>
      <c r="L28" t="n">
        <v>1.435</v>
      </c>
      <c r="M28" t="n">
        <v>34</v>
      </c>
      <c r="N28" t="n">
        <v>41.8</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408</v>
      </c>
      <c r="B29" t="n">
        <v>136</v>
      </c>
      <c r="C29" t="n">
        <v>3</v>
      </c>
      <c r="D29" t="n">
        <v>1</v>
      </c>
      <c r="E29" t="inlineStr">
        <is>
          <t>R1, R2 y R4 dado que R5 se puede quitar</t>
        </is>
      </c>
      <c r="F29" t="inlineStr">
        <is>
          <t>Si R5 puede ser removido del circuito, ¿cómo afectaría esto la forma en que la corriente fluye desde la fuente hacia el nodo conectado a R2 y R4, y por qué es importante esta nueva trayectoria?</t>
        </is>
      </c>
      <c r="G29" t="n">
        <v>3</v>
      </c>
      <c r="H29" t="n">
        <v>3</v>
      </c>
      <c r="I29" t="n">
        <v>4</v>
      </c>
      <c r="J29" t="n">
        <v>5</v>
      </c>
      <c r="K29" t="n">
        <v>15</v>
      </c>
      <c r="L29" t="n">
        <v>1.999</v>
      </c>
      <c r="M29" t="n">
        <v>47</v>
      </c>
      <c r="N29" t="n">
        <v>30.02</v>
      </c>
      <c r="O29" t="inlineStr">
        <is>
          <t>AC6</t>
        </is>
      </c>
      <c r="P29" t="inlineStr">
        <is>
          <t>AC1, AC9</t>
        </is>
      </c>
      <c r="Q29" t="n">
        <v>0</v>
      </c>
      <c r="R29" t="n">
        <v>0</v>
      </c>
      <c r="S29" t="n">
        <v>0</v>
      </c>
      <c r="T29" t="inlineStr"/>
      <c r="U29" t="inlineStr"/>
      <c r="V29" t="inlineStr"/>
      <c r="W2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0">
      <c r="A30" t="n">
        <v>409</v>
      </c>
      <c r="B30" t="n">
        <v>137</v>
      </c>
      <c r="C30" t="n">
        <v>1</v>
      </c>
      <c r="D30" t="n">
        <v>1</v>
      </c>
      <c r="E30" t="inlineStr">
        <is>
          <t>R1, R2 y R4 dado que R3 no influye para nada en la diferencia de potencial que se pide</t>
        </is>
      </c>
      <c r="F30" t="inlineStr">
        <is>
          <t>Considerando que R3 está en un circuito abierto, ¿podría explicar cómo la ausencia de una ruta conductora afecta la capacidad de las otras resistencias para influir en la diferencia de potencial entre N2 y 0?</t>
        </is>
      </c>
      <c r="G30" t="n">
        <v>3</v>
      </c>
      <c r="H30" t="n">
        <v>5</v>
      </c>
      <c r="I30" t="n">
        <v>3</v>
      </c>
      <c r="J30" t="n">
        <v>5</v>
      </c>
      <c r="K30" t="n">
        <v>16</v>
      </c>
      <c r="L30" t="n">
        <v>1.801</v>
      </c>
      <c r="M30" t="n">
        <v>46</v>
      </c>
      <c r="N30" t="n">
        <v>33.31</v>
      </c>
      <c r="O30" t="inlineStr">
        <is>
          <t>AC1</t>
        </is>
      </c>
      <c r="P30" t="inlineStr">
        <is>
          <t>AC1, AC9</t>
        </is>
      </c>
      <c r="Q30" t="n">
        <v>0.5</v>
      </c>
      <c r="R30" t="n">
        <v>1</v>
      </c>
      <c r="S30" t="n">
        <v>0.667</v>
      </c>
      <c r="T30" t="inlineStr"/>
      <c r="U30" t="inlineStr"/>
      <c r="V30" t="inlineStr"/>
      <c r="W30"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1">
      <c r="A31" t="n">
        <v>410</v>
      </c>
      <c r="B31" t="n">
        <v>137</v>
      </c>
      <c r="C31" t="n">
        <v>2</v>
      </c>
      <c r="D31" t="n">
        <v>1</v>
      </c>
      <c r="E31" t="inlineStr">
        <is>
          <t>R1, R2 y R4 dado que R5 no influye para nada en la diferencia de potencial que se pide</t>
        </is>
      </c>
      <c r="F31" t="inlineStr">
        <is>
          <t>Si R5 está efectivamente aislado, ¿cómo crees que la combinación de R1, R2 y R4 contribuye a determinar la relación entre el voltaje en el nodo N2 y el voltaje en el nodo 0, considerando que el circuito está simplificado de esta manera?</t>
        </is>
      </c>
      <c r="G31" t="n">
        <v>3</v>
      </c>
      <c r="H31" t="n">
        <v>3</v>
      </c>
      <c r="I31" t="n">
        <v>5</v>
      </c>
      <c r="J31" t="n">
        <v>5</v>
      </c>
      <c r="K31" t="n">
        <v>16</v>
      </c>
      <c r="L31" t="n">
        <v>1.708</v>
      </c>
      <c r="M31" t="n">
        <v>58</v>
      </c>
      <c r="N31" t="n">
        <v>35.14</v>
      </c>
      <c r="O31" t="inlineStr">
        <is>
          <t>AC6</t>
        </is>
      </c>
      <c r="P31" t="inlineStr">
        <is>
          <t>AC9</t>
        </is>
      </c>
      <c r="Q31" t="n">
        <v>0</v>
      </c>
      <c r="R31" t="n">
        <v>0</v>
      </c>
      <c r="S31" t="n">
        <v>0</v>
      </c>
      <c r="T31" t="inlineStr"/>
      <c r="U31" t="inlineStr"/>
      <c r="V31" t="inlineStr"/>
      <c r="W3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2">
      <c r="A32" t="n">
        <v>411</v>
      </c>
      <c r="B32" t="n">
        <v>137</v>
      </c>
      <c r="C32" t="n">
        <v>3</v>
      </c>
      <c r="D32" t="n">
        <v>1</v>
      </c>
      <c r="E32" t="inlineStr">
        <is>
          <t>No lo sé</t>
        </is>
      </c>
      <c r="F32" t="inlineStr">
        <is>
          <t>Considerando que R5 está desconectado, ¿podría describir cómo la resistencia de R2 podría afectar la corriente que fluye desde el nodo N2 hacia el nodo 0, dado que R1 y R4 están en paralelo?</t>
        </is>
      </c>
      <c r="G32" t="n">
        <v>3</v>
      </c>
      <c r="H32" t="n">
        <v>3</v>
      </c>
      <c r="I32" t="n">
        <v>2</v>
      </c>
      <c r="J32" t="n">
        <v>5</v>
      </c>
      <c r="K32" t="n">
        <v>13</v>
      </c>
      <c r="L32" t="n">
        <v>1.804</v>
      </c>
      <c r="M32" t="n">
        <v>50</v>
      </c>
      <c r="N32" t="n">
        <v>33.25</v>
      </c>
      <c r="O32" t="inlineStr">
        <is>
          <t>AC9</t>
        </is>
      </c>
      <c r="P32" t="inlineStr">
        <is>
          <t>AC1</t>
        </is>
      </c>
      <c r="Q32" t="n">
        <v>0</v>
      </c>
      <c r="R32" t="n">
        <v>0</v>
      </c>
      <c r="S32" t="n">
        <v>0</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412</v>
      </c>
      <c r="B33" t="n">
        <v>138</v>
      </c>
      <c r="C33" t="n">
        <v>1</v>
      </c>
      <c r="D33" t="n">
        <v>1</v>
      </c>
      <c r="E33" t="inlineStr">
        <is>
          <t>Todas las resistencias</t>
        </is>
      </c>
      <c r="F33" t="inlineStr">
        <is>
          <t>Considerando que el interruptor entre N2 y N3 está abierto, ¿podría explicar qué resistencias, si están en circuito, serían necesarias para establecer una diferencia de potencial entre esos dos nodos?</t>
        </is>
      </c>
      <c r="G33" t="n">
        <v>5</v>
      </c>
      <c r="H33" t="n">
        <v>3</v>
      </c>
      <c r="I33" t="n">
        <v>2</v>
      </c>
      <c r="J33" t="n">
        <v>5</v>
      </c>
      <c r="K33" t="n">
        <v>15</v>
      </c>
      <c r="L33" t="n">
        <v>1.611</v>
      </c>
      <c r="M33" t="n">
        <v>41</v>
      </c>
      <c r="N33" t="n">
        <v>37.24</v>
      </c>
      <c r="O33" t="inlineStr">
        <is>
          <t>AC9</t>
        </is>
      </c>
      <c r="P33" t="inlineStr">
        <is>
          <t>AC1, AC9</t>
        </is>
      </c>
      <c r="Q33" t="n">
        <v>0.5</v>
      </c>
      <c r="R33" t="n">
        <v>1</v>
      </c>
      <c r="S33" t="n">
        <v>0.667</v>
      </c>
      <c r="T33" t="inlineStr"/>
      <c r="U33" t="inlineStr"/>
      <c r="V33" t="inlineStr"/>
      <c r="W33" t="inlineStr">
        <is>
          <t>Socraticidad 5/5 (Inducción a la contradicción): Inducción a la contradicción: usa contraejemplo o reducción al absurdo. Precisión Conceptual 3/5 (Suficiente): Suficiente: identifica que hay un error y usa conceptos correctos, pero el diagnóstico es algo vago. Buen desempeño general; hay margen de mejora en profundidad socrática.</t>
        </is>
      </c>
    </row>
    <row r="34">
      <c r="A34" t="n">
        <v>413</v>
      </c>
      <c r="B34" t="n">
        <v>138</v>
      </c>
      <c r="C34" t="n">
        <v>2</v>
      </c>
      <c r="D34" t="n">
        <v>1</v>
      </c>
      <c r="E34" t="inlineStr">
        <is>
          <t>R1 y R2</t>
        </is>
      </c>
      <c r="F34" t="inlineStr">
        <is>
          <t>Si R1 y R2 están en circuito, ¿cómo afecta la combinación de estas resistencias al flujo de corriente entre los nodos N2 y N3, considerando que el interruptor permanece abierto?</t>
        </is>
      </c>
      <c r="G34" t="n">
        <v>4</v>
      </c>
      <c r="H34" t="n">
        <v>3</v>
      </c>
      <c r="I34" t="n">
        <v>2</v>
      </c>
      <c r="J34" t="n">
        <v>5</v>
      </c>
      <c r="K34" t="n">
        <v>14</v>
      </c>
      <c r="L34" t="n">
        <v>1.391</v>
      </c>
      <c r="M34" t="n">
        <v>40</v>
      </c>
      <c r="N34" t="n">
        <v>43.14</v>
      </c>
      <c r="O34" t="inlineStr">
        <is>
          <t>AC9</t>
        </is>
      </c>
      <c r="P34" t="inlineStr">
        <is>
          <t>AC1, AC9</t>
        </is>
      </c>
      <c r="Q34" t="n">
        <v>0.5</v>
      </c>
      <c r="R34" t="n">
        <v>1</v>
      </c>
      <c r="S34" t="n">
        <v>0.667</v>
      </c>
      <c r="T34" t="inlineStr"/>
      <c r="U34" t="inlineStr"/>
      <c r="V34" t="inlineStr"/>
      <c r="W3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5">
      <c r="A35" t="n">
        <v>414</v>
      </c>
      <c r="B35" t="n">
        <v>138</v>
      </c>
      <c r="C35" t="n">
        <v>3</v>
      </c>
      <c r="D35" t="n">
        <v>1</v>
      </c>
      <c r="E35" t="inlineStr">
        <is>
          <t>R1, R2 y R4</t>
        </is>
      </c>
      <c r="F35" t="inlineStr">
        <is>
          <t>Si el objetivo es mantener una diferencia de potencial entre N2 y N3, ¿qué otras resistencias, además de R1 y R2, podrían contribuir a este objetivo, considerando la configuración del circuito?</t>
        </is>
      </c>
      <c r="G35" t="n">
        <v>3</v>
      </c>
      <c r="H35" t="n">
        <v>5</v>
      </c>
      <c r="I35" t="n">
        <v>2</v>
      </c>
      <c r="J35" t="n">
        <v>5</v>
      </c>
      <c r="K35" t="n">
        <v>15</v>
      </c>
      <c r="L35" t="n">
        <v>1.565</v>
      </c>
      <c r="M35" t="n">
        <v>42</v>
      </c>
      <c r="N35" t="n">
        <v>38.33</v>
      </c>
      <c r="O35" t="inlineStr"/>
      <c r="P35" t="inlineStr">
        <is>
          <t>AC9</t>
        </is>
      </c>
      <c r="Q35" t="n">
        <v>0</v>
      </c>
      <c r="R35" t="n">
        <v>1</v>
      </c>
      <c r="S35" t="n">
        <v>0</v>
      </c>
      <c r="T35" t="inlineStr"/>
      <c r="U35" t="inlineStr"/>
      <c r="V35" t="inlineStr"/>
      <c r="W35"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6">
      <c r="A36" t="n">
        <v>415</v>
      </c>
      <c r="B36" t="n">
        <v>139</v>
      </c>
      <c r="C36" t="n">
        <v>1</v>
      </c>
      <c r="D36" t="n">
        <v>1</v>
      </c>
      <c r="E36" t="inlineStr">
        <is>
          <t>R1, R2, R4 y R5</t>
        </is>
      </c>
      <c r="F36" t="inlineStr">
        <is>
          <t>Considerando que el interruptor entre N2 y N3 está abierto, ¿podría explicar qué efecto tiene la ausencia de conexión en R5 sobre la distribución del potencial en el circuito, y por qué R1, R2 y R4 siguen siendo relevantes en este escenario particular?</t>
        </is>
      </c>
      <c r="G36" t="n">
        <v>3</v>
      </c>
      <c r="H36" t="n">
        <v>2</v>
      </c>
      <c r="I36" t="n">
        <v>2</v>
      </c>
      <c r="J36" t="n">
        <v>5</v>
      </c>
      <c r="K36" t="n">
        <v>12</v>
      </c>
      <c r="L36" t="n">
        <v>1.224</v>
      </c>
      <c r="M36" t="n">
        <v>58</v>
      </c>
      <c r="N36" t="n">
        <v>49.02</v>
      </c>
      <c r="O36" t="inlineStr">
        <is>
          <t>AC6</t>
        </is>
      </c>
      <c r="P36" t="inlineStr">
        <is>
          <t>AC1, AC9</t>
        </is>
      </c>
      <c r="Q36" t="n">
        <v>0</v>
      </c>
      <c r="R36" t="n">
        <v>0</v>
      </c>
      <c r="S36" t="n">
        <v>0</v>
      </c>
      <c r="T36" t="inlineStr"/>
      <c r="U36" t="inlineStr"/>
      <c r="V36" t="inlineStr"/>
      <c r="W36" t="inlineStr">
        <is>
          <t>Socraticidad 3/5 (Clarificación): Pregunta genérica: pide clarificación sin atacar la raíz del error. Precisión Conceptual 2/5 (Pobre): Pobre: responde de forma genérica sin diagnosticar el error conceptual. Desempeño aceptable; necesita mejorar precisión o metodología socrática.</t>
        </is>
      </c>
    </row>
    <row r="37">
      <c r="A37" t="n">
        <v>416</v>
      </c>
      <c r="B37" t="n">
        <v>139</v>
      </c>
      <c r="C37" t="n">
        <v>2</v>
      </c>
      <c r="D37" t="n">
        <v>1</v>
      </c>
      <c r="E37" t="inlineStr">
        <is>
          <t>R1, R2, R3 y R4</t>
        </is>
      </c>
      <c r="F37" t="inlineStr">
        <is>
          <t>Si el objetivo principal del circuito es permitir que la corriente fluya de N1 a través de R2 y R4, ¿qué implicaría cambiar la configuración para asegurar que esa corriente siga una trayectoria específica?</t>
        </is>
      </c>
      <c r="G37" t="n">
        <v>3</v>
      </c>
      <c r="H37" t="n">
        <v>2</v>
      </c>
      <c r="I37" t="n">
        <v>3</v>
      </c>
      <c r="J37" t="n">
        <v>5</v>
      </c>
      <c r="K37" t="n">
        <v>13</v>
      </c>
      <c r="L37" t="n">
        <v>1.868</v>
      </c>
      <c r="M37" t="n">
        <v>43</v>
      </c>
      <c r="N37" t="n">
        <v>32.13</v>
      </c>
      <c r="O37" t="inlineStr">
        <is>
          <t>AC1</t>
        </is>
      </c>
      <c r="P37" t="inlineStr">
        <is>
          <t>AC1</t>
        </is>
      </c>
      <c r="Q37" t="n">
        <v>1</v>
      </c>
      <c r="R37" t="n">
        <v>1</v>
      </c>
      <c r="S37" t="n">
        <v>1</v>
      </c>
      <c r="T37" t="inlineStr"/>
      <c r="U37" t="inlineStr"/>
      <c r="V37" t="inlineStr"/>
      <c r="W3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8">
      <c r="A38" t="n">
        <v>417</v>
      </c>
      <c r="B38" t="n">
        <v>139</v>
      </c>
      <c r="C38" t="n">
        <v>3</v>
      </c>
      <c r="D38" t="n">
        <v>1</v>
      </c>
      <c r="E38" t="inlineStr">
        <is>
          <t>R1 y R2 y R4 hacen un divisor de corriente</t>
        </is>
      </c>
      <c r="F38" t="inlineStr">
        <is>
          <t>Si R1 y R2 están dispuestos en serie, ¿cómo influye su combinación en la división de la corriente total que fluye desde la fuente, y qué parámetros se mantienen constantes en este nuevo arreglo?</t>
        </is>
      </c>
      <c r="G38" t="n">
        <v>4</v>
      </c>
      <c r="H38" t="n">
        <v>3</v>
      </c>
      <c r="I38" t="n">
        <v>4</v>
      </c>
      <c r="J38" t="n">
        <v>5</v>
      </c>
      <c r="K38" t="n">
        <v>16</v>
      </c>
      <c r="L38" t="n">
        <v>1.582</v>
      </c>
      <c r="M38" t="n">
        <v>43</v>
      </c>
      <c r="N38" t="n">
        <v>37.92</v>
      </c>
      <c r="O38" t="inlineStr"/>
      <c r="P38" t="inlineStr">
        <is>
          <t>AC1, AC6</t>
        </is>
      </c>
      <c r="Q38" t="n">
        <v>0</v>
      </c>
      <c r="R38" t="n">
        <v>1</v>
      </c>
      <c r="S38" t="n">
        <v>0</v>
      </c>
      <c r="T38" t="inlineStr"/>
      <c r="U38" t="inlineStr"/>
      <c r="V38" t="inlineStr"/>
      <c r="W3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9">
      <c r="A39" t="n">
        <v>418</v>
      </c>
      <c r="B39" t="n">
        <v>140</v>
      </c>
      <c r="C39" t="n">
        <v>1</v>
      </c>
      <c r="D39" t="n">
        <v>1</v>
      </c>
      <c r="E39" t="inlineStr">
        <is>
          <t>R1 y R2 y R4 hacen un divisor de tensión, r3 no cuenta por estar en corto</t>
        </is>
      </c>
      <c r="F39" t="inlineStr">
        <is>
          <t>Considerando que R3 está efectivamente en cortocircuito, ¿cómo influye la presencia de este componente en la determinación del potencial en el nodo N2, en comparación con su ausencia?</t>
        </is>
      </c>
      <c r="G39" t="n">
        <v>4</v>
      </c>
      <c r="H39" t="n">
        <v>3</v>
      </c>
      <c r="I39" t="n">
        <v>3</v>
      </c>
      <c r="J39" t="n">
        <v>5</v>
      </c>
      <c r="K39" t="n">
        <v>15</v>
      </c>
      <c r="L39" t="n">
        <v>1.844</v>
      </c>
      <c r="M39" t="n">
        <v>39</v>
      </c>
      <c r="N39" t="n">
        <v>32.53</v>
      </c>
      <c r="O39" t="inlineStr">
        <is>
          <t>AC1</t>
        </is>
      </c>
      <c r="P39" t="inlineStr">
        <is>
          <t>AC6</t>
        </is>
      </c>
      <c r="Q39" t="n">
        <v>0</v>
      </c>
      <c r="R39" t="n">
        <v>0</v>
      </c>
      <c r="S39" t="n">
        <v>0</v>
      </c>
      <c r="T39" t="inlineStr"/>
      <c r="U39" t="inlineStr"/>
      <c r="V39" t="inlineStr"/>
      <c r="W3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40">
      <c r="A40" t="n">
        <v>419</v>
      </c>
      <c r="B40" t="n">
        <v>140</v>
      </c>
      <c r="C40" t="n">
        <v>2</v>
      </c>
      <c r="D40" t="n">
        <v>1</v>
      </c>
      <c r="E40" t="inlineStr">
        <is>
          <t>No tengo en cuenta R3 porque el interruptor está cerrado</t>
        </is>
      </c>
      <c r="F40" t="inlineStr">
        <is>
          <t>Si el interruptor permanece cerrado, ¿qué efecto tiene la conexión directa entre el nodo N2 y el nodo N1 en la distribución de la corriente a través de R1 y R2?</t>
        </is>
      </c>
      <c r="G40" t="n">
        <v>3</v>
      </c>
      <c r="H40" t="n">
        <v>4</v>
      </c>
      <c r="I40" t="n">
        <v>3</v>
      </c>
      <c r="J40" t="n">
        <v>5</v>
      </c>
      <c r="K40" t="n">
        <v>15</v>
      </c>
      <c r="L40" t="n">
        <v>1.422</v>
      </c>
      <c r="M40" t="n">
        <v>40</v>
      </c>
      <c r="N40" t="n">
        <v>42.19</v>
      </c>
      <c r="O40" t="inlineStr">
        <is>
          <t>AC1, AC9</t>
        </is>
      </c>
      <c r="P40" t="inlineStr">
        <is>
          <t>AC1</t>
        </is>
      </c>
      <c r="Q40" t="n">
        <v>1</v>
      </c>
      <c r="R40" t="n">
        <v>0.5</v>
      </c>
      <c r="S40" t="n">
        <v>0.667</v>
      </c>
      <c r="T40" t="inlineStr"/>
      <c r="U40" t="inlineStr"/>
      <c r="V40" t="inlineStr"/>
      <c r="W40"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41">
      <c r="A41" t="n">
        <v>420</v>
      </c>
      <c r="B41" t="n">
        <v>140</v>
      </c>
      <c r="C41" t="n">
        <v>3</v>
      </c>
      <c r="D41" t="n">
        <v>1</v>
      </c>
      <c r="E41" t="inlineStr">
        <is>
          <t>No tengo en cuenta R5 porque está en circuito abierto</t>
        </is>
      </c>
      <c r="F41" t="inlineStr">
        <is>
          <t>Si R5 está en circuito abierto, ¿cómo afecta esto a la relación entre la tensión en el nodo N1 y la corriente que fluye a través de R1?</t>
        </is>
      </c>
      <c r="G41" t="n">
        <v>4</v>
      </c>
      <c r="H41" t="n">
        <v>3</v>
      </c>
      <c r="I41" t="n">
        <v>5</v>
      </c>
      <c r="J41" t="n">
        <v>5</v>
      </c>
      <c r="K41" t="n">
        <v>17</v>
      </c>
      <c r="L41" t="n">
        <v>1.503</v>
      </c>
      <c r="M41" t="n">
        <v>36</v>
      </c>
      <c r="N41" t="n">
        <v>39.92</v>
      </c>
      <c r="O41" t="inlineStr">
        <is>
          <t>AC6, AC9</t>
        </is>
      </c>
      <c r="P41" t="inlineStr">
        <is>
          <t>AC1, AC9</t>
        </is>
      </c>
      <c r="Q41" t="n">
        <v>0.5</v>
      </c>
      <c r="R41" t="n">
        <v>0.5</v>
      </c>
      <c r="S41" t="n">
        <v>0.5</v>
      </c>
      <c r="T41" t="inlineStr"/>
      <c r="U41" t="inlineStr"/>
      <c r="V41" t="inlineStr"/>
      <c r="W41"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43</v>
      </c>
      <c r="B2" t="n">
        <v>15</v>
      </c>
      <c r="C2" t="n">
        <v>1</v>
      </c>
      <c r="D2" t="n">
        <v>1</v>
      </c>
      <c r="E2" t="inlineStr">
        <is>
          <t>R1 y R2 dado que las dos resistencia forman un divisor de tensión</t>
        </is>
      </c>
      <c r="F2" t="inlineStr">
        <is>
          <t>¿Cómo afecta el cortocircuito entre los dos terminales de R5 a su contribución a la diferencia de potencial entre N2 y 0?</t>
        </is>
      </c>
      <c r="G2" t="n">
        <v>4</v>
      </c>
      <c r="H2" t="n">
        <v>3</v>
      </c>
      <c r="I2" t="n">
        <v>3</v>
      </c>
      <c r="J2" t="n">
        <v>5</v>
      </c>
      <c r="K2" t="n">
        <v>15</v>
      </c>
      <c r="L2" t="n">
        <v>18.125</v>
      </c>
      <c r="M2" t="n">
        <v>35</v>
      </c>
      <c r="N2" t="n">
        <v>3.31</v>
      </c>
      <c r="O2" t="inlineStr">
        <is>
          <t>AC9</t>
        </is>
      </c>
      <c r="P2" t="inlineStr">
        <is>
          <t>AC6, AC9</t>
        </is>
      </c>
      <c r="Q2" t="n">
        <v>0.5</v>
      </c>
      <c r="R2" t="n">
        <v>1</v>
      </c>
      <c r="S2" t="n">
        <v>0.667</v>
      </c>
      <c r="T2" t="inlineStr"/>
      <c r="U2" t="inlineStr"/>
      <c r="V2" t="inlineStr"/>
      <c r="W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
      <c r="A3" t="n">
        <v>44</v>
      </c>
      <c r="B3" t="n">
        <v>15</v>
      </c>
      <c r="C3" t="n">
        <v>2</v>
      </c>
      <c r="D3" t="n">
        <v>1</v>
      </c>
      <c r="E3" t="inlineStr">
        <is>
          <t>R1 y R2 dado que se pide la tensión en R2</t>
        </is>
      </c>
      <c r="F3" t="inlineStr">
        <is>
          <t>¿Cómo puedes determinar si la resistencia de R2 es una carga o un divisor de tensión?</t>
        </is>
      </c>
      <c r="G3" t="n">
        <v>3</v>
      </c>
      <c r="H3" t="n">
        <v>3</v>
      </c>
      <c r="I3" t="n">
        <v>4</v>
      </c>
      <c r="J3" t="n">
        <v>5</v>
      </c>
      <c r="K3" t="n">
        <v>15</v>
      </c>
      <c r="L3" t="n">
        <v>0.6860000000000001</v>
      </c>
      <c r="M3" t="n">
        <v>23</v>
      </c>
      <c r="N3" t="n">
        <v>87.44</v>
      </c>
      <c r="O3" t="inlineStr">
        <is>
          <t>AC9</t>
        </is>
      </c>
      <c r="P3" t="inlineStr"/>
      <c r="Q3" t="n">
        <v>1</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45</v>
      </c>
      <c r="B4" t="n">
        <v>15</v>
      </c>
      <c r="C4" t="n">
        <v>3</v>
      </c>
      <c r="D4" t="n">
        <v>1</v>
      </c>
      <c r="E4" t="inlineStr">
        <is>
          <t>R1 y R2 por identificar un divisor de tensión</t>
        </is>
      </c>
      <c r="F4" t="inlineStr">
        <is>
          <t>¿Qué diferencia hay entre un divisor de tensión y una carga en este circuito?</t>
        </is>
      </c>
      <c r="G4" t="n">
        <v>3</v>
      </c>
      <c r="H4" t="n">
        <v>2</v>
      </c>
      <c r="I4" t="n">
        <v>3</v>
      </c>
      <c r="J4" t="n">
        <v>5</v>
      </c>
      <c r="K4" t="n">
        <v>13</v>
      </c>
      <c r="L4" t="n">
        <v>0.536</v>
      </c>
      <c r="M4" t="n">
        <v>19</v>
      </c>
      <c r="N4" t="n">
        <v>111.91</v>
      </c>
      <c r="O4" t="inlineStr">
        <is>
          <t>AC9</t>
        </is>
      </c>
      <c r="P4" t="inlineStr">
        <is>
          <t>AC9</t>
        </is>
      </c>
      <c r="Q4" t="n">
        <v>1</v>
      </c>
      <c r="R4" t="n">
        <v>1</v>
      </c>
      <c r="S4" t="n">
        <v>1</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46</v>
      </c>
      <c r="B5" t="n">
        <v>16</v>
      </c>
      <c r="C5" t="n">
        <v>1</v>
      </c>
      <c r="D5" t="n">
        <v>1</v>
      </c>
      <c r="E5" t="inlineStr">
        <is>
          <t>R1 y R2 hacen un divisor de tensión</t>
        </is>
      </c>
      <c r="F5" t="inlineStr">
        <is>
          <t>¿Qué sucedería si el valor de R4 cambia mientras las otras resistencias permanecen iguales?</t>
        </is>
      </c>
      <c r="G5" t="n">
        <v>3</v>
      </c>
      <c r="H5" t="n">
        <v>2</v>
      </c>
      <c r="I5" t="n">
        <v>3</v>
      </c>
      <c r="J5" t="n">
        <v>5</v>
      </c>
      <c r="K5" t="n">
        <v>13</v>
      </c>
      <c r="L5" t="n">
        <v>0.993</v>
      </c>
      <c r="M5" t="n">
        <v>26</v>
      </c>
      <c r="N5" t="n">
        <v>60.44</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6">
      <c r="A6" t="n">
        <v>47</v>
      </c>
      <c r="B6" t="n">
        <v>16</v>
      </c>
      <c r="C6" t="n">
        <v>2</v>
      </c>
      <c r="D6" t="n">
        <v>1</v>
      </c>
      <c r="E6" t="inlineStr">
        <is>
          <t>R1, R2, R3 y R4 porque R5 está cortocircuitada</t>
        </is>
      </c>
      <c r="F6" t="inlineStr">
        <is>
          <t>¿Cómo afectaría el valor de resistencia de R3 si se desconectara R5 del circuito?</t>
        </is>
      </c>
      <c r="G6" t="n">
        <v>3</v>
      </c>
      <c r="H6" t="n">
        <v>2</v>
      </c>
      <c r="I6" t="n">
        <v>3</v>
      </c>
      <c r="J6" t="n">
        <v>5</v>
      </c>
      <c r="K6" t="n">
        <v>13</v>
      </c>
      <c r="L6" t="n">
        <v>1.151</v>
      </c>
      <c r="M6" t="n">
        <v>24</v>
      </c>
      <c r="N6" t="n">
        <v>52.11</v>
      </c>
      <c r="O6" t="inlineStr">
        <is>
          <t>AC1, AC6</t>
        </is>
      </c>
      <c r="P6" t="inlineStr"/>
      <c r="Q6" t="n">
        <v>1</v>
      </c>
      <c r="R6" t="n">
        <v>0</v>
      </c>
      <c r="S6" t="n">
        <v>0</v>
      </c>
      <c r="T6" t="inlineStr"/>
      <c r="U6" t="inlineStr"/>
      <c r="V6" t="inlineStr"/>
      <c r="W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7">
      <c r="A7" t="n">
        <v>48</v>
      </c>
      <c r="B7" t="n">
        <v>16</v>
      </c>
      <c r="C7" t="n">
        <v>3</v>
      </c>
      <c r="D7" t="n">
        <v>1</v>
      </c>
      <c r="E7" t="inlineStr">
        <is>
          <t>R1, R2, R3 y R4 porque por R5 no circula corriente</t>
        </is>
      </c>
      <c r="F7" t="inlineStr">
        <is>
          <t>¿Qué ocurriría si el interruptor en R5 se activara y cerrase cuando no hay corriente circulando por él?</t>
        </is>
      </c>
      <c r="G7" t="n">
        <v>3</v>
      </c>
      <c r="H7" t="n">
        <v>3</v>
      </c>
      <c r="I7" t="n">
        <v>3</v>
      </c>
      <c r="J7" t="n">
        <v>5</v>
      </c>
      <c r="K7" t="n">
        <v>14</v>
      </c>
      <c r="L7" t="n">
        <v>0.834</v>
      </c>
      <c r="M7" t="n">
        <v>32</v>
      </c>
      <c r="N7" t="n">
        <v>71.93000000000001</v>
      </c>
      <c r="O7" t="inlineStr">
        <is>
          <t>AC1, AC6</t>
        </is>
      </c>
      <c r="P7" t="inlineStr">
        <is>
          <t>AC1</t>
        </is>
      </c>
      <c r="Q7" t="n">
        <v>1</v>
      </c>
      <c r="R7" t="n">
        <v>0.5</v>
      </c>
      <c r="S7" t="n">
        <v>0.667</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49</v>
      </c>
      <c r="B8" t="n">
        <v>17</v>
      </c>
      <c r="C8" t="n">
        <v>1</v>
      </c>
      <c r="D8" t="n">
        <v>1</v>
      </c>
      <c r="E8" t="inlineStr">
        <is>
          <t>R1, R2, R3 y R4 porque R5 se quita</t>
        </is>
      </c>
      <c r="F8" t="inlineStr">
        <is>
          <t>¿Cree que las resistencias conectadas a N3 influyen directamente en la diferencia de potencial entre N2 y 0?.</t>
        </is>
      </c>
      <c r="G8" t="n">
        <v>1</v>
      </c>
      <c r="H8" t="n">
        <v>3</v>
      </c>
      <c r="I8" t="n">
        <v>3</v>
      </c>
      <c r="J8" t="n">
        <v>5</v>
      </c>
      <c r="K8" t="n">
        <v>12</v>
      </c>
      <c r="L8" t="n">
        <v>0.856</v>
      </c>
      <c r="M8" t="n">
        <v>30</v>
      </c>
      <c r="N8" t="n">
        <v>70.12</v>
      </c>
      <c r="O8" t="inlineStr">
        <is>
          <t>AC1, AC6</t>
        </is>
      </c>
      <c r="P8" t="inlineStr">
        <is>
          <t>AC9</t>
        </is>
      </c>
      <c r="Q8" t="n">
        <v>0</v>
      </c>
      <c r="R8" t="n">
        <v>0</v>
      </c>
      <c r="S8" t="n">
        <v>0</v>
      </c>
      <c r="T8" t="inlineStr"/>
      <c r="U8" t="inlineStr"/>
      <c r="V8" t="inlineStr"/>
      <c r="W8"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9">
      <c r="A9" t="n">
        <v>50</v>
      </c>
      <c r="B9" t="n">
        <v>17</v>
      </c>
      <c r="C9" t="n">
        <v>2</v>
      </c>
      <c r="D9" t="n">
        <v>1</v>
      </c>
      <c r="E9" t="inlineStr">
        <is>
          <t>R1, R3 y R4 porque R2 está en paralelo con la fuente y R5 corctocircuitada</t>
        </is>
      </c>
      <c r="F9" t="inlineStr">
        <is>
          <t>¿Qué sucedería si R1 se conectara directamente a N3, ignorando la resistencia R5?.</t>
        </is>
      </c>
      <c r="G9" t="n">
        <v>1</v>
      </c>
      <c r="H9" t="n">
        <v>2</v>
      </c>
      <c r="I9" t="n">
        <v>3</v>
      </c>
      <c r="J9" t="n">
        <v>5</v>
      </c>
      <c r="K9" t="n">
        <v>11</v>
      </c>
      <c r="L9" t="n">
        <v>0.7</v>
      </c>
      <c r="M9" t="n">
        <v>27</v>
      </c>
      <c r="N9" t="n">
        <v>85.76000000000001</v>
      </c>
      <c r="O9" t="inlineStr">
        <is>
          <t>AC1, AC6</t>
        </is>
      </c>
      <c r="P9" t="inlineStr"/>
      <c r="Q9" t="n">
        <v>1</v>
      </c>
      <c r="R9" t="n">
        <v>0</v>
      </c>
      <c r="S9" t="n">
        <v>0</v>
      </c>
      <c r="T9" t="inlineStr"/>
      <c r="U9" t="inlineStr"/>
      <c r="V9" t="inlineStr"/>
      <c r="W9"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0">
      <c r="A10" t="n">
        <v>51</v>
      </c>
      <c r="B10" t="n">
        <v>17</v>
      </c>
      <c r="C10" t="n">
        <v>3</v>
      </c>
      <c r="D10" t="n">
        <v>1</v>
      </c>
      <c r="E10" t="inlineStr">
        <is>
          <t>R1, R4 y R5 porque R2 se elimina y R3 también</t>
        </is>
      </c>
      <c r="F10" t="inlineStr">
        <is>
          <t>¿Qué ocurre si intercambiamos el lugar de la resistencia R3 con la resistencia R4?.</t>
        </is>
      </c>
      <c r="G10" t="n">
        <v>1</v>
      </c>
      <c r="H10" t="n">
        <v>2</v>
      </c>
      <c r="I10" t="n">
        <v>3</v>
      </c>
      <c r="J10" t="n">
        <v>5</v>
      </c>
      <c r="K10" t="n">
        <v>11</v>
      </c>
      <c r="L10" t="n">
        <v>0.721</v>
      </c>
      <c r="M10" t="n">
        <v>26</v>
      </c>
      <c r="N10" t="n">
        <v>83.18000000000001</v>
      </c>
      <c r="O10" t="inlineStr">
        <is>
          <t>AC1, AC6</t>
        </is>
      </c>
      <c r="P10" t="inlineStr"/>
      <c r="Q10" t="n">
        <v>1</v>
      </c>
      <c r="R10" t="n">
        <v>0</v>
      </c>
      <c r="S10" t="n">
        <v>0</v>
      </c>
      <c r="T10" t="inlineStr"/>
      <c r="U10" t="inlineStr"/>
      <c r="V10" t="inlineStr"/>
      <c r="W10"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1">
      <c r="A11" t="n">
        <v>52</v>
      </c>
      <c r="B11" t="n">
        <v>18</v>
      </c>
      <c r="C11" t="n">
        <v>1</v>
      </c>
      <c r="D11" t="n">
        <v>1</v>
      </c>
      <c r="E11" t="inlineStr">
        <is>
          <t>R1 y R4 dado que R2 está en paralelo con la fuente, R3 en circuito abierto y R5 cortocircuitada</t>
        </is>
      </c>
      <c r="F11" t="inlineStr">
        <is>
          <t>¿Por qué consideras que R2 está en paralelo con la fuente, y no más bien en paralelo con otra resistencia?</t>
        </is>
      </c>
      <c r="G11" t="n">
        <v>3</v>
      </c>
      <c r="H11" t="n">
        <v>3</v>
      </c>
      <c r="I11" t="n">
        <v>3</v>
      </c>
      <c r="J11" t="n">
        <v>5</v>
      </c>
      <c r="K11" t="n">
        <v>14</v>
      </c>
      <c r="L11" t="n">
        <v>1.02</v>
      </c>
      <c r="M11" t="n">
        <v>32</v>
      </c>
      <c r="N11" t="n">
        <v>58.83</v>
      </c>
      <c r="O11" t="inlineStr">
        <is>
          <t>AC1, AC6</t>
        </is>
      </c>
      <c r="P11" t="inlineStr"/>
      <c r="Q11" t="n">
        <v>1</v>
      </c>
      <c r="R11" t="n">
        <v>0</v>
      </c>
      <c r="S11" t="n">
        <v>0</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53</v>
      </c>
      <c r="B12" t="n">
        <v>18</v>
      </c>
      <c r="C12" t="n">
        <v>2</v>
      </c>
      <c r="D12" t="n">
        <v>1</v>
      </c>
      <c r="E12" t="inlineStr">
        <is>
          <t>R1, R2 y R3 dado que R2 y R3 están en paralelo y forman un divisor de tensión con R1</t>
        </is>
      </c>
      <c r="F12" t="inlineStr">
        <is>
          <t>¿Qué sucedería si R3 no fuera una resistencia, sino un conductor perfecto a través del cual no fluye corriente?</t>
        </is>
      </c>
      <c r="G12" t="n">
        <v>1</v>
      </c>
      <c r="H12" t="n">
        <v>1</v>
      </c>
      <c r="I12" t="n">
        <v>3</v>
      </c>
      <c r="J12" t="n">
        <v>5</v>
      </c>
      <c r="K12" t="n">
        <v>10</v>
      </c>
      <c r="L12" t="n">
        <v>0.647</v>
      </c>
      <c r="M12" t="n">
        <v>32</v>
      </c>
      <c r="N12" t="n">
        <v>92.73</v>
      </c>
      <c r="O12" t="inlineStr">
        <is>
          <t>AC1, AC9</t>
        </is>
      </c>
      <c r="P12" t="inlineStr">
        <is>
          <t>AC1</t>
        </is>
      </c>
      <c r="Q12" t="n">
        <v>1</v>
      </c>
      <c r="R12" t="n">
        <v>0.5</v>
      </c>
      <c r="S12" t="n">
        <v>0.667</v>
      </c>
      <c r="T12" t="inlineStr"/>
      <c r="U12" t="inlineStr"/>
      <c r="V12" t="inlineStr"/>
      <c r="W12" t="inlineStr">
        <is>
          <t>Socraticidad 1/5 (Instructivo): Da la respuesta directamente antes de preguntar. Precisión Conceptual 1/5 (Inaceptable): Valida respuesta incorrecta o comete error físico grave. Desempeño aceptable; necesita mejorar precisión o metodología socrática.</t>
        </is>
      </c>
    </row>
    <row r="13">
      <c r="A13" t="n">
        <v>54</v>
      </c>
      <c r="B13" t="n">
        <v>18</v>
      </c>
      <c r="C13" t="n">
        <v>3</v>
      </c>
      <c r="D13" t="n">
        <v>1</v>
      </c>
      <c r="E13" t="inlineStr">
        <is>
          <t>R1, R2, R4 y R5 dado que R3 está en circuito abierto</t>
        </is>
      </c>
      <c r="F13" t="inlineStr">
        <is>
          <t>¿Podría considerarse a R3 como un cortocircuito si no fuera por el interruptor?</t>
        </is>
      </c>
      <c r="G13" t="n">
        <v>3</v>
      </c>
      <c r="H13" t="n">
        <v>3</v>
      </c>
      <c r="I13" t="n">
        <v>3</v>
      </c>
      <c r="J13" t="n">
        <v>5</v>
      </c>
      <c r="K13" t="n">
        <v>14</v>
      </c>
      <c r="L13" t="n">
        <v>0.623</v>
      </c>
      <c r="M13" t="n">
        <v>24</v>
      </c>
      <c r="N13" t="n">
        <v>96.37</v>
      </c>
      <c r="O13" t="inlineStr">
        <is>
          <t>AC1, AC6</t>
        </is>
      </c>
      <c r="P13" t="inlineStr">
        <is>
          <t>AC1, AC6</t>
        </is>
      </c>
      <c r="Q13" t="n">
        <v>1</v>
      </c>
      <c r="R13" t="n">
        <v>1</v>
      </c>
      <c r="S13" t="n">
        <v>1</v>
      </c>
      <c r="T13" t="inlineStr"/>
      <c r="U13" t="inlineStr"/>
      <c r="V13" t="inlineStr"/>
      <c r="W1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4">
      <c r="A14" t="n">
        <v>55</v>
      </c>
      <c r="B14" t="n">
        <v>19</v>
      </c>
      <c r="C14" t="n">
        <v>1</v>
      </c>
      <c r="D14" t="n">
        <v>1</v>
      </c>
      <c r="E14" t="inlineStr">
        <is>
          <t>R1, R2, R4 y R5 dado que R3 sobra</t>
        </is>
      </c>
      <c r="F14" t="inlineStr">
        <is>
          <t>¿Qué sucede con el flujo de corriente si un componente está cortocircuitado, ¿qué tipo de comportamiento tiene?.</t>
        </is>
      </c>
      <c r="G14" t="n">
        <v>1</v>
      </c>
      <c r="H14" t="n">
        <v>2</v>
      </c>
      <c r="I14" t="n">
        <v>3</v>
      </c>
      <c r="J14" t="n">
        <v>5</v>
      </c>
      <c r="K14" t="n">
        <v>11</v>
      </c>
      <c r="L14" t="n">
        <v>0.857</v>
      </c>
      <c r="M14" t="n">
        <v>30</v>
      </c>
      <c r="N14" t="n">
        <v>70.04000000000001</v>
      </c>
      <c r="O14" t="inlineStr">
        <is>
          <t>AC1, AC6</t>
        </is>
      </c>
      <c r="P14" t="inlineStr">
        <is>
          <t>AC1</t>
        </is>
      </c>
      <c r="Q14" t="n">
        <v>1</v>
      </c>
      <c r="R14" t="n">
        <v>0.5</v>
      </c>
      <c r="S14" t="n">
        <v>0.667</v>
      </c>
      <c r="T14" t="inlineStr"/>
      <c r="U14" t="inlineStr"/>
      <c r="V14" t="inlineStr"/>
      <c r="W14"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5">
      <c r="A15" t="n">
        <v>56</v>
      </c>
      <c r="B15" t="n">
        <v>19</v>
      </c>
      <c r="C15" t="n">
        <v>2</v>
      </c>
      <c r="D15" t="n">
        <v>1</v>
      </c>
      <c r="E15" t="inlineStr">
        <is>
          <t>R1, R2, R4 y R5 dado que R3 no hace nada</t>
        </is>
      </c>
      <c r="F15" t="inlineStr">
        <is>
          <t>¿Puede un interruptor dejar de ser una parte resistiva del circuito si está en posición abierta?</t>
        </is>
      </c>
      <c r="G15" t="n">
        <v>3</v>
      </c>
      <c r="H15" t="n">
        <v>2</v>
      </c>
      <c r="I15" t="n">
        <v>3</v>
      </c>
      <c r="J15" t="n">
        <v>5</v>
      </c>
      <c r="K15" t="n">
        <v>13</v>
      </c>
      <c r="L15" t="n">
        <v>0.6909999999999999</v>
      </c>
      <c r="M15" t="n">
        <v>25</v>
      </c>
      <c r="N15" t="n">
        <v>86.88</v>
      </c>
      <c r="O15" t="inlineStr">
        <is>
          <t>AC1, AC6</t>
        </is>
      </c>
      <c r="P15" t="inlineStr">
        <is>
          <t>AC1, AC9</t>
        </is>
      </c>
      <c r="Q15" t="n">
        <v>0.5</v>
      </c>
      <c r="R15" t="n">
        <v>0.5</v>
      </c>
      <c r="S15" t="n">
        <v>0.5</v>
      </c>
      <c r="T15" t="inlineStr"/>
      <c r="U15" t="inlineStr"/>
      <c r="V15" t="inlineStr"/>
      <c r="W1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6">
      <c r="A16" t="n">
        <v>57</v>
      </c>
      <c r="B16" t="n">
        <v>19</v>
      </c>
      <c r="C16" t="n">
        <v>3</v>
      </c>
      <c r="D16" t="n">
        <v>1</v>
      </c>
      <c r="E16" t="inlineStr">
        <is>
          <t>R1, R2 y R4 dado que son las resistencias que forman parte del circuito.</t>
        </is>
      </c>
      <c r="F16" t="inlineStr">
        <is>
          <t>¿Qué sucede con R5 si no forma parte de la ruta principal del flujo de corriente?</t>
        </is>
      </c>
      <c r="G16" t="n">
        <v>4</v>
      </c>
      <c r="H16" t="n">
        <v>2</v>
      </c>
      <c r="I16" t="n">
        <v>3</v>
      </c>
      <c r="J16" t="n">
        <v>5</v>
      </c>
      <c r="K16" t="n">
        <v>14</v>
      </c>
      <c r="L16" t="n">
        <v>1.086</v>
      </c>
      <c r="M16" t="n">
        <v>24</v>
      </c>
      <c r="N16" t="n">
        <v>55.23</v>
      </c>
      <c r="O16" t="inlineStr"/>
      <c r="P16" t="inlineStr">
        <is>
          <t>AC1</t>
        </is>
      </c>
      <c r="Q16" t="n">
        <v>0</v>
      </c>
      <c r="R16" t="n">
        <v>1</v>
      </c>
      <c r="S16" t="n">
        <v>0</v>
      </c>
      <c r="T16" t="inlineStr"/>
      <c r="U16" t="inlineStr"/>
      <c r="V16" t="inlineStr"/>
      <c r="W16"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17">
      <c r="A17" t="n">
        <v>58</v>
      </c>
      <c r="B17" t="n">
        <v>20</v>
      </c>
      <c r="C17" t="n">
        <v>1</v>
      </c>
      <c r="D17" t="n">
        <v>1</v>
      </c>
      <c r="E17" t="inlineStr">
        <is>
          <t>R1, R2 y R4 dado que R2 y R4 están en paralelo y forma un divisor de tensión con R1.</t>
        </is>
      </c>
      <c r="F17" t="inlineStr">
        <is>
          <t>¿Puedes explicarme por qué, si R2 y R4 están en paralelo, también R1 forma parte de ese paralelismo?</t>
        </is>
      </c>
      <c r="G17" t="n">
        <v>3</v>
      </c>
      <c r="H17" t="n">
        <v>2</v>
      </c>
      <c r="I17" t="n">
        <v>5</v>
      </c>
      <c r="J17" t="n">
        <v>5</v>
      </c>
      <c r="K17" t="n">
        <v>15</v>
      </c>
      <c r="L17" t="n">
        <v>0.835</v>
      </c>
      <c r="M17" t="n">
        <v>34</v>
      </c>
      <c r="N17" t="n">
        <v>71.84999999999999</v>
      </c>
      <c r="O17" t="inlineStr"/>
      <c r="P17" t="inlineStr"/>
      <c r="Q17" t="n">
        <v>1</v>
      </c>
      <c r="R17" t="n">
        <v>1</v>
      </c>
      <c r="S17" t="n">
        <v>1</v>
      </c>
      <c r="T17" t="inlineStr"/>
      <c r="U17" t="inlineStr"/>
      <c r="V17" t="inlineStr"/>
      <c r="W1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8">
      <c r="A18" t="n">
        <v>59</v>
      </c>
      <c r="B18" t="n">
        <v>20</v>
      </c>
      <c r="C18" t="n">
        <v>2</v>
      </c>
      <c r="D18" t="n">
        <v>1</v>
      </c>
      <c r="E18" t="inlineStr">
        <is>
          <t>R1, R2 y R4 dado que R3 está en abierto y R5 cortocircuitada</t>
        </is>
      </c>
      <c r="F18" t="inlineStr">
        <is>
          <t>¿Cómo puedes asegurar que el circuito se comporta como un divisor de tensión si hay un cortocircuito en alguna parte del circuito?</t>
        </is>
      </c>
      <c r="G18" t="n">
        <v>3</v>
      </c>
      <c r="H18" t="n">
        <v>3</v>
      </c>
      <c r="I18" t="n">
        <v>3</v>
      </c>
      <c r="J18" t="n">
        <v>5</v>
      </c>
      <c r="K18" t="n">
        <v>14</v>
      </c>
      <c r="L18" t="n">
        <v>0.639</v>
      </c>
      <c r="M18" t="n">
        <v>33</v>
      </c>
      <c r="N18" t="n">
        <v>93.87</v>
      </c>
      <c r="O18" t="inlineStr">
        <is>
          <t>AC1, AC6</t>
        </is>
      </c>
      <c r="P18" t="inlineStr">
        <is>
          <t>AC6, AC9</t>
        </is>
      </c>
      <c r="Q18" t="n">
        <v>0.5</v>
      </c>
      <c r="R18" t="n">
        <v>0.5</v>
      </c>
      <c r="S18" t="n">
        <v>0.5</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60</v>
      </c>
      <c r="B19" t="n">
        <v>20</v>
      </c>
      <c r="C19" t="n">
        <v>3</v>
      </c>
      <c r="D19" t="n">
        <v>1</v>
      </c>
      <c r="E19" t="inlineStr">
        <is>
          <t>R1, R2 y R4 dado que solo por estas resistencias circula una corriente diferente de cero</t>
        </is>
      </c>
      <c r="F19" t="inlineStr">
        <is>
          <t>¿Puedes explicarme por qué la presencia de un cortocircuito no implica necesariamente que la corriente sea cero?</t>
        </is>
      </c>
      <c r="G19" t="n">
        <v>3</v>
      </c>
      <c r="H19" t="n">
        <v>3</v>
      </c>
      <c r="I19" t="n">
        <v>3</v>
      </c>
      <c r="J19" t="n">
        <v>5</v>
      </c>
      <c r="K19" t="n">
        <v>14</v>
      </c>
      <c r="L19" t="n">
        <v>0.707</v>
      </c>
      <c r="M19" t="n">
        <v>33</v>
      </c>
      <c r="N19" t="n">
        <v>84.86</v>
      </c>
      <c r="O19" t="inlineStr"/>
      <c r="P19" t="inlineStr">
        <is>
          <t>AC1, AC6</t>
        </is>
      </c>
      <c r="Q19" t="n">
        <v>0</v>
      </c>
      <c r="R19" t="n">
        <v>1</v>
      </c>
      <c r="S19" t="n">
        <v>0</v>
      </c>
      <c r="T19" t="inlineStr"/>
      <c r="U19" t="inlineStr"/>
      <c r="V19" t="inlineStr"/>
      <c r="W1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0">
      <c r="A20" t="n">
        <v>61</v>
      </c>
      <c r="B20" t="n">
        <v>21</v>
      </c>
      <c r="C20" t="n">
        <v>1</v>
      </c>
      <c r="D20" t="n">
        <v>1</v>
      </c>
      <c r="E20" t="inlineStr">
        <is>
          <t>R1, R2 y R4 dado que por R3 y por R5 no circula corriente</t>
        </is>
      </c>
      <c r="F20" t="inlineStr">
        <is>
          <t>¿Qué pasa con las resistencias que están entre dos nodos que no están directamente conectados a la fuente de voltaje V1 o a tierra, como N2 y N3?</t>
        </is>
      </c>
      <c r="G20" t="n">
        <v>3</v>
      </c>
      <c r="H20" t="n">
        <v>3</v>
      </c>
      <c r="I20" t="n">
        <v>3</v>
      </c>
      <c r="J20" t="n">
        <v>5</v>
      </c>
      <c r="K20" t="n">
        <v>14</v>
      </c>
      <c r="L20" t="n">
        <v>0.711</v>
      </c>
      <c r="M20" t="n">
        <v>42</v>
      </c>
      <c r="N20" t="n">
        <v>84.40000000000001</v>
      </c>
      <c r="O20" t="inlineStr">
        <is>
          <t>AC1, AC6</t>
        </is>
      </c>
      <c r="P20" t="inlineStr">
        <is>
          <t>AC9</t>
        </is>
      </c>
      <c r="Q20" t="n">
        <v>0</v>
      </c>
      <c r="R20" t="n">
        <v>0</v>
      </c>
      <c r="S20" t="n">
        <v>0</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62</v>
      </c>
      <c r="B21" t="n">
        <v>21</v>
      </c>
      <c r="C21" t="n">
        <v>2</v>
      </c>
      <c r="D21" t="n">
        <v>1</v>
      </c>
      <c r="E21" t="inlineStr">
        <is>
          <t>R1, R2 y R4 dado que R3 y R5 se pueden quitar</t>
        </is>
      </c>
      <c r="F21" t="inlineStr">
        <is>
          <t>¿Puedes pensar en una situación donde si R3 y R5 se conectan, algo cambia en el circuito?</t>
        </is>
      </c>
      <c r="G21" t="n">
        <v>3</v>
      </c>
      <c r="H21" t="n">
        <v>2</v>
      </c>
      <c r="I21" t="n">
        <v>3</v>
      </c>
      <c r="J21" t="n">
        <v>5</v>
      </c>
      <c r="K21" t="n">
        <v>13</v>
      </c>
      <c r="L21" t="n">
        <v>0.736</v>
      </c>
      <c r="M21" t="n">
        <v>28</v>
      </c>
      <c r="N21" t="n">
        <v>81.48</v>
      </c>
      <c r="O21" t="inlineStr">
        <is>
          <t>AC1, AC6</t>
        </is>
      </c>
      <c r="P21" t="inlineStr"/>
      <c r="Q21" t="n">
        <v>1</v>
      </c>
      <c r="R21" t="n">
        <v>0</v>
      </c>
      <c r="S21" t="n">
        <v>0</v>
      </c>
      <c r="T21" t="inlineStr"/>
      <c r="U21" t="inlineStr"/>
      <c r="V21" t="inlineStr"/>
      <c r="W21"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2">
      <c r="A22" t="n">
        <v>63</v>
      </c>
      <c r="B22" t="n">
        <v>21</v>
      </c>
      <c r="C22" t="n">
        <v>3</v>
      </c>
      <c r="D22" t="n">
        <v>1</v>
      </c>
      <c r="E22" t="inlineStr">
        <is>
          <t>R1, R2 y R4 dado que R3 y R5 no influyen para nada en la diferencia de potencial que se pide</t>
        </is>
      </c>
      <c r="F22" t="inlineStr">
        <is>
          <t>¿Influye R3 en el valor de la resistencia equivalente entre N1 y N4?</t>
        </is>
      </c>
      <c r="G22" t="n">
        <v>3</v>
      </c>
      <c r="H22" t="n">
        <v>2</v>
      </c>
      <c r="I22" t="n">
        <v>3</v>
      </c>
      <c r="J22" t="n">
        <v>5</v>
      </c>
      <c r="K22" t="n">
        <v>13</v>
      </c>
      <c r="L22" t="n">
        <v>0.785</v>
      </c>
      <c r="M22" t="n">
        <v>23</v>
      </c>
      <c r="N22" t="n">
        <v>76.39</v>
      </c>
      <c r="O22" t="inlineStr">
        <is>
          <t>AC1, AC6</t>
        </is>
      </c>
      <c r="P22" t="inlineStr"/>
      <c r="Q22" t="n">
        <v>1</v>
      </c>
      <c r="R22" t="n">
        <v>0</v>
      </c>
      <c r="S22" t="n">
        <v>0</v>
      </c>
      <c r="T22" t="inlineStr"/>
      <c r="U22" t="inlineStr"/>
      <c r="V22" t="inlineStr"/>
      <c r="W2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3">
      <c r="A23" t="n">
        <v>64</v>
      </c>
      <c r="B23" t="n">
        <v>22</v>
      </c>
      <c r="C23" t="n">
        <v>1</v>
      </c>
      <c r="D23" t="n">
        <v>1</v>
      </c>
      <c r="E23" t="inlineStr">
        <is>
          <t>R1, R2 y R4 dado que R3 y R5 sobran</t>
        </is>
      </c>
      <c r="F23" t="inlineStr">
        <is>
          <t>¿Qué sucede con las resistencias que están entre dos nudos que tienen el mismo potencial eléctrico, como N1 y GND?</t>
        </is>
      </c>
      <c r="G23" t="n">
        <v>3</v>
      </c>
      <c r="H23" t="n">
        <v>2</v>
      </c>
      <c r="I23" t="n">
        <v>3</v>
      </c>
      <c r="J23" t="n">
        <v>5</v>
      </c>
      <c r="K23" t="n">
        <v>13</v>
      </c>
      <c r="L23" t="n">
        <v>0.747</v>
      </c>
      <c r="M23" t="n">
        <v>32</v>
      </c>
      <c r="N23" t="n">
        <v>80.36</v>
      </c>
      <c r="O23" t="inlineStr">
        <is>
          <t>AC1, AC6</t>
        </is>
      </c>
      <c r="P23" t="inlineStr">
        <is>
          <t>AC6, AC9</t>
        </is>
      </c>
      <c r="Q23" t="n">
        <v>0.5</v>
      </c>
      <c r="R23" t="n">
        <v>0.5</v>
      </c>
      <c r="S23" t="n">
        <v>0.5</v>
      </c>
      <c r="T23" t="inlineStr"/>
      <c r="U23" t="inlineStr"/>
      <c r="V23" t="inlineStr"/>
      <c r="W2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4">
      <c r="A24" t="n">
        <v>65</v>
      </c>
      <c r="B24" t="n">
        <v>22</v>
      </c>
      <c r="C24" t="n">
        <v>2</v>
      </c>
      <c r="D24" t="n">
        <v>1</v>
      </c>
      <c r="E24" t="inlineStr">
        <is>
          <t>R1, R2 y R4 dado que R3 sobra</t>
        </is>
      </c>
      <c r="F24" t="inlineStr">
        <is>
          <t>¿Cómo afectaría conectar directamente R5 a GND?</t>
        </is>
      </c>
      <c r="G24" t="n">
        <v>3</v>
      </c>
      <c r="H24" t="n">
        <v>2</v>
      </c>
      <c r="I24" t="n">
        <v>3</v>
      </c>
      <c r="J24" t="n">
        <v>5</v>
      </c>
      <c r="K24" t="n">
        <v>13</v>
      </c>
      <c r="L24" t="n">
        <v>0.535</v>
      </c>
      <c r="M24" t="n">
        <v>14</v>
      </c>
      <c r="N24" t="n">
        <v>112.09</v>
      </c>
      <c r="O24" t="inlineStr">
        <is>
          <t>AC1</t>
        </is>
      </c>
      <c r="P24" t="inlineStr"/>
      <c r="Q24" t="n">
        <v>1</v>
      </c>
      <c r="R24" t="n">
        <v>0</v>
      </c>
      <c r="S24" t="n">
        <v>0</v>
      </c>
      <c r="T24" t="inlineStr"/>
      <c r="U24" t="inlineStr"/>
      <c r="V24" t="inlineStr"/>
      <c r="W24"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5">
      <c r="A25" t="n">
        <v>66</v>
      </c>
      <c r="B25" t="n">
        <v>22</v>
      </c>
      <c r="C25" t="n">
        <v>3</v>
      </c>
      <c r="D25" t="n">
        <v>1</v>
      </c>
      <c r="E25" t="inlineStr">
        <is>
          <t>R1, R2 y R4 dado que R5 sobra</t>
        </is>
      </c>
      <c r="F25" t="inlineStr">
        <is>
          <t>¿Qué resistencia de las cuatro tiene un valor igual a cero ohmios?</t>
        </is>
      </c>
      <c r="G25" t="n">
        <v>3</v>
      </c>
      <c r="H25" t="n">
        <v>2</v>
      </c>
      <c r="I25" t="n">
        <v>3</v>
      </c>
      <c r="J25" t="n">
        <v>5</v>
      </c>
      <c r="K25" t="n">
        <v>13</v>
      </c>
      <c r="L25" t="n">
        <v>0.669</v>
      </c>
      <c r="M25" t="n">
        <v>19</v>
      </c>
      <c r="N25" t="n">
        <v>89.68000000000001</v>
      </c>
      <c r="O25" t="inlineStr">
        <is>
          <t>AC6</t>
        </is>
      </c>
      <c r="P25" t="inlineStr"/>
      <c r="Q25" t="n">
        <v>1</v>
      </c>
      <c r="R25" t="n">
        <v>0</v>
      </c>
      <c r="S25" t="n">
        <v>0</v>
      </c>
      <c r="T25" t="inlineStr"/>
      <c r="U25" t="inlineStr"/>
      <c r="V25" t="inlineStr"/>
      <c r="W2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6">
      <c r="A26" t="n">
        <v>67</v>
      </c>
      <c r="B26" t="n">
        <v>23</v>
      </c>
      <c r="C26" t="n">
        <v>1</v>
      </c>
      <c r="D26" t="n">
        <v>1</v>
      </c>
      <c r="E26" t="inlineStr">
        <is>
          <t>R1, R2 y R4 dado que R3 está en abierto</t>
        </is>
      </c>
      <c r="F26" t="inlineStr">
        <is>
          <t>¿Podría funcionar sin el cortocircuito?</t>
        </is>
      </c>
      <c r="G26" t="n">
        <v>3</v>
      </c>
      <c r="H26" t="n">
        <v>2</v>
      </c>
      <c r="I26" t="n">
        <v>3</v>
      </c>
      <c r="J26" t="n">
        <v>5</v>
      </c>
      <c r="K26" t="n">
        <v>13</v>
      </c>
      <c r="L26" t="n">
        <v>0.636</v>
      </c>
      <c r="M26" t="n">
        <v>14</v>
      </c>
      <c r="N26" t="n">
        <v>94.41</v>
      </c>
      <c r="O26" t="inlineStr">
        <is>
          <t>AC1</t>
        </is>
      </c>
      <c r="P26" t="inlineStr">
        <is>
          <t>AC6</t>
        </is>
      </c>
      <c r="Q26" t="n">
        <v>0</v>
      </c>
      <c r="R26" t="n">
        <v>0</v>
      </c>
      <c r="S26" t="n">
        <v>0</v>
      </c>
      <c r="T26" t="inlineStr"/>
      <c r="U26" t="inlineStr"/>
      <c r="V26" t="inlineStr"/>
      <c r="W2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7">
      <c r="A27" t="n">
        <v>68</v>
      </c>
      <c r="B27" t="n">
        <v>23</v>
      </c>
      <c r="C27" t="n">
        <v>2</v>
      </c>
      <c r="D27" t="n">
        <v>1</v>
      </c>
      <c r="E27" t="inlineStr">
        <is>
          <t>R1, R2 y R4 dado que  R5 cortocircuitada</t>
        </is>
      </c>
      <c r="F27" t="inlineStr">
        <is>
          <t>¿Cuál es el efecto de conectar un interruptor a R3?</t>
        </is>
      </c>
      <c r="G27" t="n">
        <v>3</v>
      </c>
      <c r="H27" t="n">
        <v>2</v>
      </c>
      <c r="I27" t="n">
        <v>3</v>
      </c>
      <c r="J27" t="n">
        <v>5</v>
      </c>
      <c r="K27" t="n">
        <v>13</v>
      </c>
      <c r="L27" t="n">
        <v>0.5590000000000001</v>
      </c>
      <c r="M27" t="n">
        <v>17</v>
      </c>
      <c r="N27" t="n">
        <v>107.34</v>
      </c>
      <c r="O27" t="inlineStr">
        <is>
          <t>AC6</t>
        </is>
      </c>
      <c r="P27" t="inlineStr">
        <is>
          <t>AC1</t>
        </is>
      </c>
      <c r="Q27" t="n">
        <v>0</v>
      </c>
      <c r="R27" t="n">
        <v>0</v>
      </c>
      <c r="S27" t="n">
        <v>0</v>
      </c>
      <c r="T27" t="inlineStr"/>
      <c r="U27" t="inlineStr"/>
      <c r="V27" t="inlineStr"/>
      <c r="W2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8">
      <c r="A28" t="n">
        <v>69</v>
      </c>
      <c r="B28" t="n">
        <v>23</v>
      </c>
      <c r="C28" t="n">
        <v>3</v>
      </c>
      <c r="D28" t="n">
        <v>1</v>
      </c>
      <c r="E28" t="inlineStr">
        <is>
          <t>R1, R2 y R4 dado que por R3 no circula corriente</t>
        </is>
      </c>
      <c r="F28" t="inlineStr">
        <is>
          <t>¿Qué pasaría si R5 fuera un conductor perfecto?</t>
        </is>
      </c>
      <c r="G28" t="n">
        <v>1</v>
      </c>
      <c r="H28" t="n">
        <v>1</v>
      </c>
      <c r="I28" t="n">
        <v>3</v>
      </c>
      <c r="J28" t="n">
        <v>5</v>
      </c>
      <c r="K28" t="n">
        <v>10</v>
      </c>
      <c r="L28" t="n">
        <v>0.489</v>
      </c>
      <c r="M28" t="n">
        <v>14</v>
      </c>
      <c r="N28" t="n">
        <v>122.72</v>
      </c>
      <c r="O28" t="inlineStr">
        <is>
          <t>AC1</t>
        </is>
      </c>
      <c r="P28" t="inlineStr"/>
      <c r="Q28" t="n">
        <v>1</v>
      </c>
      <c r="R28" t="n">
        <v>0</v>
      </c>
      <c r="S28" t="n">
        <v>0</v>
      </c>
      <c r="T28" t="inlineStr"/>
      <c r="U28" t="inlineStr"/>
      <c r="V28" t="inlineStr"/>
      <c r="W28" t="inlineStr">
        <is>
          <t>Socraticidad 1/5 (Instructivo): Da la respuesta directamente antes de preguntar. Precisión Conceptual 1/5 (Inaceptable): Valida respuesta incorrecta o comete error físico grave. Desempeño aceptable; necesita mejorar precisión o metodología socrática.</t>
        </is>
      </c>
    </row>
    <row r="29">
      <c r="A29" t="n">
        <v>70</v>
      </c>
      <c r="B29" t="n">
        <v>24</v>
      </c>
      <c r="C29" t="n">
        <v>1</v>
      </c>
      <c r="D29" t="n">
        <v>1</v>
      </c>
      <c r="E29" t="inlineStr">
        <is>
          <t>R1, R2 y R4 dado que por  R5 no circula corriente</t>
        </is>
      </c>
      <c r="F29" t="inlineStr">
        <is>
          <t>¿Qué sucede con el cortocircuito que ocurre entre los dos terminales de R5 y cómo afecta a la corriente que fluye por él?</t>
        </is>
      </c>
      <c r="G29" t="n">
        <v>4</v>
      </c>
      <c r="H29" t="n">
        <v>5</v>
      </c>
      <c r="I29" t="n">
        <v>3</v>
      </c>
      <c r="J29" t="n">
        <v>5</v>
      </c>
      <c r="K29" t="n">
        <v>17</v>
      </c>
      <c r="L29" t="n">
        <v>0.679</v>
      </c>
      <c r="M29" t="n">
        <v>37</v>
      </c>
      <c r="N29" t="n">
        <v>88.39</v>
      </c>
      <c r="O29" t="inlineStr">
        <is>
          <t>AC6</t>
        </is>
      </c>
      <c r="P29" t="inlineStr">
        <is>
          <t>AC1, AC6, AC9</t>
        </is>
      </c>
      <c r="Q29" t="n">
        <v>0.333</v>
      </c>
      <c r="R29" t="n">
        <v>1</v>
      </c>
      <c r="S29" t="n">
        <v>0.5</v>
      </c>
      <c r="T29" t="inlineStr"/>
      <c r="U29" t="inlineStr"/>
      <c r="V29" t="inlineStr"/>
      <c r="W29" t="inlineStr">
        <is>
          <t>Socraticidad 4/5 (Andamiaje para detección): Andamiaje para detección: identifica el área del error y plantea pregunta que confronta con la teoría. Precisión Conceptual 5/5 (Excelente): Excelente: identifica la concepción alternativa específica y la conecta con la topología del circuito. Tutor de alto rendimiento: guía socrática experta con diagnóstico preciso.</t>
        </is>
      </c>
    </row>
    <row r="30">
      <c r="A30" t="n">
        <v>71</v>
      </c>
      <c r="B30" t="n">
        <v>24</v>
      </c>
      <c r="C30" t="n">
        <v>2</v>
      </c>
      <c r="D30" t="n">
        <v>1</v>
      </c>
      <c r="E30" t="inlineStr">
        <is>
          <t>R1, R2 y R4 dado que R3 se puede quitar</t>
        </is>
      </c>
      <c r="F30" t="inlineStr">
        <is>
          <t>¿Cuál es el efecto de eliminar R3 sobre el valor total de resistencia en el circuito?</t>
        </is>
      </c>
      <c r="G30" t="n">
        <v>3</v>
      </c>
      <c r="H30" t="n">
        <v>2</v>
      </c>
      <c r="I30" t="n">
        <v>3</v>
      </c>
      <c r="J30" t="n">
        <v>5</v>
      </c>
      <c r="K30" t="n">
        <v>13</v>
      </c>
      <c r="L30" t="n">
        <v>0.597</v>
      </c>
      <c r="M30" t="n">
        <v>24</v>
      </c>
      <c r="N30" t="n">
        <v>100.51</v>
      </c>
      <c r="O30" t="inlineStr">
        <is>
          <t>AC1</t>
        </is>
      </c>
      <c r="P30" t="inlineStr"/>
      <c r="Q30" t="n">
        <v>1</v>
      </c>
      <c r="R30" t="n">
        <v>0</v>
      </c>
      <c r="S30" t="n">
        <v>0</v>
      </c>
      <c r="T30" t="inlineStr"/>
      <c r="U30" t="inlineStr"/>
      <c r="V30" t="inlineStr"/>
      <c r="W3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1">
      <c r="A31" t="n">
        <v>72</v>
      </c>
      <c r="B31" t="n">
        <v>24</v>
      </c>
      <c r="C31" t="n">
        <v>3</v>
      </c>
      <c r="D31" t="n">
        <v>1</v>
      </c>
      <c r="E31" t="inlineStr">
        <is>
          <t>R1, R2 y R4 dado que R5 se puede quitar</t>
        </is>
      </c>
      <c r="F31" t="inlineStr">
        <is>
          <t>¿Qué sucede con la corriente que circula a través de R4 si se elimina R5?</t>
        </is>
      </c>
      <c r="G31" t="n">
        <v>4</v>
      </c>
      <c r="H31" t="n">
        <v>2</v>
      </c>
      <c r="I31" t="n">
        <v>4</v>
      </c>
      <c r="J31" t="n">
        <v>5</v>
      </c>
      <c r="K31" t="n">
        <v>15</v>
      </c>
      <c r="L31" t="n">
        <v>0.581</v>
      </c>
      <c r="M31" t="n">
        <v>25</v>
      </c>
      <c r="N31" t="n">
        <v>103.33</v>
      </c>
      <c r="O31" t="inlineStr">
        <is>
          <t>AC6</t>
        </is>
      </c>
      <c r="P31" t="inlineStr">
        <is>
          <t>AC1</t>
        </is>
      </c>
      <c r="Q31" t="n">
        <v>0</v>
      </c>
      <c r="R31" t="n">
        <v>0</v>
      </c>
      <c r="S31" t="n">
        <v>0</v>
      </c>
      <c r="T31" t="inlineStr"/>
      <c r="U31" t="inlineStr"/>
      <c r="V31" t="inlineStr"/>
      <c r="W31"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32">
      <c r="A32" t="n">
        <v>73</v>
      </c>
      <c r="B32" t="n">
        <v>25</v>
      </c>
      <c r="C32" t="n">
        <v>1</v>
      </c>
      <c r="D32" t="n">
        <v>1</v>
      </c>
      <c r="E32" t="inlineStr">
        <is>
          <t>R1, R2 y R4 dado que R3 no influye para nada en la diferencia de potencial que se pide</t>
        </is>
      </c>
      <c r="F32" t="inlineStr">
        <is>
          <t>¿Cómo está conectada R4 con respecto a los nodos N2 y N1, considerando el interruptor abierto entre N2 y N3?</t>
        </is>
      </c>
      <c r="G32" t="n">
        <v>3</v>
      </c>
      <c r="H32" t="n">
        <v>5</v>
      </c>
      <c r="I32" t="n">
        <v>3</v>
      </c>
      <c r="J32" t="n">
        <v>5</v>
      </c>
      <c r="K32" t="n">
        <v>16</v>
      </c>
      <c r="L32" t="n">
        <v>0.632</v>
      </c>
      <c r="M32" t="n">
        <v>34</v>
      </c>
      <c r="N32" t="n">
        <v>94.98</v>
      </c>
      <c r="O32" t="inlineStr">
        <is>
          <t>AC1</t>
        </is>
      </c>
      <c r="P32" t="inlineStr">
        <is>
          <t>AC1</t>
        </is>
      </c>
      <c r="Q32" t="n">
        <v>1</v>
      </c>
      <c r="R32" t="n">
        <v>1</v>
      </c>
      <c r="S32" t="n">
        <v>1</v>
      </c>
      <c r="T32" t="inlineStr"/>
      <c r="U32" t="inlineStr"/>
      <c r="V32" t="inlineStr"/>
      <c r="W32"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3">
      <c r="A33" t="n">
        <v>74</v>
      </c>
      <c r="B33" t="n">
        <v>25</v>
      </c>
      <c r="C33" t="n">
        <v>2</v>
      </c>
      <c r="D33" t="n">
        <v>1</v>
      </c>
      <c r="E33" t="inlineStr">
        <is>
          <t>R1, R2 y R4 dado que R5 no influye para nada en la diferencia de potencial que se pide</t>
        </is>
      </c>
      <c r="F33" t="inlineStr">
        <is>
          <t>¿Qué sucede con el valor de R3 si está conectado directamente entre los nodos N2 y N3, justo después del interruptor?</t>
        </is>
      </c>
      <c r="G33" t="n">
        <v>4</v>
      </c>
      <c r="H33" t="n">
        <v>3</v>
      </c>
      <c r="I33" t="n">
        <v>3</v>
      </c>
      <c r="J33" t="n">
        <v>5</v>
      </c>
      <c r="K33" t="n">
        <v>15</v>
      </c>
      <c r="L33" t="n">
        <v>0.666</v>
      </c>
      <c r="M33" t="n">
        <v>33</v>
      </c>
      <c r="N33" t="n">
        <v>90.12</v>
      </c>
      <c r="O33" t="inlineStr">
        <is>
          <t>AC6</t>
        </is>
      </c>
      <c r="P33" t="inlineStr">
        <is>
          <t>AC1</t>
        </is>
      </c>
      <c r="Q33" t="n">
        <v>0</v>
      </c>
      <c r="R33" t="n">
        <v>0</v>
      </c>
      <c r="S33" t="n">
        <v>0</v>
      </c>
      <c r="T33" t="inlineStr"/>
      <c r="U33" t="inlineStr"/>
      <c r="V33" t="inlineStr"/>
      <c r="W3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4">
      <c r="A34" t="n">
        <v>75</v>
      </c>
      <c r="B34" t="n">
        <v>25</v>
      </c>
      <c r="C34" t="n">
        <v>3</v>
      </c>
      <c r="D34" t="n">
        <v>1</v>
      </c>
      <c r="E34" t="inlineStr">
        <is>
          <t>No lo sé</t>
        </is>
      </c>
      <c r="F34" t="inlineStr">
        <is>
          <t>¿Qué significaría que R3 no influya en absoluto para nada en la diferencia de potencial solicitada?</t>
        </is>
      </c>
      <c r="G34" t="n">
        <v>3</v>
      </c>
      <c r="H34" t="n">
        <v>2</v>
      </c>
      <c r="I34" t="n">
        <v>3</v>
      </c>
      <c r="J34" t="n">
        <v>5</v>
      </c>
      <c r="K34" t="n">
        <v>13</v>
      </c>
      <c r="L34" t="n">
        <v>0.549</v>
      </c>
      <c r="M34" t="n">
        <v>25</v>
      </c>
      <c r="N34" t="n">
        <v>109.31</v>
      </c>
      <c r="O34" t="inlineStr">
        <is>
          <t>AC9</t>
        </is>
      </c>
      <c r="P34" t="inlineStr"/>
      <c r="Q34" t="n">
        <v>1</v>
      </c>
      <c r="R34" t="n">
        <v>0</v>
      </c>
      <c r="S34" t="n">
        <v>0</v>
      </c>
      <c r="T34" t="inlineStr"/>
      <c r="U34" t="inlineStr"/>
      <c r="V34" t="inlineStr"/>
      <c r="W3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5">
      <c r="A35" t="n">
        <v>76</v>
      </c>
      <c r="B35" t="n">
        <v>26</v>
      </c>
      <c r="C35" t="n">
        <v>1</v>
      </c>
      <c r="D35" t="n">
        <v>1</v>
      </c>
      <c r="E35" t="inlineStr">
        <is>
          <t>Todas las resistencias</t>
        </is>
      </c>
      <c r="F35" t="inlineStr">
        <is>
          <t>¿Cuál de estas dos afirmaciones es cierta: el circuito tiene un cortocircuito o una rama de corriente abierta?</t>
        </is>
      </c>
      <c r="G35" t="n">
        <v>3</v>
      </c>
      <c r="H35" t="n">
        <v>3</v>
      </c>
      <c r="I35" t="n">
        <v>3</v>
      </c>
      <c r="J35" t="n">
        <v>5</v>
      </c>
      <c r="K35" t="n">
        <v>14</v>
      </c>
      <c r="L35" t="n">
        <v>0.609</v>
      </c>
      <c r="M35" t="n">
        <v>34</v>
      </c>
      <c r="N35" t="n">
        <v>98.51000000000001</v>
      </c>
      <c r="O35" t="inlineStr">
        <is>
          <t>AC9</t>
        </is>
      </c>
      <c r="P35" t="inlineStr">
        <is>
          <t>AC1, AC6</t>
        </is>
      </c>
      <c r="Q35" t="n">
        <v>0</v>
      </c>
      <c r="R35" t="n">
        <v>0</v>
      </c>
      <c r="S35" t="n">
        <v>0</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77</v>
      </c>
      <c r="B36" t="n">
        <v>26</v>
      </c>
      <c r="C36" t="n">
        <v>2</v>
      </c>
      <c r="D36" t="n">
        <v>1</v>
      </c>
      <c r="E36" t="inlineStr">
        <is>
          <t>R1 y R2</t>
        </is>
      </c>
      <c r="F36" t="inlineStr">
        <is>
          <t>¿La suma de las resistencias no se afectaría si los nodos están conectados o desconectados?</t>
        </is>
      </c>
      <c r="G36" t="n">
        <v>3</v>
      </c>
      <c r="H36" t="n">
        <v>3</v>
      </c>
      <c r="I36" t="n">
        <v>2</v>
      </c>
      <c r="J36" t="n">
        <v>5</v>
      </c>
      <c r="K36" t="n">
        <v>13</v>
      </c>
      <c r="L36" t="n">
        <v>0.547</v>
      </c>
      <c r="M36" t="n">
        <v>24</v>
      </c>
      <c r="N36" t="n">
        <v>109.65</v>
      </c>
      <c r="O36" t="inlineStr">
        <is>
          <t>AC9</t>
        </is>
      </c>
      <c r="P36" t="inlineStr">
        <is>
          <t>AC9</t>
        </is>
      </c>
      <c r="Q36" t="n">
        <v>1</v>
      </c>
      <c r="R36" t="n">
        <v>1</v>
      </c>
      <c r="S36" t="n">
        <v>1</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78</v>
      </c>
      <c r="B37" t="n">
        <v>26</v>
      </c>
      <c r="C37" t="n">
        <v>3</v>
      </c>
      <c r="D37" t="n">
        <v>1</v>
      </c>
      <c r="E37" t="inlineStr">
        <is>
          <t>R1, R2 y R4</t>
        </is>
      </c>
      <c r="F37" t="inlineStr">
        <is>
          <t>¿Todas las resistencias están incluidas en la suma, excepto la del interruptor?</t>
        </is>
      </c>
      <c r="G37" t="n">
        <v>3</v>
      </c>
      <c r="H37" t="n">
        <v>3</v>
      </c>
      <c r="I37" t="n">
        <v>3</v>
      </c>
      <c r="J37" t="n">
        <v>5</v>
      </c>
      <c r="K37" t="n">
        <v>14</v>
      </c>
      <c r="L37" t="n">
        <v>1.244</v>
      </c>
      <c r="M37" t="n">
        <v>23</v>
      </c>
      <c r="N37" t="n">
        <v>48.21</v>
      </c>
      <c r="O37" t="inlineStr"/>
      <c r="P37" t="inlineStr">
        <is>
          <t>AC1, AC9</t>
        </is>
      </c>
      <c r="Q37" t="n">
        <v>0</v>
      </c>
      <c r="R37" t="n">
        <v>1</v>
      </c>
      <c r="S37" t="n">
        <v>0</v>
      </c>
      <c r="T37" t="inlineStr"/>
      <c r="U37" t="inlineStr"/>
      <c r="V37" t="inlineStr"/>
      <c r="W3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8">
      <c r="A38" t="n">
        <v>79</v>
      </c>
      <c r="B38" t="n">
        <v>27</v>
      </c>
      <c r="C38" t="n">
        <v>1</v>
      </c>
      <c r="D38" t="n">
        <v>1</v>
      </c>
      <c r="E38" t="inlineStr">
        <is>
          <t>R1, R2, R4 y R5</t>
        </is>
      </c>
      <c r="F38" t="inlineStr">
        <is>
          <t>¿Tiene usted en cuenta que las resistencias que contribuyen a la diferencia de potencial entre N2 y 0 deben tener una parte del camino desde N2 hasta tierra?</t>
        </is>
      </c>
      <c r="G38" t="n">
        <v>3</v>
      </c>
      <c r="H38" t="n">
        <v>3</v>
      </c>
      <c r="I38" t="n">
        <v>2</v>
      </c>
      <c r="J38" t="n">
        <v>5</v>
      </c>
      <c r="K38" t="n">
        <v>13</v>
      </c>
      <c r="L38" t="n">
        <v>0.7</v>
      </c>
      <c r="M38" t="n">
        <v>39</v>
      </c>
      <c r="N38" t="n">
        <v>85.75</v>
      </c>
      <c r="O38" t="inlineStr">
        <is>
          <t>AC6</t>
        </is>
      </c>
      <c r="P38" t="inlineStr">
        <is>
          <t>AC1, AC9</t>
        </is>
      </c>
      <c r="Q38" t="n">
        <v>0</v>
      </c>
      <c r="R38" t="n">
        <v>0</v>
      </c>
      <c r="S38" t="n">
        <v>0</v>
      </c>
      <c r="T38" t="inlineStr"/>
      <c r="U38" t="inlineStr"/>
      <c r="V38" t="inlineStr"/>
      <c r="W3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9">
      <c r="A39" t="n">
        <v>80</v>
      </c>
      <c r="B39" t="n">
        <v>27</v>
      </c>
      <c r="C39" t="n">
        <v>2</v>
      </c>
      <c r="D39" t="n">
        <v>1</v>
      </c>
      <c r="E39" t="inlineStr">
        <is>
          <t>R1, R2, R3 y R4</t>
        </is>
      </c>
      <c r="F39" t="inlineStr">
        <is>
          <t>¿Qué pasa si intercambiamos las posiciones de R3 y R5?</t>
        </is>
      </c>
      <c r="G39" t="n">
        <v>4</v>
      </c>
      <c r="H39" t="n">
        <v>2</v>
      </c>
      <c r="I39" t="n">
        <v>3</v>
      </c>
      <c r="J39" t="n">
        <v>5</v>
      </c>
      <c r="K39" t="n">
        <v>14</v>
      </c>
      <c r="L39" t="n">
        <v>0.506</v>
      </c>
      <c r="M39" t="n">
        <v>20</v>
      </c>
      <c r="N39" t="n">
        <v>118.69</v>
      </c>
      <c r="O39" t="inlineStr">
        <is>
          <t>AC1</t>
        </is>
      </c>
      <c r="P39" t="inlineStr"/>
      <c r="Q39" t="n">
        <v>1</v>
      </c>
      <c r="R39" t="n">
        <v>0</v>
      </c>
      <c r="S39" t="n">
        <v>0</v>
      </c>
      <c r="T39" t="inlineStr"/>
      <c r="U39" t="inlineStr"/>
      <c r="V39" t="inlineStr"/>
      <c r="W39" t="inlineStr">
        <is>
          <t>Socraticidad 4/5 (Andamiaje para detección): Andamiaje para detección: identifica el área del error y plantea pregunta que confronta con la teoría. Precisión Conceptual 2/5 (Pobre): Respuesta genérica: sin vocabulario técnico ni diagnóstico del error. Buen desempeño general; hay margen de mejora en profundidad socrática.</t>
        </is>
      </c>
    </row>
    <row r="40">
      <c r="A40" t="n">
        <v>81</v>
      </c>
      <c r="B40" t="n">
        <v>27</v>
      </c>
      <c r="C40" t="n">
        <v>3</v>
      </c>
      <c r="D40" t="n">
        <v>1</v>
      </c>
      <c r="E40" t="inlineStr">
        <is>
          <t>R1 y R2 y R4 hacen un divisor de corriente</t>
        </is>
      </c>
      <c r="F40" t="inlineStr">
        <is>
          <t>¿Cómo afectaría el valor de R3 a la configuración como divisor de corriente?</t>
        </is>
      </c>
      <c r="G40" t="n">
        <v>3</v>
      </c>
      <c r="H40" t="n">
        <v>2</v>
      </c>
      <c r="I40" t="n">
        <v>3</v>
      </c>
      <c r="J40" t="n">
        <v>5</v>
      </c>
      <c r="K40" t="n">
        <v>13</v>
      </c>
      <c r="L40" t="n">
        <v>0.588</v>
      </c>
      <c r="M40" t="n">
        <v>21</v>
      </c>
      <c r="N40" t="n">
        <v>101.98</v>
      </c>
      <c r="O40" t="inlineStr"/>
      <c r="P40" t="inlineStr">
        <is>
          <t>AC1</t>
        </is>
      </c>
      <c r="Q40" t="n">
        <v>0</v>
      </c>
      <c r="R40" t="n">
        <v>1</v>
      </c>
      <c r="S40" t="n">
        <v>0</v>
      </c>
      <c r="T40" t="inlineStr"/>
      <c r="U40" t="inlineStr"/>
      <c r="V40" t="inlineStr"/>
      <c r="W4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1">
      <c r="A41" t="n">
        <v>82</v>
      </c>
      <c r="B41" t="n">
        <v>28</v>
      </c>
      <c r="C41" t="n">
        <v>1</v>
      </c>
      <c r="D41" t="n">
        <v>1</v>
      </c>
      <c r="E41" t="inlineStr">
        <is>
          <t>R1 y R2 y R4 hacen un divisor de tensión, r3 no cuenta por estar en corto</t>
        </is>
      </c>
      <c r="F41" t="inlineStr">
        <is>
          <t>¿Podría explicarme qué ocurre con R1 si R4 no existiera en el circuito?</t>
        </is>
      </c>
      <c r="G41" t="n">
        <v>5</v>
      </c>
      <c r="H41" t="n">
        <v>2</v>
      </c>
      <c r="I41" t="n">
        <v>4</v>
      </c>
      <c r="J41" t="n">
        <v>5</v>
      </c>
      <c r="K41" t="n">
        <v>16</v>
      </c>
      <c r="L41" t="n">
        <v>0.599</v>
      </c>
      <c r="M41" t="n">
        <v>24</v>
      </c>
      <c r="N41" t="n">
        <v>100.11</v>
      </c>
      <c r="O41" t="inlineStr">
        <is>
          <t>AC1</t>
        </is>
      </c>
      <c r="P41" t="inlineStr"/>
      <c r="Q41" t="n">
        <v>1</v>
      </c>
      <c r="R41" t="n">
        <v>0</v>
      </c>
      <c r="S41" t="n">
        <v>0</v>
      </c>
      <c r="T41" t="inlineStr"/>
      <c r="U41" t="inlineStr"/>
      <c r="V41" t="inlineStr"/>
      <c r="W41" t="inlineStr">
        <is>
          <t>Socraticidad 5/5 (Inducción a la contradicción): Inducción a la contradicción: usa contraejemplo o reducción al absurdo. Precisión Conceptual 2/5 (Pobre): Respuesta genérica: sin vocabulario técnico ni diagnóstico del error. Buen desempeño general; hay margen de mejora en profundidad socrática.</t>
        </is>
      </c>
    </row>
    <row r="42">
      <c r="A42" t="n">
        <v>83</v>
      </c>
      <c r="B42" t="n">
        <v>28</v>
      </c>
      <c r="C42" t="n">
        <v>2</v>
      </c>
      <c r="D42" t="n">
        <v>1</v>
      </c>
      <c r="E42" t="inlineStr">
        <is>
          <t>No tengo en cuenta R3 porque el interruptor está cerrado</t>
        </is>
      </c>
      <c r="F42" t="inlineStr">
        <is>
          <t>¿Cómo afectaría el estado del interruptor a la resistencia equivalente de R1 y R4?</t>
        </is>
      </c>
      <c r="G42" t="n">
        <v>3</v>
      </c>
      <c r="H42" t="n">
        <v>3</v>
      </c>
      <c r="I42" t="n">
        <v>3</v>
      </c>
      <c r="J42" t="n">
        <v>5</v>
      </c>
      <c r="K42" t="n">
        <v>14</v>
      </c>
      <c r="L42" t="n">
        <v>0.636</v>
      </c>
      <c r="M42" t="n">
        <v>23</v>
      </c>
      <c r="N42" t="n">
        <v>94.31</v>
      </c>
      <c r="O42" t="inlineStr">
        <is>
          <t>AC1, AC9</t>
        </is>
      </c>
      <c r="P42" t="inlineStr">
        <is>
          <t>AC1</t>
        </is>
      </c>
      <c r="Q42" t="n">
        <v>1</v>
      </c>
      <c r="R42" t="n">
        <v>0.5</v>
      </c>
      <c r="S42" t="n">
        <v>0.667</v>
      </c>
      <c r="T42" t="inlineStr"/>
      <c r="U42" t="inlineStr"/>
      <c r="V42" t="inlineStr"/>
      <c r="W4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3">
      <c r="A43" t="n">
        <v>84</v>
      </c>
      <c r="B43" t="n">
        <v>28</v>
      </c>
      <c r="C43" t="n">
        <v>3</v>
      </c>
      <c r="D43" t="n">
        <v>1</v>
      </c>
      <c r="E43" t="inlineStr">
        <is>
          <t>No tengo en cuenta R5 porque está en circuito abierto</t>
        </is>
      </c>
      <c r="F43" t="inlineStr">
        <is>
          <t>¿Qué pasaría con el nodo de unión entre R1 y R4 si el interruptor no está cerrado?</t>
        </is>
      </c>
      <c r="G43" t="n">
        <v>3</v>
      </c>
      <c r="H43" t="n">
        <v>3</v>
      </c>
      <c r="I43" t="n">
        <v>3</v>
      </c>
      <c r="J43" t="n">
        <v>5</v>
      </c>
      <c r="K43" t="n">
        <v>14</v>
      </c>
      <c r="L43" t="n">
        <v>0.8100000000000001</v>
      </c>
      <c r="M43" t="n">
        <v>26</v>
      </c>
      <c r="N43" t="n">
        <v>74.03</v>
      </c>
      <c r="O43" t="inlineStr">
        <is>
          <t>AC6, AC9</t>
        </is>
      </c>
      <c r="P43" t="inlineStr">
        <is>
          <t>AC1</t>
        </is>
      </c>
      <c r="Q43" t="n">
        <v>0</v>
      </c>
      <c r="R43" t="n">
        <v>0</v>
      </c>
      <c r="S43" t="n">
        <v>0</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297</v>
      </c>
      <c r="B2" t="n">
        <v>99</v>
      </c>
      <c r="C2" t="n">
        <v>3</v>
      </c>
      <c r="D2" t="n">
        <v>1</v>
      </c>
      <c r="E2" t="inlineStr">
        <is>
          <t>R1 y R2 por identificar un divisor de tensión</t>
        </is>
      </c>
      <c r="F2" t="inlineStr">
        <is>
          <t>¿Cuál es el valor del voltaje en el nodo de R2 si se desconoce la tensión de entrada?</t>
        </is>
      </c>
      <c r="G2" t="n">
        <v>3</v>
      </c>
      <c r="H2" t="n">
        <v>3</v>
      </c>
      <c r="I2" t="n">
        <v>4</v>
      </c>
      <c r="J2" t="n">
        <v>5</v>
      </c>
      <c r="K2" t="n">
        <v>15</v>
      </c>
      <c r="L2" t="n">
        <v>58.787</v>
      </c>
      <c r="M2" t="n">
        <v>26</v>
      </c>
      <c r="N2" t="n">
        <v>1.02</v>
      </c>
      <c r="O2" t="inlineStr">
        <is>
          <t>AC9</t>
        </is>
      </c>
      <c r="P2" t="inlineStr"/>
      <c r="Q2" t="n">
        <v>1</v>
      </c>
      <c r="R2" t="n">
        <v>0</v>
      </c>
      <c r="S2" t="n">
        <v>0</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298</v>
      </c>
      <c r="B3" t="n">
        <v>100</v>
      </c>
      <c r="C3" t="n">
        <v>1</v>
      </c>
      <c r="D3" t="n">
        <v>1</v>
      </c>
      <c r="E3" t="inlineStr">
        <is>
          <t>R1 y R2 hacen un divisor de tensión</t>
        </is>
      </c>
      <c r="F3" t="inlineStr">
        <is>
          <t>¿Pero qué pasaría si el valor de la resistencia R4 fuera diferente al de R1 y R2, como R5 o incluso mayor que ellos? ¿Qué influencia tendría eso en el valor de la diferencia de potencial entre N2 y 0?.</t>
        </is>
      </c>
      <c r="G3" t="n">
        <v>1</v>
      </c>
      <c r="H3" t="n">
        <v>3</v>
      </c>
      <c r="I3" t="n">
        <v>3</v>
      </c>
      <c r="J3" t="n">
        <v>5</v>
      </c>
      <c r="K3" t="n">
        <v>12</v>
      </c>
      <c r="L3" t="n">
        <v>1.426</v>
      </c>
      <c r="M3" t="n">
        <v>58</v>
      </c>
      <c r="N3" t="n">
        <v>42.06</v>
      </c>
      <c r="O3" t="inlineStr">
        <is>
          <t>AC9</t>
        </is>
      </c>
      <c r="P3" t="inlineStr"/>
      <c r="Q3" t="n">
        <v>1</v>
      </c>
      <c r="R3" t="n">
        <v>0</v>
      </c>
      <c r="S3" t="n">
        <v>0</v>
      </c>
      <c r="T3" t="inlineStr"/>
      <c r="U3" t="inlineStr"/>
      <c r="V3" t="inlineStr"/>
      <c r="W3"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4">
      <c r="A4" t="n">
        <v>299</v>
      </c>
      <c r="B4" t="n">
        <v>100</v>
      </c>
      <c r="C4" t="n">
        <v>2</v>
      </c>
      <c r="D4" t="n">
        <v>1</v>
      </c>
      <c r="E4" t="inlineStr">
        <is>
          <t>R1, R2, R3 y R4 porque R5 está cortocircuitada</t>
        </is>
      </c>
      <c r="F4" t="inlineStr">
        <is>
          <t>¿Y qué sucedería si R1 y R3 se intercambiaran sus posiciones, ¿qué efecto tendría eso en el circuito?.</t>
        </is>
      </c>
      <c r="G4" t="n">
        <v>1</v>
      </c>
      <c r="H4" t="n">
        <v>2</v>
      </c>
      <c r="I4" t="n">
        <v>3</v>
      </c>
      <c r="J4" t="n">
        <v>5</v>
      </c>
      <c r="K4" t="n">
        <v>11</v>
      </c>
      <c r="L4" t="n">
        <v>0.993</v>
      </c>
      <c r="M4" t="n">
        <v>36</v>
      </c>
      <c r="N4" t="n">
        <v>60.42</v>
      </c>
      <c r="O4" t="inlineStr">
        <is>
          <t>AC1, AC6</t>
        </is>
      </c>
      <c r="P4" t="inlineStr"/>
      <c r="Q4" t="n">
        <v>1</v>
      </c>
      <c r="R4" t="n">
        <v>0</v>
      </c>
      <c r="S4" t="n">
        <v>0</v>
      </c>
      <c r="T4" t="inlineStr"/>
      <c r="U4" t="inlineStr"/>
      <c r="V4" t="inlineStr"/>
      <c r="W4" t="inlineStr">
        <is>
          <t>Socraticidad 1/5 (Instructivo): No termina en pregunta; el tutor es instructivo. Precisión Conceptual 2/5 (Pobre): Respuesta genérica: sin vocabulario técnico ni diagnóstico del error. Desempeño aceptable; necesita mejorar precisión o metodología socrática.</t>
        </is>
      </c>
    </row>
    <row r="5">
      <c r="A5" t="n">
        <v>300</v>
      </c>
      <c r="B5" t="n">
        <v>100</v>
      </c>
      <c r="C5" t="n">
        <v>3</v>
      </c>
      <c r="D5" t="n">
        <v>1</v>
      </c>
      <c r="E5" t="inlineStr">
        <is>
          <t>R1, R2, R3 y R4 porque por R5 no circula corriente</t>
        </is>
      </c>
      <c r="F5" t="inlineStr">
        <is>
          <t>¿Pero si el interruptor S1 se cierra, ¿qué pasaría con la resistencia R5?.</t>
        </is>
      </c>
      <c r="G5" t="n">
        <v>1</v>
      </c>
      <c r="H5" t="n">
        <v>3</v>
      </c>
      <c r="I5" t="n">
        <v>3</v>
      </c>
      <c r="J5" t="n">
        <v>5</v>
      </c>
      <c r="K5" t="n">
        <v>12</v>
      </c>
      <c r="L5" t="n">
        <v>0.962</v>
      </c>
      <c r="M5" t="n">
        <v>25</v>
      </c>
      <c r="N5" t="n">
        <v>62.36</v>
      </c>
      <c r="O5" t="inlineStr">
        <is>
          <t>AC1, AC6</t>
        </is>
      </c>
      <c r="P5" t="inlineStr">
        <is>
          <t>AC1</t>
        </is>
      </c>
      <c r="Q5" t="n">
        <v>1</v>
      </c>
      <c r="R5" t="n">
        <v>0.5</v>
      </c>
      <c r="S5" t="n">
        <v>0.667</v>
      </c>
      <c r="T5" t="inlineStr"/>
      <c r="U5" t="inlineStr"/>
      <c r="V5" t="inlineStr"/>
      <c r="W5"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6">
      <c r="A6" t="n">
        <v>301</v>
      </c>
      <c r="B6" t="n">
        <v>101</v>
      </c>
      <c r="C6" t="n">
        <v>1</v>
      </c>
      <c r="D6" t="n">
        <v>1</v>
      </c>
      <c r="E6" t="inlineStr">
        <is>
          <t>R1, R2, R3 y R4 porque R5 se quita</t>
        </is>
      </c>
      <c r="F6" t="inlineStr">
        <is>
          <t>¿Cuál es el estado de los dos extremos de R5 según su propio análisis, y qué consecuencia tiene para su contribución a la diferencia de potencial entre N2 y 0?.</t>
        </is>
      </c>
      <c r="G6" t="n">
        <v>1</v>
      </c>
      <c r="H6" t="n">
        <v>2</v>
      </c>
      <c r="I6" t="n">
        <v>3</v>
      </c>
      <c r="J6" t="n">
        <v>5</v>
      </c>
      <c r="K6" t="n">
        <v>11</v>
      </c>
      <c r="L6" t="n">
        <v>1.143</v>
      </c>
      <c r="M6" t="n">
        <v>43</v>
      </c>
      <c r="N6" t="n">
        <v>52.49</v>
      </c>
      <c r="O6" t="inlineStr">
        <is>
          <t>AC1, AC6</t>
        </is>
      </c>
      <c r="P6" t="inlineStr"/>
      <c r="Q6" t="n">
        <v>1</v>
      </c>
      <c r="R6" t="n">
        <v>0</v>
      </c>
      <c r="S6" t="n">
        <v>0</v>
      </c>
      <c r="T6" t="inlineStr"/>
      <c r="U6" t="inlineStr"/>
      <c r="V6" t="inlineStr"/>
      <c r="W6"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7">
      <c r="A7" t="n">
        <v>302</v>
      </c>
      <c r="B7" t="n">
        <v>101</v>
      </c>
      <c r="C7" t="n">
        <v>2</v>
      </c>
      <c r="D7" t="n">
        <v>1</v>
      </c>
      <c r="E7" t="inlineStr">
        <is>
          <t>R1, R3 y R4 porque R2 está en paralelo con la fuente y R5 corctocircuitada</t>
        </is>
      </c>
      <c r="F7" t="inlineStr">
        <is>
          <t>¿Se puede considerar a R2 como un cortocircuito o más bien como una parte de la fuente alimentada?</t>
        </is>
      </c>
      <c r="G7" t="n">
        <v>3</v>
      </c>
      <c r="H7" t="n">
        <v>2</v>
      </c>
      <c r="I7" t="n">
        <v>3</v>
      </c>
      <c r="J7" t="n">
        <v>5</v>
      </c>
      <c r="K7" t="n">
        <v>13</v>
      </c>
      <c r="L7" t="n">
        <v>0.793</v>
      </c>
      <c r="M7" t="n">
        <v>28</v>
      </c>
      <c r="N7" t="n">
        <v>75.64</v>
      </c>
      <c r="O7" t="inlineStr">
        <is>
          <t>AC1, AC6</t>
        </is>
      </c>
      <c r="P7" t="inlineStr">
        <is>
          <t>AC6, AC9</t>
        </is>
      </c>
      <c r="Q7" t="n">
        <v>0.5</v>
      </c>
      <c r="R7" t="n">
        <v>0.5</v>
      </c>
      <c r="S7" t="n">
        <v>0.5</v>
      </c>
      <c r="T7" t="inlineStr"/>
      <c r="U7" t="inlineStr"/>
      <c r="V7" t="inlineStr"/>
      <c r="W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8">
      <c r="A8" t="n">
        <v>303</v>
      </c>
      <c r="B8" t="n">
        <v>101</v>
      </c>
      <c r="C8" t="n">
        <v>3</v>
      </c>
      <c r="D8" t="n">
        <v>1</v>
      </c>
      <c r="E8" t="inlineStr">
        <is>
          <t>R1, R4 y R5 porque R2 se elimina y R3 también</t>
        </is>
      </c>
      <c r="F8" t="inlineStr">
        <is>
          <t>¿Cuál es el efecto de eliminar un resistente en serie a una fuente de tensión constante?.</t>
        </is>
      </c>
      <c r="G8" t="n">
        <v>1</v>
      </c>
      <c r="H8" t="n">
        <v>3</v>
      </c>
      <c r="I8" t="n">
        <v>3</v>
      </c>
      <c r="J8" t="n">
        <v>5</v>
      </c>
      <c r="K8" t="n">
        <v>12</v>
      </c>
      <c r="L8" t="n">
        <v>0.912</v>
      </c>
      <c r="M8" t="n">
        <v>25</v>
      </c>
      <c r="N8" t="n">
        <v>65.8</v>
      </c>
      <c r="O8" t="inlineStr">
        <is>
          <t>AC1, AC6</t>
        </is>
      </c>
      <c r="P8" t="inlineStr"/>
      <c r="Q8" t="n">
        <v>1</v>
      </c>
      <c r="R8" t="n">
        <v>0</v>
      </c>
      <c r="S8" t="n">
        <v>0</v>
      </c>
      <c r="T8" t="inlineStr"/>
      <c r="U8" t="inlineStr"/>
      <c r="V8" t="inlineStr"/>
      <c r="W8"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9">
      <c r="A9" t="n">
        <v>304</v>
      </c>
      <c r="B9" t="n">
        <v>102</v>
      </c>
      <c r="C9" t="n">
        <v>1</v>
      </c>
      <c r="D9" t="n">
        <v>1</v>
      </c>
      <c r="E9" t="inlineStr">
        <is>
          <t>R1 y R4 dado que R2 está en paralelo con la fuente, R3 en circuito abierto y R5 cortocircuitada</t>
        </is>
      </c>
      <c r="F9" t="inlineStr">
        <is>
          <t>¿Qué pasaría con el valor de la diferencia de potencial entre N2 y 0 si se cambiara R1 por un cable perfectamente conductor?</t>
        </is>
      </c>
      <c r="G9" t="n">
        <v>3</v>
      </c>
      <c r="H9" t="n">
        <v>2</v>
      </c>
      <c r="I9" t="n">
        <v>3</v>
      </c>
      <c r="J9" t="n">
        <v>5</v>
      </c>
      <c r="K9" t="n">
        <v>13</v>
      </c>
      <c r="L9" t="n">
        <v>0.978</v>
      </c>
      <c r="M9" t="n">
        <v>33</v>
      </c>
      <c r="N9" t="n">
        <v>61.33</v>
      </c>
      <c r="O9" t="inlineStr">
        <is>
          <t>AC1, AC6</t>
        </is>
      </c>
      <c r="P9" t="inlineStr"/>
      <c r="Q9" t="n">
        <v>1</v>
      </c>
      <c r="R9" t="n">
        <v>0</v>
      </c>
      <c r="S9" t="n">
        <v>0</v>
      </c>
      <c r="T9" t="inlineStr"/>
      <c r="U9" t="inlineStr"/>
      <c r="V9" t="inlineStr"/>
      <c r="W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0">
      <c r="A10" t="n">
        <v>305</v>
      </c>
      <c r="B10" t="n">
        <v>102</v>
      </c>
      <c r="C10" t="n">
        <v>2</v>
      </c>
      <c r="D10" t="n">
        <v>1</v>
      </c>
      <c r="E10" t="inlineStr">
        <is>
          <t>R1, R2 y R3 dado que R2 y R3 están en paralelo y forman un divisor de tensión con R1</t>
        </is>
      </c>
      <c r="F10" t="inlineStr">
        <is>
          <t>¿Qué resistencia total tendría el circuito si se eliminara el divisor de tensión y solo quedaran R1 y R5 en serie?</t>
        </is>
      </c>
      <c r="G10" t="n">
        <v>3</v>
      </c>
      <c r="H10" t="n">
        <v>3</v>
      </c>
      <c r="I10" t="n">
        <v>3</v>
      </c>
      <c r="J10" t="n">
        <v>5</v>
      </c>
      <c r="K10" t="n">
        <v>14</v>
      </c>
      <c r="L10" t="n">
        <v>0.967</v>
      </c>
      <c r="M10" t="n">
        <v>32</v>
      </c>
      <c r="N10" t="n">
        <v>62.03</v>
      </c>
      <c r="O10" t="inlineStr">
        <is>
          <t>AC1, AC9</t>
        </is>
      </c>
      <c r="P10" t="inlineStr"/>
      <c r="Q10" t="n">
        <v>1</v>
      </c>
      <c r="R10" t="n">
        <v>0</v>
      </c>
      <c r="S10" t="n">
        <v>0</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306</v>
      </c>
      <c r="B11" t="n">
        <v>102</v>
      </c>
      <c r="C11" t="n">
        <v>3</v>
      </c>
      <c r="D11" t="n">
        <v>1</v>
      </c>
      <c r="E11" t="inlineStr">
        <is>
          <t>R1, R2, R4 y R5 dado que R3 está en circuito abierto</t>
        </is>
      </c>
      <c r="F11" t="inlineStr">
        <is>
          <t>¿Qué resistencia estaría bloqueada si el interruptor fuera cerrado y R3 se convirtiera en una ruta de paso para el circuito?</t>
        </is>
      </c>
      <c r="G11" t="n">
        <v>3</v>
      </c>
      <c r="H11" t="n">
        <v>3</v>
      </c>
      <c r="I11" t="n">
        <v>3</v>
      </c>
      <c r="J11" t="n">
        <v>5</v>
      </c>
      <c r="K11" t="n">
        <v>14</v>
      </c>
      <c r="L11" t="n">
        <v>1.034</v>
      </c>
      <c r="M11" t="n">
        <v>33</v>
      </c>
      <c r="N11" t="n">
        <v>58.05</v>
      </c>
      <c r="O11" t="inlineStr">
        <is>
          <t>AC1, AC6</t>
        </is>
      </c>
      <c r="P11" t="inlineStr">
        <is>
          <t>AC1</t>
        </is>
      </c>
      <c r="Q11" t="n">
        <v>1</v>
      </c>
      <c r="R11" t="n">
        <v>0.5</v>
      </c>
      <c r="S11" t="n">
        <v>0.667</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307</v>
      </c>
      <c r="B12" t="n">
        <v>103</v>
      </c>
      <c r="C12" t="n">
        <v>1</v>
      </c>
      <c r="D12" t="n">
        <v>1</v>
      </c>
      <c r="E12" t="inlineStr">
        <is>
          <t>R1, R2, R4 y R5 dado que R3 sobra</t>
        </is>
      </c>
      <c r="F12" t="inlineStr">
        <is>
          <t>¿Por qué no mencionas a R6 entre las resistencias que contribuyen a la diferencia de potencial entre N2 y 0?</t>
        </is>
      </c>
      <c r="G12" t="n">
        <v>3</v>
      </c>
      <c r="H12" t="n">
        <v>3</v>
      </c>
      <c r="I12" t="n">
        <v>3</v>
      </c>
      <c r="J12" t="n">
        <v>2</v>
      </c>
      <c r="K12" t="n">
        <v>11</v>
      </c>
      <c r="L12" t="n">
        <v>1.525</v>
      </c>
      <c r="M12" t="n">
        <v>31</v>
      </c>
      <c r="N12" t="n">
        <v>39.34</v>
      </c>
      <c r="O12" t="inlineStr">
        <is>
          <t>AC1, AC6</t>
        </is>
      </c>
      <c r="P12" t="inlineStr">
        <is>
          <t>AC9</t>
        </is>
      </c>
      <c r="Q12" t="n">
        <v>0</v>
      </c>
      <c r="R12" t="n">
        <v>0</v>
      </c>
      <c r="S12" t="n">
        <v>0</v>
      </c>
      <c r="T12" t="inlineStr"/>
      <c r="U12" t="inlineStr"/>
      <c r="V12" t="inlineStr"/>
      <c r="W12" t="inlineStr">
        <is>
          <t>Socraticidad 3/5 (Clarificación): Pregunta genérica: pide clarificación sin atacar la raíz del error. Precisión Conceptual 3/5 (Suficiente): Suficiente: identifica que hay un error y usa conceptos correctos, pero el diagnóstico es algo vago. Desempeño aceptable; necesita mejorar precisión o metodología socrática.</t>
        </is>
      </c>
    </row>
    <row r="13">
      <c r="A13" t="n">
        <v>308</v>
      </c>
      <c r="B13" t="n">
        <v>103</v>
      </c>
      <c r="C13" t="n">
        <v>2</v>
      </c>
      <c r="D13" t="n">
        <v>1</v>
      </c>
      <c r="E13" t="inlineStr">
        <is>
          <t>R1, R2, R4 y R5 dado que R3 no hace nada</t>
        </is>
      </c>
      <c r="F13" t="inlineStr">
        <is>
          <t>¿Qué pasa con el circuito cuando se cierra el interruptor I3?.</t>
        </is>
      </c>
      <c r="G13" t="n">
        <v>1</v>
      </c>
      <c r="H13" t="n">
        <v>2</v>
      </c>
      <c r="I13" t="n">
        <v>3</v>
      </c>
      <c r="J13" t="n">
        <v>5</v>
      </c>
      <c r="K13" t="n">
        <v>11</v>
      </c>
      <c r="L13" t="n">
        <v>1.249</v>
      </c>
      <c r="M13" t="n">
        <v>18</v>
      </c>
      <c r="N13" t="n">
        <v>48.03</v>
      </c>
      <c r="O13" t="inlineStr">
        <is>
          <t>AC1, AC6</t>
        </is>
      </c>
      <c r="P13" t="inlineStr">
        <is>
          <t>AC1</t>
        </is>
      </c>
      <c r="Q13" t="n">
        <v>1</v>
      </c>
      <c r="R13" t="n">
        <v>0.5</v>
      </c>
      <c r="S13" t="n">
        <v>0.667</v>
      </c>
      <c r="T13" t="inlineStr"/>
      <c r="U13" t="inlineStr"/>
      <c r="V13" t="inlineStr"/>
      <c r="W13"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4">
      <c r="A14" t="n">
        <v>309</v>
      </c>
      <c r="B14" t="n">
        <v>103</v>
      </c>
      <c r="C14" t="n">
        <v>3</v>
      </c>
      <c r="D14" t="n">
        <v>1</v>
      </c>
      <c r="E14" t="inlineStr">
        <is>
          <t>R1, R2 y R4 dado que son las resistencias que forman parte del circuito.</t>
        </is>
      </c>
      <c r="F14" t="inlineStr">
        <is>
          <t>¿Por qué el circuito sigue funcionando si se desconecta R5?</t>
        </is>
      </c>
      <c r="G14" t="n">
        <v>3</v>
      </c>
      <c r="H14" t="n">
        <v>2</v>
      </c>
      <c r="I14" t="n">
        <v>3</v>
      </c>
      <c r="J14" t="n">
        <v>5</v>
      </c>
      <c r="K14" t="n">
        <v>13</v>
      </c>
      <c r="L14" t="n">
        <v>0.945</v>
      </c>
      <c r="M14" t="n">
        <v>17</v>
      </c>
      <c r="N14" t="n">
        <v>63.47</v>
      </c>
      <c r="O14" t="inlineStr"/>
      <c r="P14" t="inlineStr"/>
      <c r="Q14" t="n">
        <v>1</v>
      </c>
      <c r="R14" t="n">
        <v>1</v>
      </c>
      <c r="S14" t="n">
        <v>1</v>
      </c>
      <c r="T14" t="inlineStr"/>
      <c r="U14" t="inlineStr"/>
      <c r="V14" t="inlineStr"/>
      <c r="W14"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5">
      <c r="A15" t="n">
        <v>310</v>
      </c>
      <c r="B15" t="n">
        <v>104</v>
      </c>
      <c r="C15" t="n">
        <v>1</v>
      </c>
      <c r="D15" t="n">
        <v>1</v>
      </c>
      <c r="E15" t="inlineStr">
        <is>
          <t>R1, R2 y R4 dado que R2 y R4 están en paralelo y forma un divisor de tensión con R1.</t>
        </is>
      </c>
      <c r="F15" t="inlineStr">
        <is>
          <t>¿Cuál es el efecto del cortocircuito entre los dos terminales de R5 sobre la corriente que circula a través de él?.</t>
        </is>
      </c>
      <c r="G15" t="n">
        <v>1</v>
      </c>
      <c r="H15" t="n">
        <v>5</v>
      </c>
      <c r="I15" t="n">
        <v>3</v>
      </c>
      <c r="J15" t="n">
        <v>5</v>
      </c>
      <c r="K15" t="n">
        <v>14</v>
      </c>
      <c r="L15" t="n">
        <v>1.117</v>
      </c>
      <c r="M15" t="n">
        <v>34</v>
      </c>
      <c r="N15" t="n">
        <v>53.72</v>
      </c>
      <c r="O15" t="inlineStr"/>
      <c r="P15" t="inlineStr">
        <is>
          <t>AC1, AC6, AC9</t>
        </is>
      </c>
      <c r="Q15" t="n">
        <v>0</v>
      </c>
      <c r="R15" t="n">
        <v>1</v>
      </c>
      <c r="S15" t="n">
        <v>0</v>
      </c>
      <c r="T15" t="inlineStr"/>
      <c r="U15" t="inlineStr"/>
      <c r="V15" t="inlineStr"/>
      <c r="W15" t="inlineStr">
        <is>
          <t>Socraticidad 1/5 (Instructivo): No termina en pregunta; el tutor es instructivo. Precisión Conceptual 5/5 (Excelente): Excelente: identifica la concepción alternativa específica y la conecta con la topología del circuito. Buen desempeño general; hay margen de mejora en profundidad socrática.</t>
        </is>
      </c>
    </row>
    <row r="16">
      <c r="A16" t="n">
        <v>311</v>
      </c>
      <c r="B16" t="n">
        <v>104</v>
      </c>
      <c r="C16" t="n">
        <v>2</v>
      </c>
      <c r="D16" t="n">
        <v>1</v>
      </c>
      <c r="E16" t="inlineStr">
        <is>
          <t>R1, R2 y R4 dado que R3 está en abierto y R5 cortocircuitada</t>
        </is>
      </c>
      <c r="F16" t="inlineStr">
        <is>
          <t>¿Por qué no se considera el efecto de la resistencia interna del generador en este circuito?.</t>
        </is>
      </c>
      <c r="G16" t="n">
        <v>1</v>
      </c>
      <c r="H16" t="n">
        <v>2</v>
      </c>
      <c r="I16" t="n">
        <v>3</v>
      </c>
      <c r="J16" t="n">
        <v>5</v>
      </c>
      <c r="K16" t="n">
        <v>11</v>
      </c>
      <c r="L16" t="n">
        <v>0.953</v>
      </c>
      <c r="M16" t="n">
        <v>25</v>
      </c>
      <c r="N16" t="n">
        <v>62.94</v>
      </c>
      <c r="O16" t="inlineStr">
        <is>
          <t>AC1, AC6</t>
        </is>
      </c>
      <c r="P16" t="inlineStr"/>
      <c r="Q16" t="n">
        <v>1</v>
      </c>
      <c r="R16" t="n">
        <v>0</v>
      </c>
      <c r="S16" t="n">
        <v>0</v>
      </c>
      <c r="T16" t="inlineStr"/>
      <c r="U16" t="inlineStr"/>
      <c r="V16" t="inlineStr"/>
      <c r="W16"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7">
      <c r="A17" t="n">
        <v>312</v>
      </c>
      <c r="B17" t="n">
        <v>104</v>
      </c>
      <c r="C17" t="n">
        <v>3</v>
      </c>
      <c r="D17" t="n">
        <v>1</v>
      </c>
      <c r="E17" t="inlineStr">
        <is>
          <t>R1, R2 y R4 dado que solo por estas resistencias circula una corriente diferente de cero</t>
        </is>
      </c>
      <c r="F17" t="inlineStr">
        <is>
          <t>¿Por qué se consideran las resistencias R3 y R5 como no conductivas?.</t>
        </is>
      </c>
      <c r="G17" t="n">
        <v>1</v>
      </c>
      <c r="H17" t="n">
        <v>2</v>
      </c>
      <c r="I17" t="n">
        <v>3</v>
      </c>
      <c r="J17" t="n">
        <v>5</v>
      </c>
      <c r="K17" t="n">
        <v>11</v>
      </c>
      <c r="L17" t="n">
        <v>0.876</v>
      </c>
      <c r="M17" t="n">
        <v>20</v>
      </c>
      <c r="N17" t="n">
        <v>68.47</v>
      </c>
      <c r="O17" t="inlineStr"/>
      <c r="P17" t="inlineStr">
        <is>
          <t>AC9</t>
        </is>
      </c>
      <c r="Q17" t="n">
        <v>0</v>
      </c>
      <c r="R17" t="n">
        <v>1</v>
      </c>
      <c r="S17" t="n">
        <v>0</v>
      </c>
      <c r="T17" t="inlineStr"/>
      <c r="U17" t="inlineStr"/>
      <c r="V17" t="inlineStr"/>
      <c r="W17"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18">
      <c r="A18" t="n">
        <v>313</v>
      </c>
      <c r="B18" t="n">
        <v>105</v>
      </c>
      <c r="C18" t="n">
        <v>1</v>
      </c>
      <c r="D18" t="n">
        <v>1</v>
      </c>
      <c r="E18" t="inlineStr">
        <is>
          <t>R1, R2 y R4 dado que por R3 y por R5 no circula corriente</t>
        </is>
      </c>
      <c r="F18" t="inlineStr">
        <is>
          <t>¿Qué sucede con el flujo de corriente en un circuito cuando está cortocircuitada una resistencia?</t>
        </is>
      </c>
      <c r="G18" t="n">
        <v>3</v>
      </c>
      <c r="H18" t="n">
        <v>3</v>
      </c>
      <c r="I18" t="n">
        <v>3</v>
      </c>
      <c r="J18" t="n">
        <v>5</v>
      </c>
      <c r="K18" t="n">
        <v>14</v>
      </c>
      <c r="L18" t="n">
        <v>0.846</v>
      </c>
      <c r="M18" t="n">
        <v>27</v>
      </c>
      <c r="N18" t="n">
        <v>70.89</v>
      </c>
      <c r="O18" t="inlineStr">
        <is>
          <t>AC1, AC6</t>
        </is>
      </c>
      <c r="P18" t="inlineStr">
        <is>
          <t>AC1</t>
        </is>
      </c>
      <c r="Q18" t="n">
        <v>1</v>
      </c>
      <c r="R18" t="n">
        <v>0.5</v>
      </c>
      <c r="S18" t="n">
        <v>0.667</v>
      </c>
      <c r="T18" t="inlineStr"/>
      <c r="U18" t="inlineStr"/>
      <c r="V18" t="inlineStr"/>
      <c r="W1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9">
      <c r="A19" t="n">
        <v>314</v>
      </c>
      <c r="B19" t="n">
        <v>105</v>
      </c>
      <c r="C19" t="n">
        <v>2</v>
      </c>
      <c r="D19" t="n">
        <v>1</v>
      </c>
      <c r="E19" t="inlineStr">
        <is>
          <t>R1, R2 y R4 dado que R3 y R5 se pueden quitar</t>
        </is>
      </c>
      <c r="F19" t="inlineStr">
        <is>
          <t>¿Cómo afectaría el estado de los nodos del circuito si R3 y R5 no fueran parte de él?</t>
        </is>
      </c>
      <c r="G19" t="n">
        <v>3</v>
      </c>
      <c r="H19" t="n">
        <v>2</v>
      </c>
      <c r="I19" t="n">
        <v>3</v>
      </c>
      <c r="J19" t="n">
        <v>5</v>
      </c>
      <c r="K19" t="n">
        <v>13</v>
      </c>
      <c r="L19" t="n">
        <v>0.98</v>
      </c>
      <c r="M19" t="n">
        <v>27</v>
      </c>
      <c r="N19" t="n">
        <v>61.24</v>
      </c>
      <c r="O19" t="inlineStr">
        <is>
          <t>AC1, AC6</t>
        </is>
      </c>
      <c r="P19" t="inlineStr">
        <is>
          <t>AC9</t>
        </is>
      </c>
      <c r="Q19" t="n">
        <v>0</v>
      </c>
      <c r="R19" t="n">
        <v>0</v>
      </c>
      <c r="S19" t="n">
        <v>0</v>
      </c>
      <c r="T19" t="inlineStr"/>
      <c r="U19" t="inlineStr"/>
      <c r="V19" t="inlineStr"/>
      <c r="W1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0">
      <c r="A20" t="n">
        <v>315</v>
      </c>
      <c r="B20" t="n">
        <v>105</v>
      </c>
      <c r="C20" t="n">
        <v>3</v>
      </c>
      <c r="D20" t="n">
        <v>1</v>
      </c>
      <c r="E20" t="inlineStr">
        <is>
          <t>R1, R2 y R4 dado que R3 y R5 no influyen para nada en la diferencia de potencial que se pide</t>
        </is>
      </c>
      <c r="F20" t="inlineStr">
        <is>
          <t>¿Qué influencia tendría R3 y R5 en el cálculo de la resistencia equivalente si no se cumple la suposición del problema?</t>
        </is>
      </c>
      <c r="G20" t="n">
        <v>3</v>
      </c>
      <c r="H20" t="n">
        <v>2</v>
      </c>
      <c r="I20" t="n">
        <v>3</v>
      </c>
      <c r="J20" t="n">
        <v>5</v>
      </c>
      <c r="K20" t="n">
        <v>13</v>
      </c>
      <c r="L20" t="n">
        <v>1.037</v>
      </c>
      <c r="M20" t="n">
        <v>35</v>
      </c>
      <c r="N20" t="n">
        <v>57.85</v>
      </c>
      <c r="O20" t="inlineStr">
        <is>
          <t>AC1, AC6</t>
        </is>
      </c>
      <c r="P20" t="inlineStr"/>
      <c r="Q20" t="n">
        <v>1</v>
      </c>
      <c r="R20" t="n">
        <v>0</v>
      </c>
      <c r="S20" t="n">
        <v>0</v>
      </c>
      <c r="T20" t="inlineStr"/>
      <c r="U20" t="inlineStr"/>
      <c r="V20" t="inlineStr"/>
      <c r="W2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1">
      <c r="A21" t="n">
        <v>316</v>
      </c>
      <c r="B21" t="n">
        <v>106</v>
      </c>
      <c r="C21" t="n">
        <v>1</v>
      </c>
      <c r="D21" t="n">
        <v>1</v>
      </c>
      <c r="E21" t="inlineStr">
        <is>
          <t>R1, R2 y R4 dado que R3 y R5 sobran</t>
        </is>
      </c>
      <c r="F21" t="inlineStr">
        <is>
          <t>¿Cuál sería el resultado si se eliminara completamente la resistencia R4 del circuito?</t>
        </is>
      </c>
      <c r="G21" t="n">
        <v>3</v>
      </c>
      <c r="H21" t="n">
        <v>2</v>
      </c>
      <c r="I21" t="n">
        <v>3</v>
      </c>
      <c r="J21" t="n">
        <v>5</v>
      </c>
      <c r="K21" t="n">
        <v>13</v>
      </c>
      <c r="L21" t="n">
        <v>1.373</v>
      </c>
      <c r="M21" t="n">
        <v>22</v>
      </c>
      <c r="N21" t="n">
        <v>43.7</v>
      </c>
      <c r="O21" t="inlineStr">
        <is>
          <t>AC1, AC6</t>
        </is>
      </c>
      <c r="P21" t="inlineStr"/>
      <c r="Q21" t="n">
        <v>1</v>
      </c>
      <c r="R21" t="n">
        <v>0</v>
      </c>
      <c r="S21" t="n">
        <v>0</v>
      </c>
      <c r="T21" t="inlineStr"/>
      <c r="U21" t="inlineStr"/>
      <c r="V21" t="inlineStr"/>
      <c r="W2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2">
      <c r="A22" t="n">
        <v>317</v>
      </c>
      <c r="B22" t="n">
        <v>106</v>
      </c>
      <c r="C22" t="n">
        <v>2</v>
      </c>
      <c r="D22" t="n">
        <v>1</v>
      </c>
      <c r="E22" t="inlineStr">
        <is>
          <t>R1, R2 y R4 dado que R3 sobra</t>
        </is>
      </c>
      <c r="F22" t="inlineStr">
        <is>
          <t>¿Podría el circuito funcionar correctamente si se eliminara la resistencia R4, pero no la R3?</t>
        </is>
      </c>
      <c r="G22" t="n">
        <v>5</v>
      </c>
      <c r="H22" t="n">
        <v>2</v>
      </c>
      <c r="I22" t="n">
        <v>4</v>
      </c>
      <c r="J22" t="n">
        <v>5</v>
      </c>
      <c r="K22" t="n">
        <v>16</v>
      </c>
      <c r="L22" t="n">
        <v>0.853</v>
      </c>
      <c r="M22" t="n">
        <v>27</v>
      </c>
      <c r="N22" t="n">
        <v>70.31999999999999</v>
      </c>
      <c r="O22" t="inlineStr">
        <is>
          <t>AC1</t>
        </is>
      </c>
      <c r="P22" t="inlineStr"/>
      <c r="Q22" t="n">
        <v>1</v>
      </c>
      <c r="R22" t="n">
        <v>0</v>
      </c>
      <c r="S22" t="n">
        <v>0</v>
      </c>
      <c r="T22" t="inlineStr"/>
      <c r="U22" t="inlineStr"/>
      <c r="V22" t="inlineStr"/>
      <c r="W22" t="inlineStr">
        <is>
          <t>Socraticidad 5/5 (Inducción a la contradicción): Inducción a la contradicción: usa contraejemplo o reducción al absurdo. Precisión Conceptual 2/5 (Pobre): Pobre: responde de forma genérica sin diagnosticar el error conceptual. Buen desempeño general; hay margen de mejora en profundidad socrática.</t>
        </is>
      </c>
    </row>
    <row r="23">
      <c r="A23" t="n">
        <v>318</v>
      </c>
      <c r="B23" t="n">
        <v>106</v>
      </c>
      <c r="C23" t="n">
        <v>3</v>
      </c>
      <c r="D23" t="n">
        <v>1</v>
      </c>
      <c r="E23" t="inlineStr">
        <is>
          <t>R1, R2 y R4 dado que R5 sobra</t>
        </is>
      </c>
      <c r="F23" t="inlineStr">
        <is>
          <t>¿Qué pasaría si se desconectara el interruptor y solo quedaran las resistencias R1, R2 y R5 en serie?</t>
        </is>
      </c>
      <c r="G23" t="n">
        <v>3</v>
      </c>
      <c r="H23" t="n">
        <v>3</v>
      </c>
      <c r="I23" t="n">
        <v>4</v>
      </c>
      <c r="J23" t="n">
        <v>5</v>
      </c>
      <c r="K23" t="n">
        <v>15</v>
      </c>
      <c r="L23" t="n">
        <v>0.904</v>
      </c>
      <c r="M23" t="n">
        <v>31</v>
      </c>
      <c r="N23" t="n">
        <v>66.34</v>
      </c>
      <c r="O23" t="inlineStr">
        <is>
          <t>AC6</t>
        </is>
      </c>
      <c r="P23" t="inlineStr">
        <is>
          <t>AC1, AC9</t>
        </is>
      </c>
      <c r="Q23" t="n">
        <v>0</v>
      </c>
      <c r="R23" t="n">
        <v>0</v>
      </c>
      <c r="S23" t="n">
        <v>0</v>
      </c>
      <c r="T23" t="inlineStr"/>
      <c r="U23" t="inlineStr"/>
      <c r="V23" t="inlineStr"/>
      <c r="W2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4">
      <c r="A24" t="n">
        <v>319</v>
      </c>
      <c r="B24" t="n">
        <v>107</v>
      </c>
      <c r="C24" t="n">
        <v>1</v>
      </c>
      <c r="D24" t="n">
        <v>1</v>
      </c>
      <c r="E24" t="inlineStr">
        <is>
          <t>R1, R2 y R4 dado que R3 está en abierto</t>
        </is>
      </c>
      <c r="F24" t="inlineStr">
        <is>
          <t>¿Y qué sucede con las resistencias que están entre N2 y tierra, ¿son todas iguales o hay alguna diferencia?</t>
        </is>
      </c>
      <c r="G24" t="n">
        <v>3</v>
      </c>
      <c r="H24" t="n">
        <v>2</v>
      </c>
      <c r="I24" t="n">
        <v>3</v>
      </c>
      <c r="J24" t="n">
        <v>5</v>
      </c>
      <c r="K24" t="n">
        <v>13</v>
      </c>
      <c r="L24" t="n">
        <v>0.589</v>
      </c>
      <c r="M24" t="n">
        <v>29</v>
      </c>
      <c r="N24" t="n">
        <v>101.95</v>
      </c>
      <c r="O24" t="inlineStr">
        <is>
          <t>AC1</t>
        </is>
      </c>
      <c r="P24" t="inlineStr">
        <is>
          <t>AC9</t>
        </is>
      </c>
      <c r="Q24" t="n">
        <v>0</v>
      </c>
      <c r="R24" t="n">
        <v>0</v>
      </c>
      <c r="S24" t="n">
        <v>0</v>
      </c>
      <c r="T24" t="inlineStr"/>
      <c r="U24" t="inlineStr"/>
      <c r="V24" t="inlineStr"/>
      <c r="W2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5">
      <c r="A25" t="n">
        <v>320</v>
      </c>
      <c r="B25" t="n">
        <v>107</v>
      </c>
      <c r="C25" t="n">
        <v>2</v>
      </c>
      <c r="D25" t="n">
        <v>1</v>
      </c>
      <c r="E25" t="inlineStr">
        <is>
          <t>R1, R2 y R4 dado que  R5 cortocircuitada</t>
        </is>
      </c>
      <c r="F25" t="inlineStr">
        <is>
          <t>¿Por qué se consideraría un circuito con una resistencia en abierto como cortocircuito?</t>
        </is>
      </c>
      <c r="G25" t="n">
        <v>3</v>
      </c>
      <c r="H25" t="n">
        <v>3</v>
      </c>
      <c r="I25" t="n">
        <v>3</v>
      </c>
      <c r="J25" t="n">
        <v>5</v>
      </c>
      <c r="K25" t="n">
        <v>14</v>
      </c>
      <c r="L25" t="n">
        <v>1.176</v>
      </c>
      <c r="M25" t="n">
        <v>23</v>
      </c>
      <c r="N25" t="n">
        <v>51.03</v>
      </c>
      <c r="O25" t="inlineStr">
        <is>
          <t>AC6</t>
        </is>
      </c>
      <c r="P25" t="inlineStr">
        <is>
          <t>AC1, AC6</t>
        </is>
      </c>
      <c r="Q25" t="n">
        <v>0.5</v>
      </c>
      <c r="R25" t="n">
        <v>1</v>
      </c>
      <c r="S25" t="n">
        <v>0.667</v>
      </c>
      <c r="T25" t="inlineStr"/>
      <c r="U25" t="inlineStr"/>
      <c r="V25" t="inlineStr"/>
      <c r="W2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6">
      <c r="A26" t="n">
        <v>321</v>
      </c>
      <c r="B26" t="n">
        <v>107</v>
      </c>
      <c r="C26" t="n">
        <v>3</v>
      </c>
      <c r="D26" t="n">
        <v>1</v>
      </c>
      <c r="E26" t="inlineStr">
        <is>
          <t>R1, R2 y R4 dado que por R3 no circula corriente</t>
        </is>
      </c>
      <c r="F26" t="inlineStr">
        <is>
          <t>¿Tiene que pasar una corriente a través de R3 para que circule por R1, R2 y R4?</t>
        </is>
      </c>
      <c r="G26" t="n">
        <v>3</v>
      </c>
      <c r="H26" t="n">
        <v>2</v>
      </c>
      <c r="I26" t="n">
        <v>5</v>
      </c>
      <c r="J26" t="n">
        <v>5</v>
      </c>
      <c r="K26" t="n">
        <v>15</v>
      </c>
      <c r="L26" t="n">
        <v>2.255</v>
      </c>
      <c r="M26" t="n">
        <v>29</v>
      </c>
      <c r="N26" t="n">
        <v>26.61</v>
      </c>
      <c r="O26" t="inlineStr">
        <is>
          <t>AC1</t>
        </is>
      </c>
      <c r="P26" t="inlineStr">
        <is>
          <t>AC1</t>
        </is>
      </c>
      <c r="Q26" t="n">
        <v>1</v>
      </c>
      <c r="R26" t="n">
        <v>1</v>
      </c>
      <c r="S26" t="n">
        <v>1</v>
      </c>
      <c r="T26" t="inlineStr"/>
      <c r="U26" t="inlineStr"/>
      <c r="V26" t="inlineStr"/>
      <c r="W2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7">
      <c r="A27" t="n">
        <v>322</v>
      </c>
      <c r="B27" t="n">
        <v>108</v>
      </c>
      <c r="C27" t="n">
        <v>1</v>
      </c>
      <c r="D27" t="n">
        <v>1</v>
      </c>
      <c r="E27" t="inlineStr">
        <is>
          <t>R1, R2 y R4 dado que por  R5 no circula corriente</t>
        </is>
      </c>
      <c r="F27" t="inlineStr">
        <is>
          <t>¿De qué forma el hecho de que un circuito tenga varios caminos posibles para la corriente afecta a las resistencias que contribuyen a una diferencia de potencial en particular?</t>
        </is>
      </c>
      <c r="G27" t="n">
        <v>3</v>
      </c>
      <c r="H27" t="n">
        <v>3</v>
      </c>
      <c r="I27" t="n">
        <v>3</v>
      </c>
      <c r="J27" t="n">
        <v>5</v>
      </c>
      <c r="K27" t="n">
        <v>14</v>
      </c>
      <c r="L27" t="n">
        <v>2.039</v>
      </c>
      <c r="M27" t="n">
        <v>41</v>
      </c>
      <c r="N27" t="n">
        <v>29.43</v>
      </c>
      <c r="O27" t="inlineStr">
        <is>
          <t>AC6</t>
        </is>
      </c>
      <c r="P27" t="inlineStr">
        <is>
          <t>AC1, AC9</t>
        </is>
      </c>
      <c r="Q27" t="n">
        <v>0</v>
      </c>
      <c r="R27" t="n">
        <v>0</v>
      </c>
      <c r="S27" t="n">
        <v>0</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323</v>
      </c>
      <c r="B28" t="n">
        <v>108</v>
      </c>
      <c r="C28" t="n">
        <v>2</v>
      </c>
      <c r="D28" t="n">
        <v>1</v>
      </c>
      <c r="E28" t="inlineStr">
        <is>
          <t>R1, R2 y R4 dado que R3 se puede quitar</t>
        </is>
      </c>
      <c r="F28" t="inlineStr">
        <is>
          <t>¿Qué pasaría si R3 fuera un interruptor que se cerrara, dejando de ser una resistencia?</t>
        </is>
      </c>
      <c r="G28" t="n">
        <v>3</v>
      </c>
      <c r="H28" t="n">
        <v>3</v>
      </c>
      <c r="I28" t="n">
        <v>3</v>
      </c>
      <c r="J28" t="n">
        <v>5</v>
      </c>
      <c r="K28" t="n">
        <v>14</v>
      </c>
      <c r="L28" t="n">
        <v>1.082</v>
      </c>
      <c r="M28" t="n">
        <v>25</v>
      </c>
      <c r="N28" t="n">
        <v>55.48</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324</v>
      </c>
      <c r="B29" t="n">
        <v>108</v>
      </c>
      <c r="C29" t="n">
        <v>3</v>
      </c>
      <c r="D29" t="n">
        <v>1</v>
      </c>
      <c r="E29" t="inlineStr">
        <is>
          <t>R1, R2 y R4 dado que R5 se puede quitar</t>
        </is>
      </c>
      <c r="F29" t="inlineStr">
        <is>
          <t>¿Cómo afectaría el hecho de eliminar una resistencia a la circulación de corriente si no hay ningún cortocircuito en el circuito?</t>
        </is>
      </c>
      <c r="G29" t="n">
        <v>3</v>
      </c>
      <c r="H29" t="n">
        <v>4</v>
      </c>
      <c r="I29" t="n">
        <v>3</v>
      </c>
      <c r="J29" t="n">
        <v>5</v>
      </c>
      <c r="K29" t="n">
        <v>15</v>
      </c>
      <c r="L29" t="n">
        <v>1.286</v>
      </c>
      <c r="M29" t="n">
        <v>34</v>
      </c>
      <c r="N29" t="n">
        <v>46.65</v>
      </c>
      <c r="O29" t="inlineStr">
        <is>
          <t>AC6</t>
        </is>
      </c>
      <c r="P29" t="inlineStr">
        <is>
          <t>AC1, AC6</t>
        </is>
      </c>
      <c r="Q29" t="n">
        <v>0.5</v>
      </c>
      <c r="R29" t="n">
        <v>1</v>
      </c>
      <c r="S29" t="n">
        <v>0.667</v>
      </c>
      <c r="T29" t="inlineStr"/>
      <c r="U29" t="inlineStr"/>
      <c r="V29" t="inlineStr"/>
      <c r="W2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0">
      <c r="A30" t="n">
        <v>325</v>
      </c>
      <c r="B30" t="n">
        <v>109</v>
      </c>
      <c r="C30" t="n">
        <v>1</v>
      </c>
      <c r="D30" t="n">
        <v>1</v>
      </c>
      <c r="E30" t="inlineStr">
        <is>
          <t>R1, R2 y R4 dado que R3 no influye para nada en la diferencia de potencial que se pide</t>
        </is>
      </c>
      <c r="F30" t="inlineStr">
        <is>
          <t>¿Cómo podría afectar el hecho de que R3 está abierto para el valor de la diferencia de potencial entre N2 y 0 si no hay corriente fluyendo por esa rama?</t>
        </is>
      </c>
      <c r="G30" t="n">
        <v>3</v>
      </c>
      <c r="H30" t="n">
        <v>5</v>
      </c>
      <c r="I30" t="n">
        <v>3</v>
      </c>
      <c r="J30" t="n">
        <v>5</v>
      </c>
      <c r="K30" t="n">
        <v>16</v>
      </c>
      <c r="L30" t="n">
        <v>0.832</v>
      </c>
      <c r="M30" t="n">
        <v>44</v>
      </c>
      <c r="N30" t="n">
        <v>72.08</v>
      </c>
      <c r="O30" t="inlineStr">
        <is>
          <t>AC1</t>
        </is>
      </c>
      <c r="P30" t="inlineStr">
        <is>
          <t>AC1</t>
        </is>
      </c>
      <c r="Q30" t="n">
        <v>1</v>
      </c>
      <c r="R30" t="n">
        <v>1</v>
      </c>
      <c r="S30" t="n">
        <v>1</v>
      </c>
      <c r="T30" t="inlineStr"/>
      <c r="U30" t="inlineStr"/>
      <c r="V30" t="inlineStr"/>
      <c r="W30"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1">
      <c r="A31" t="n">
        <v>326</v>
      </c>
      <c r="B31" t="n">
        <v>109</v>
      </c>
      <c r="C31" t="n">
        <v>2</v>
      </c>
      <c r="D31" t="n">
        <v>1</v>
      </c>
      <c r="E31" t="inlineStr">
        <is>
          <t>R1, R2 y R4 dado que R5 no influye para nada en la diferencia de potencial que se pide</t>
        </is>
      </c>
      <c r="F31" t="inlineStr">
        <is>
          <t>¿No habría un problema si R3 no existiera y su valor fuera igual a cero?</t>
        </is>
      </c>
      <c r="G31" t="n">
        <v>3</v>
      </c>
      <c r="H31" t="n">
        <v>2</v>
      </c>
      <c r="I31" t="n">
        <v>3</v>
      </c>
      <c r="J31" t="n">
        <v>5</v>
      </c>
      <c r="K31" t="n">
        <v>13</v>
      </c>
      <c r="L31" t="n">
        <v>0.582</v>
      </c>
      <c r="M31" t="n">
        <v>23</v>
      </c>
      <c r="N31" t="n">
        <v>103.09</v>
      </c>
      <c r="O31" t="inlineStr">
        <is>
          <t>AC6</t>
        </is>
      </c>
      <c r="P31" t="inlineStr"/>
      <c r="Q31" t="n">
        <v>1</v>
      </c>
      <c r="R31" t="n">
        <v>0</v>
      </c>
      <c r="S31" t="n">
        <v>0</v>
      </c>
      <c r="T31" t="inlineStr"/>
      <c r="U31" t="inlineStr"/>
      <c r="V31" t="inlineStr"/>
      <c r="W31"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32">
      <c r="A32" t="n">
        <v>327</v>
      </c>
      <c r="B32" t="n">
        <v>109</v>
      </c>
      <c r="C32" t="n">
        <v>3</v>
      </c>
      <c r="D32" t="n">
        <v>1</v>
      </c>
      <c r="E32" t="inlineStr">
        <is>
          <t>No lo sé</t>
        </is>
      </c>
      <c r="F32" t="inlineStr">
        <is>
          <t>¿Cómo se comportaría R3 si no hubiera resistencia alguna entre N1 y G?</t>
        </is>
      </c>
      <c r="G32" t="n">
        <v>3</v>
      </c>
      <c r="H32" t="n">
        <v>2</v>
      </c>
      <c r="I32" t="n">
        <v>4</v>
      </c>
      <c r="J32" t="n">
        <v>5</v>
      </c>
      <c r="K32" t="n">
        <v>14</v>
      </c>
      <c r="L32" t="n">
        <v>0.712</v>
      </c>
      <c r="M32" t="n">
        <v>21</v>
      </c>
      <c r="N32" t="n">
        <v>84.27</v>
      </c>
      <c r="O32" t="inlineStr">
        <is>
          <t>AC9</t>
        </is>
      </c>
      <c r="P32" t="inlineStr"/>
      <c r="Q32" t="n">
        <v>1</v>
      </c>
      <c r="R32" t="n">
        <v>0</v>
      </c>
      <c r="S32" t="n">
        <v>0</v>
      </c>
      <c r="T32" t="inlineStr"/>
      <c r="U32" t="inlineStr"/>
      <c r="V32" t="inlineStr"/>
      <c r="W3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3">
      <c r="A33" t="n">
        <v>328</v>
      </c>
      <c r="B33" t="n">
        <v>110</v>
      </c>
      <c r="C33" t="n">
        <v>1</v>
      </c>
      <c r="D33" t="n">
        <v>1</v>
      </c>
      <c r="E33" t="inlineStr">
        <is>
          <t>Todas las resistencias</t>
        </is>
      </c>
      <c r="F33" t="inlineStr">
        <is>
          <t>¿Podría decirme qué pasaría con la corriente si no hubiera resistencias en paralelo entre N1 y V1?</t>
        </is>
      </c>
      <c r="G33" t="n">
        <v>5</v>
      </c>
      <c r="H33" t="n">
        <v>3</v>
      </c>
      <c r="I33" t="n">
        <v>3</v>
      </c>
      <c r="J33" t="n">
        <v>5</v>
      </c>
      <c r="K33" t="n">
        <v>16</v>
      </c>
      <c r="L33" t="n">
        <v>1.211</v>
      </c>
      <c r="M33" t="n">
        <v>32</v>
      </c>
      <c r="N33" t="n">
        <v>49.55</v>
      </c>
      <c r="O33" t="inlineStr">
        <is>
          <t>AC9</t>
        </is>
      </c>
      <c r="P33" t="inlineStr">
        <is>
          <t>AC1, AC9</t>
        </is>
      </c>
      <c r="Q33" t="n">
        <v>0.5</v>
      </c>
      <c r="R33" t="n">
        <v>1</v>
      </c>
      <c r="S33" t="n">
        <v>0.667</v>
      </c>
      <c r="T33" t="inlineStr"/>
      <c r="U33" t="inlineStr"/>
      <c r="V33" t="inlineStr"/>
      <c r="W33" t="inlineStr">
        <is>
          <t>Socraticidad 5/5 (Inducción a la contradicción): Inducción a la contradicción: usa contraejemplo o reducción al absurdo. Precisión Conceptual 3/5 (Suficiente): Suficiente: identifica que hay un error y usa conceptos correctos, pero el diagnóstico es algo vago. Buen desempeño general; hay margen de mejora en profundidad socrática.</t>
        </is>
      </c>
    </row>
    <row r="34">
      <c r="A34" t="n">
        <v>329</v>
      </c>
      <c r="B34" t="n">
        <v>110</v>
      </c>
      <c r="C34" t="n">
        <v>2</v>
      </c>
      <c r="D34" t="n">
        <v>1</v>
      </c>
      <c r="E34" t="inlineStr">
        <is>
          <t>R1 y R2</t>
        </is>
      </c>
      <c r="F34" t="inlineStr">
        <is>
          <t>¿Podrían tener la misma tensión en cada nodo de la red de resistencias?</t>
        </is>
      </c>
      <c r="G34" t="n">
        <v>3</v>
      </c>
      <c r="H34" t="n">
        <v>3</v>
      </c>
      <c r="I34" t="n">
        <v>2</v>
      </c>
      <c r="J34" t="n">
        <v>5</v>
      </c>
      <c r="K34" t="n">
        <v>13</v>
      </c>
      <c r="L34" t="n">
        <v>0.845</v>
      </c>
      <c r="M34" t="n">
        <v>20</v>
      </c>
      <c r="N34" t="n">
        <v>70.98</v>
      </c>
      <c r="O34" t="inlineStr">
        <is>
          <t>AC9</t>
        </is>
      </c>
      <c r="P34" t="inlineStr">
        <is>
          <t>AC9</t>
        </is>
      </c>
      <c r="Q34" t="n">
        <v>1</v>
      </c>
      <c r="R34" t="n">
        <v>1</v>
      </c>
      <c r="S34" t="n">
        <v>1</v>
      </c>
      <c r="T34" t="inlineStr"/>
      <c r="U34" t="inlineStr"/>
      <c r="V34" t="inlineStr"/>
      <c r="W3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5">
      <c r="A35" t="n">
        <v>330</v>
      </c>
      <c r="B35" t="n">
        <v>110</v>
      </c>
      <c r="C35" t="n">
        <v>3</v>
      </c>
      <c r="D35" t="n">
        <v>1</v>
      </c>
      <c r="E35" t="inlineStr">
        <is>
          <t>R1, R2 y R4</t>
        </is>
      </c>
      <c r="F35" t="inlineStr">
        <is>
          <t>¿Cómo se afectaría el valor de la corriente a través del circuito si R4 fuera un cortocircuito?</t>
        </is>
      </c>
      <c r="G35" t="n">
        <v>3</v>
      </c>
      <c r="H35" t="n">
        <v>3</v>
      </c>
      <c r="I35" t="n">
        <v>3</v>
      </c>
      <c r="J35" t="n">
        <v>5</v>
      </c>
      <c r="K35" t="n">
        <v>14</v>
      </c>
      <c r="L35" t="n">
        <v>0.913</v>
      </c>
      <c r="M35" t="n">
        <v>28</v>
      </c>
      <c r="N35" t="n">
        <v>65.72</v>
      </c>
      <c r="O35" t="inlineStr"/>
      <c r="P35" t="inlineStr">
        <is>
          <t>AC1, AC6</t>
        </is>
      </c>
      <c r="Q35" t="n">
        <v>0</v>
      </c>
      <c r="R35" t="n">
        <v>1</v>
      </c>
      <c r="S35" t="n">
        <v>0</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331</v>
      </c>
      <c r="B36" t="n">
        <v>111</v>
      </c>
      <c r="C36" t="n">
        <v>1</v>
      </c>
      <c r="D36" t="n">
        <v>1</v>
      </c>
      <c r="E36" t="inlineStr">
        <is>
          <t>R1, R2, R4 y R5</t>
        </is>
      </c>
      <c r="F36" t="inlineStr">
        <is>
          <t>¿Qué sucede con las resistencias que tienen dos terminales en el mismo nudo en este circuito?</t>
        </is>
      </c>
      <c r="G36" t="n">
        <v>3</v>
      </c>
      <c r="H36" t="n">
        <v>2</v>
      </c>
      <c r="I36" t="n">
        <v>3</v>
      </c>
      <c r="J36" t="n">
        <v>5</v>
      </c>
      <c r="K36" t="n">
        <v>13</v>
      </c>
      <c r="L36" t="n">
        <v>0.9350000000000001</v>
      </c>
      <c r="M36" t="n">
        <v>24</v>
      </c>
      <c r="N36" t="n">
        <v>64.19</v>
      </c>
      <c r="O36" t="inlineStr">
        <is>
          <t>AC6</t>
        </is>
      </c>
      <c r="P36" t="inlineStr">
        <is>
          <t>AC6, AC9</t>
        </is>
      </c>
      <c r="Q36" t="n">
        <v>0.5</v>
      </c>
      <c r="R36" t="n">
        <v>1</v>
      </c>
      <c r="S36" t="n">
        <v>0.667</v>
      </c>
      <c r="T36" t="inlineStr"/>
      <c r="U36" t="inlineStr"/>
      <c r="V36" t="inlineStr"/>
      <c r="W3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7">
      <c r="A37" t="n">
        <v>332</v>
      </c>
      <c r="B37" t="n">
        <v>111</v>
      </c>
      <c r="C37" t="n">
        <v>2</v>
      </c>
      <c r="D37" t="n">
        <v>1</v>
      </c>
      <c r="E37" t="inlineStr">
        <is>
          <t>R1, R2, R3 y R4</t>
        </is>
      </c>
      <c r="F37" t="inlineStr">
        <is>
          <t>¿Por qué no se incluye la resistencia R3 en tu lista?</t>
        </is>
      </c>
      <c r="G37" t="n">
        <v>3</v>
      </c>
      <c r="H37" t="n">
        <v>2</v>
      </c>
      <c r="I37" t="n">
        <v>3</v>
      </c>
      <c r="J37" t="n">
        <v>5</v>
      </c>
      <c r="K37" t="n">
        <v>13</v>
      </c>
      <c r="L37" t="n">
        <v>0.768</v>
      </c>
      <c r="M37" t="n">
        <v>17</v>
      </c>
      <c r="N37" t="n">
        <v>78.11</v>
      </c>
      <c r="O37" t="inlineStr">
        <is>
          <t>AC1</t>
        </is>
      </c>
      <c r="P37" t="inlineStr"/>
      <c r="Q37" t="n">
        <v>1</v>
      </c>
      <c r="R37" t="n">
        <v>0</v>
      </c>
      <c r="S37" t="n">
        <v>0</v>
      </c>
      <c r="T37" t="inlineStr"/>
      <c r="U37" t="inlineStr"/>
      <c r="V37" t="inlineStr"/>
      <c r="W3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8">
      <c r="A38" t="n">
        <v>333</v>
      </c>
      <c r="B38" t="n">
        <v>111</v>
      </c>
      <c r="C38" t="n">
        <v>3</v>
      </c>
      <c r="D38" t="n">
        <v>1</v>
      </c>
      <c r="E38" t="inlineStr">
        <is>
          <t>R1 y R2 y R4 hacen un divisor de corriente</t>
        </is>
      </c>
      <c r="F38" t="inlineStr">
        <is>
          <t>¿Eso significa que el valor de la resistencia R3 no influye en el flujo de corriente en el circuito?</t>
        </is>
      </c>
      <c r="G38" t="n">
        <v>3</v>
      </c>
      <c r="H38" t="n">
        <v>3</v>
      </c>
      <c r="I38" t="n">
        <v>3</v>
      </c>
      <c r="J38" t="n">
        <v>5</v>
      </c>
      <c r="K38" t="n">
        <v>14</v>
      </c>
      <c r="L38" t="n">
        <v>1.084</v>
      </c>
      <c r="M38" t="n">
        <v>30</v>
      </c>
      <c r="N38" t="n">
        <v>55.36</v>
      </c>
      <c r="O38" t="inlineStr"/>
      <c r="P38" t="inlineStr">
        <is>
          <t>AC1</t>
        </is>
      </c>
      <c r="Q38" t="n">
        <v>0</v>
      </c>
      <c r="R38" t="n">
        <v>1</v>
      </c>
      <c r="S38" t="n">
        <v>0</v>
      </c>
      <c r="T38" t="inlineStr"/>
      <c r="U38" t="inlineStr"/>
      <c r="V38" t="inlineStr"/>
      <c r="W3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9">
      <c r="A39" t="n">
        <v>334</v>
      </c>
      <c r="B39" t="n">
        <v>112</v>
      </c>
      <c r="C39" t="n">
        <v>1</v>
      </c>
      <c r="D39" t="n">
        <v>1</v>
      </c>
      <c r="E39" t="inlineStr">
        <is>
          <t>R1 y R2 y R4 hacen un divisor de tensión, r3 no cuenta por estar en corto</t>
        </is>
      </c>
      <c r="F39" t="inlineStr">
        <is>
          <t>¿Qué sucedería si R4 estuviera conectada de manera diferente, por ejemplo, entre N3 y V1?</t>
        </is>
      </c>
      <c r="G39" t="n">
        <v>3</v>
      </c>
      <c r="H39" t="n">
        <v>2</v>
      </c>
      <c r="I39" t="n">
        <v>3</v>
      </c>
      <c r="J39" t="n">
        <v>5</v>
      </c>
      <c r="K39" t="n">
        <v>13</v>
      </c>
      <c r="L39" t="n">
        <v>1.231</v>
      </c>
      <c r="M39" t="n">
        <v>29</v>
      </c>
      <c r="N39" t="n">
        <v>48.76</v>
      </c>
      <c r="O39" t="inlineStr">
        <is>
          <t>AC1</t>
        </is>
      </c>
      <c r="P39" t="inlineStr"/>
      <c r="Q39" t="n">
        <v>1</v>
      </c>
      <c r="R39" t="n">
        <v>0</v>
      </c>
      <c r="S39" t="n">
        <v>0</v>
      </c>
      <c r="T39" t="inlineStr"/>
      <c r="U39" t="inlineStr"/>
      <c r="V39" t="inlineStr"/>
      <c r="W39"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40">
      <c r="A40" t="n">
        <v>335</v>
      </c>
      <c r="B40" t="n">
        <v>112</v>
      </c>
      <c r="C40" t="n">
        <v>2</v>
      </c>
      <c r="D40" t="n">
        <v>1</v>
      </c>
      <c r="E40" t="inlineStr">
        <is>
          <t>No tengo en cuenta R3 porque el interruptor está cerrado</t>
        </is>
      </c>
      <c r="F40" t="inlineStr">
        <is>
          <t>¿Qué pasaría si el interruptor estuviera abierto en lugar de cerrado?</t>
        </is>
      </c>
      <c r="G40" t="n">
        <v>3</v>
      </c>
      <c r="H40" t="n">
        <v>2</v>
      </c>
      <c r="I40" t="n">
        <v>3</v>
      </c>
      <c r="J40" t="n">
        <v>5</v>
      </c>
      <c r="K40" t="n">
        <v>13</v>
      </c>
      <c r="L40" t="n">
        <v>0.889</v>
      </c>
      <c r="M40" t="n">
        <v>20</v>
      </c>
      <c r="N40" t="n">
        <v>67.47</v>
      </c>
      <c r="O40" t="inlineStr">
        <is>
          <t>AC1, AC9</t>
        </is>
      </c>
      <c r="P40" t="inlineStr">
        <is>
          <t>AC1</t>
        </is>
      </c>
      <c r="Q40" t="n">
        <v>1</v>
      </c>
      <c r="R40" t="n">
        <v>0.5</v>
      </c>
      <c r="S40" t="n">
        <v>0.667</v>
      </c>
      <c r="T40" t="inlineStr"/>
      <c r="U40" t="inlineStr"/>
      <c r="V40" t="inlineStr"/>
      <c r="W4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1">
      <c r="A41" t="n">
        <v>336</v>
      </c>
      <c r="B41" t="n">
        <v>112</v>
      </c>
      <c r="C41" t="n">
        <v>3</v>
      </c>
      <c r="D41" t="n">
        <v>1</v>
      </c>
      <c r="E41" t="inlineStr">
        <is>
          <t>No tengo en cuenta R5 porque está en circuito abierto</t>
        </is>
      </c>
      <c r="F41" t="inlineStr">
        <is>
          <t>¿Podría haber una diferencia si el interruptor de R3 está en circuito abierto debido a otro factor, como un cortocircuito?</t>
        </is>
      </c>
      <c r="G41" t="n">
        <v>5</v>
      </c>
      <c r="H41" t="n">
        <v>4</v>
      </c>
      <c r="I41" t="n">
        <v>3</v>
      </c>
      <c r="J41" t="n">
        <v>5</v>
      </c>
      <c r="K41" t="n">
        <v>17</v>
      </c>
      <c r="L41" t="n">
        <v>0.95</v>
      </c>
      <c r="M41" t="n">
        <v>33</v>
      </c>
      <c r="N41" t="n">
        <v>63.13</v>
      </c>
      <c r="O41" t="inlineStr">
        <is>
          <t>AC6, AC9</t>
        </is>
      </c>
      <c r="P41" t="inlineStr">
        <is>
          <t>AC1, AC6</t>
        </is>
      </c>
      <c r="Q41" t="n">
        <v>0.5</v>
      </c>
      <c r="R41" t="n">
        <v>0.5</v>
      </c>
      <c r="S41" t="n">
        <v>0.5</v>
      </c>
      <c r="T41" t="inlineStr"/>
      <c r="U41" t="inlineStr"/>
      <c r="V41" t="inlineStr"/>
      <c r="W41" t="inlineStr">
        <is>
          <t>Socraticidad 5/5 (Inducción a la contradicción): Inducción a la contradicción: usa contraejemplo o reducción al absurdo. Precisión Conceptual 4/5 (Bueno): Bueno: identifica claramente la concepción alternativa con lenguaje técnico preciso. Tutor de alto rendimiento: guía socrática experta con diagnóstico preciso.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337</v>
      </c>
      <c r="B2" t="n">
        <v>113</v>
      </c>
      <c r="C2" t="n">
        <v>1</v>
      </c>
      <c r="D2" t="n">
        <v>1</v>
      </c>
      <c r="E2" t="inlineStr">
        <is>
          <t>R1 y R2 dado que las dos resistencia forman un divisor de tensión</t>
        </is>
      </c>
      <c r="F2" t="inlineStr">
        <is>
          <t>¿Qué papel juega el camino de potencial desde V1 hasta tierra en relación con las resistencias R1 y R2? ¿Es posible que su explicación se centre solo en un segmento del camino global?</t>
        </is>
      </c>
      <c r="G2" t="n">
        <v>5</v>
      </c>
      <c r="H2" t="n">
        <v>3</v>
      </c>
      <c r="I2" t="n">
        <v>5</v>
      </c>
      <c r="J2" t="n">
        <v>5</v>
      </c>
      <c r="K2" t="n">
        <v>18</v>
      </c>
      <c r="L2" t="n">
        <v>22.164</v>
      </c>
      <c r="M2" t="n">
        <v>47</v>
      </c>
      <c r="N2" t="n">
        <v>2.71</v>
      </c>
      <c r="O2" t="inlineStr">
        <is>
          <t>AC9</t>
        </is>
      </c>
      <c r="P2" t="inlineStr">
        <is>
          <t>AC1, AC9</t>
        </is>
      </c>
      <c r="Q2" t="n">
        <v>0.5</v>
      </c>
      <c r="R2" t="n">
        <v>1</v>
      </c>
      <c r="S2" t="n">
        <v>0.667</v>
      </c>
      <c r="T2" t="inlineStr"/>
      <c r="U2" t="inlineStr"/>
      <c r="V2" t="inlineStr"/>
      <c r="W2" t="inlineStr">
        <is>
          <t>Socraticidad 5/5 (Inducción a la contradicción): Inducción a la contradicción: usa contraejemplo o reducción al absurdo. Precisión Conceptual 3/5 (Suficiente): Suficiente: identifica que hay un error y usa conceptos correctos, pero el diagnóstico es algo vago. Tutor de alto rendimiento: guía socrática experta con diagnóstico preciso.</t>
        </is>
      </c>
    </row>
    <row r="3">
      <c r="A3" t="n">
        <v>338</v>
      </c>
      <c r="B3" t="n">
        <v>113</v>
      </c>
      <c r="C3" t="n">
        <v>2</v>
      </c>
      <c r="D3" t="n">
        <v>1</v>
      </c>
      <c r="E3" t="inlineStr">
        <is>
          <t>R1 y R2 dado que se pide la tensión en R2</t>
        </is>
      </c>
      <c r="F3" t="inlineStr">
        <is>
          <t>¿Qué sucede si V1 es igual a cero voltios? ¿Cómo afectaría esto al valor de la tensión en R2?</t>
        </is>
      </c>
      <c r="G3" t="n">
        <v>4</v>
      </c>
      <c r="H3" t="n">
        <v>2</v>
      </c>
      <c r="I3" t="n">
        <v>4</v>
      </c>
      <c r="J3" t="n">
        <v>5</v>
      </c>
      <c r="K3" t="n">
        <v>15</v>
      </c>
      <c r="L3" t="n">
        <v>1.131</v>
      </c>
      <c r="M3" t="n">
        <v>31</v>
      </c>
      <c r="N3" t="n">
        <v>53.07</v>
      </c>
      <c r="O3" t="inlineStr">
        <is>
          <t>AC9</t>
        </is>
      </c>
      <c r="P3" t="inlineStr"/>
      <c r="Q3" t="n">
        <v>1</v>
      </c>
      <c r="R3" t="n">
        <v>0</v>
      </c>
      <c r="S3" t="n">
        <v>0</v>
      </c>
      <c r="T3" t="inlineStr"/>
      <c r="U3" t="inlineStr"/>
      <c r="V3" t="inlineStr"/>
      <c r="W3"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4">
      <c r="A4" t="n">
        <v>339</v>
      </c>
      <c r="B4" t="n">
        <v>113</v>
      </c>
      <c r="C4" t="n">
        <v>3</v>
      </c>
      <c r="D4" t="n">
        <v>1</v>
      </c>
      <c r="E4" t="inlineStr">
        <is>
          <t>R1 y R2 por identificar un divisor de tensión</t>
        </is>
      </c>
      <c r="F4" t="inlineStr">
        <is>
          <t>¿Cómo es que el valor de R1 afectaría al valor del divisor de tensión que forma R1 y R2? ¿Es posible que el valor de R1 se relacione con una proporcionalidad directa o inversa con el valor del divisor de tensión?</t>
        </is>
      </c>
      <c r="G4" t="n">
        <v>5</v>
      </c>
      <c r="H4" t="n">
        <v>2</v>
      </c>
      <c r="I4" t="n">
        <v>3</v>
      </c>
      <c r="J4" t="n">
        <v>5</v>
      </c>
      <c r="K4" t="n">
        <v>15</v>
      </c>
      <c r="L4" t="n">
        <v>1.091</v>
      </c>
      <c r="M4" t="n">
        <v>59</v>
      </c>
      <c r="N4" t="n">
        <v>55.01</v>
      </c>
      <c r="O4" t="inlineStr">
        <is>
          <t>AC9</t>
        </is>
      </c>
      <c r="P4" t="inlineStr"/>
      <c r="Q4" t="n">
        <v>1</v>
      </c>
      <c r="R4" t="n">
        <v>0</v>
      </c>
      <c r="S4" t="n">
        <v>0</v>
      </c>
      <c r="T4" t="inlineStr"/>
      <c r="U4" t="inlineStr"/>
      <c r="V4" t="inlineStr"/>
      <c r="W4" t="inlineStr">
        <is>
          <t>Socraticidad 5/5 (Inducción a la contradicción): Inducción a la contradicción: usa contraejemplo o reducción al absurdo. Precisión Conceptual 2/5 (Pobre): Pobre: responde de forma genérica sin diagnosticar el error conceptual. Buen desempeño general; hay margen de mejora en profundidad socrática.</t>
        </is>
      </c>
    </row>
    <row r="5">
      <c r="A5" t="n">
        <v>340</v>
      </c>
      <c r="B5" t="n">
        <v>114</v>
      </c>
      <c r="C5" t="n">
        <v>1</v>
      </c>
      <c r="D5" t="n">
        <v>1</v>
      </c>
      <c r="E5" t="inlineStr">
        <is>
          <t>R1 y R2 hacen un divisor de tensión</t>
        </is>
      </c>
      <c r="F5" t="inlineStr">
        <is>
          <t>¿Qué tiene en común el camino desde V1 hasta N2 y las resistencias R1, R2 y R4?</t>
        </is>
      </c>
      <c r="G5" t="n">
        <v>3</v>
      </c>
      <c r="H5" t="n">
        <v>3</v>
      </c>
      <c r="I5" t="n">
        <v>5</v>
      </c>
      <c r="J5" t="n">
        <v>5</v>
      </c>
      <c r="K5" t="n">
        <v>16</v>
      </c>
      <c r="L5" t="n">
        <v>0.923</v>
      </c>
      <c r="M5" t="n">
        <v>28</v>
      </c>
      <c r="N5" t="n">
        <v>65.01000000000001</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341</v>
      </c>
      <c r="B6" t="n">
        <v>114</v>
      </c>
      <c r="C6" t="n">
        <v>2</v>
      </c>
      <c r="D6" t="n">
        <v>1</v>
      </c>
      <c r="E6" t="inlineStr">
        <is>
          <t>R1, R2, R3 y R4 porque R5 está cortocircuitada</t>
        </is>
      </c>
      <c r="F6" t="inlineStr">
        <is>
          <t>¿Cuál es el resultado cuando se cortociruta un componente en una circuito y solo las resistencias R1, R2, R3 y R4 siguen funcionando correctamente?</t>
        </is>
      </c>
      <c r="G6" t="n">
        <v>3</v>
      </c>
      <c r="H6" t="n">
        <v>2</v>
      </c>
      <c r="I6" t="n">
        <v>5</v>
      </c>
      <c r="J6" t="n">
        <v>5</v>
      </c>
      <c r="K6" t="n">
        <v>15</v>
      </c>
      <c r="L6" t="n">
        <v>0.9429999999999999</v>
      </c>
      <c r="M6" t="n">
        <v>41</v>
      </c>
      <c r="N6" t="n">
        <v>63.64</v>
      </c>
      <c r="O6" t="inlineStr">
        <is>
          <t>AC1, AC6</t>
        </is>
      </c>
      <c r="P6" t="inlineStr">
        <is>
          <t>AC9</t>
        </is>
      </c>
      <c r="Q6" t="n">
        <v>0</v>
      </c>
      <c r="R6" t="n">
        <v>0</v>
      </c>
      <c r="S6" t="n">
        <v>0</v>
      </c>
      <c r="T6" t="inlineStr"/>
      <c r="U6" t="inlineStr"/>
      <c r="V6" t="inlineStr"/>
      <c r="W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7">
      <c r="A7" t="n">
        <v>342</v>
      </c>
      <c r="B7" t="n">
        <v>114</v>
      </c>
      <c r="C7" t="n">
        <v>3</v>
      </c>
      <c r="D7" t="n">
        <v>1</v>
      </c>
      <c r="E7" t="inlineStr">
        <is>
          <t>R1, R2, R3 y R4 porque por R5 no circula corriente</t>
        </is>
      </c>
      <c r="F7" t="inlineStr">
        <is>
          <t>¿Cuál es el estado del componente cortocircuitado R5 si solo se permite corriente desde V1 hasta N1?</t>
        </is>
      </c>
      <c r="G7" t="n">
        <v>3</v>
      </c>
      <c r="H7" t="n">
        <v>2</v>
      </c>
      <c r="I7" t="n">
        <v>3</v>
      </c>
      <c r="J7" t="n">
        <v>5</v>
      </c>
      <c r="K7" t="n">
        <v>13</v>
      </c>
      <c r="L7" t="n">
        <v>0.862</v>
      </c>
      <c r="M7" t="n">
        <v>29</v>
      </c>
      <c r="N7" t="n">
        <v>69.59</v>
      </c>
      <c r="O7" t="inlineStr">
        <is>
          <t>AC1, AC6</t>
        </is>
      </c>
      <c r="P7" t="inlineStr">
        <is>
          <t>AC1, AC9</t>
        </is>
      </c>
      <c r="Q7" t="n">
        <v>0.5</v>
      </c>
      <c r="R7" t="n">
        <v>0.5</v>
      </c>
      <c r="S7" t="n">
        <v>0.5</v>
      </c>
      <c r="T7" t="inlineStr"/>
      <c r="U7" t="inlineStr"/>
      <c r="V7" t="inlineStr"/>
      <c r="W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8">
      <c r="A8" t="n">
        <v>343</v>
      </c>
      <c r="B8" t="n">
        <v>115</v>
      </c>
      <c r="C8" t="n">
        <v>1</v>
      </c>
      <c r="D8" t="n">
        <v>1</v>
      </c>
      <c r="E8" t="inlineStr">
        <is>
          <t>R1, R2, R3 y R4 porque R5 se quita</t>
        </is>
      </c>
      <c r="F8" t="inlineStr">
        <is>
          <t>¿Cuáles resistencias están disponibles para contribuir a la diferencia de potencial entre N2 y 0, considerando que R5 está cortocircuitada?</t>
        </is>
      </c>
      <c r="G8" t="n">
        <v>3</v>
      </c>
      <c r="H8" t="n">
        <v>3</v>
      </c>
      <c r="I8" t="n">
        <v>3</v>
      </c>
      <c r="J8" t="n">
        <v>5</v>
      </c>
      <c r="K8" t="n">
        <v>14</v>
      </c>
      <c r="L8" t="n">
        <v>1.058</v>
      </c>
      <c r="M8" t="n">
        <v>36</v>
      </c>
      <c r="N8" t="n">
        <v>56.72</v>
      </c>
      <c r="O8" t="inlineStr">
        <is>
          <t>AC1, AC6</t>
        </is>
      </c>
      <c r="P8" t="inlineStr">
        <is>
          <t>AC6, AC9</t>
        </is>
      </c>
      <c r="Q8" t="n">
        <v>0.5</v>
      </c>
      <c r="R8" t="n">
        <v>0.5</v>
      </c>
      <c r="S8" t="n">
        <v>0.5</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344</v>
      </c>
      <c r="B9" t="n">
        <v>115</v>
      </c>
      <c r="C9" t="n">
        <v>2</v>
      </c>
      <c r="D9" t="n">
        <v>1</v>
      </c>
      <c r="E9" t="inlineStr">
        <is>
          <t>R1, R3 y R4 porque R2 está en paralelo con la fuente y R5 corctocircuitada</t>
        </is>
      </c>
      <c r="F9" t="inlineStr">
        <is>
          <t>¿Cuál es el resultado cuando un cortocircuito en R5 disminuye su valor resistivo, afectando la distribución de corriente en el circuito?</t>
        </is>
      </c>
      <c r="G9" t="n">
        <v>3</v>
      </c>
      <c r="H9" t="n">
        <v>3</v>
      </c>
      <c r="I9" t="n">
        <v>3</v>
      </c>
      <c r="J9" t="n">
        <v>5</v>
      </c>
      <c r="K9" t="n">
        <v>14</v>
      </c>
      <c r="L9" t="n">
        <v>1.215</v>
      </c>
      <c r="M9" t="n">
        <v>38</v>
      </c>
      <c r="N9" t="n">
        <v>49.4</v>
      </c>
      <c r="O9" t="inlineStr">
        <is>
          <t>AC1, AC6</t>
        </is>
      </c>
      <c r="P9" t="inlineStr">
        <is>
          <t>AC1, AC6</t>
        </is>
      </c>
      <c r="Q9" t="n">
        <v>1</v>
      </c>
      <c r="R9" t="n">
        <v>1</v>
      </c>
      <c r="S9" t="n">
        <v>1</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345</v>
      </c>
      <c r="B10" t="n">
        <v>115</v>
      </c>
      <c r="C10" t="n">
        <v>3</v>
      </c>
      <c r="D10" t="n">
        <v>1</v>
      </c>
      <c r="E10" t="inlineStr">
        <is>
          <t>R1, R4 y R5 porque R2 se elimina y R3 también</t>
        </is>
      </c>
      <c r="F10" t="inlineStr">
        <is>
          <t>¿Qué cambios ocurren en el circuito cuando la fuente se conecta con R1 y R3?</t>
        </is>
      </c>
      <c r="G10" t="n">
        <v>3</v>
      </c>
      <c r="H10" t="n">
        <v>2</v>
      </c>
      <c r="I10" t="n">
        <v>3</v>
      </c>
      <c r="J10" t="n">
        <v>5</v>
      </c>
      <c r="K10" t="n">
        <v>13</v>
      </c>
      <c r="L10" t="n">
        <v>0.8090000000000001</v>
      </c>
      <c r="M10" t="n">
        <v>25</v>
      </c>
      <c r="N10" t="n">
        <v>74.17</v>
      </c>
      <c r="O10" t="inlineStr">
        <is>
          <t>AC1, AC6</t>
        </is>
      </c>
      <c r="P10" t="inlineStr"/>
      <c r="Q10" t="n">
        <v>1</v>
      </c>
      <c r="R10" t="n">
        <v>0</v>
      </c>
      <c r="S10" t="n">
        <v>0</v>
      </c>
      <c r="T10" t="inlineStr"/>
      <c r="U10" t="inlineStr"/>
      <c r="V10" t="inlineStr"/>
      <c r="W10"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1">
      <c r="A11" t="n">
        <v>346</v>
      </c>
      <c r="B11" t="n">
        <v>116</v>
      </c>
      <c r="C11" t="n">
        <v>1</v>
      </c>
      <c r="D11" t="n">
        <v>1</v>
      </c>
      <c r="E11" t="inlineStr">
        <is>
          <t>R1 y R4 dado que R2 está en paralelo con la fuente, R3 en circuito abierto y R5 cortocircuitada</t>
        </is>
      </c>
      <c r="F11" t="inlineStr">
        <is>
          <t>¿Cuáles son los componentes que forman el camino directo desde V1 hasta tierra, excluyendo las resistencias R3 y R5?</t>
        </is>
      </c>
      <c r="G11" t="n">
        <v>3</v>
      </c>
      <c r="H11" t="n">
        <v>3</v>
      </c>
      <c r="I11" t="n">
        <v>3</v>
      </c>
      <c r="J11" t="n">
        <v>5</v>
      </c>
      <c r="K11" t="n">
        <v>14</v>
      </c>
      <c r="L11" t="n">
        <v>0.869</v>
      </c>
      <c r="M11" t="n">
        <v>35</v>
      </c>
      <c r="N11" t="n">
        <v>69.06999999999999</v>
      </c>
      <c r="O11" t="inlineStr">
        <is>
          <t>AC1, AC6</t>
        </is>
      </c>
      <c r="P11" t="inlineStr">
        <is>
          <t>AC9</t>
        </is>
      </c>
      <c r="Q11" t="n">
        <v>0</v>
      </c>
      <c r="R11" t="n">
        <v>0</v>
      </c>
      <c r="S11" t="n">
        <v>0</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347</v>
      </c>
      <c r="B12" t="n">
        <v>116</v>
      </c>
      <c r="C12" t="n">
        <v>2</v>
      </c>
      <c r="D12" t="n">
        <v>1</v>
      </c>
      <c r="E12" t="inlineStr">
        <is>
          <t>R1, R2 y R3 dado que R2 y R3 están en paralelo y forman un divisor de tensión con R1</t>
        </is>
      </c>
      <c r="F12" t="inlineStr">
        <is>
          <t>¿Qué sucedería si R3 no estuviera en circuito abierto? ¿Cómo afectaría esto a las opciones de voltaje y corriente en ese punto de la circuitería?</t>
        </is>
      </c>
      <c r="G12" t="n">
        <v>3</v>
      </c>
      <c r="H12" t="n">
        <v>4</v>
      </c>
      <c r="I12" t="n">
        <v>3</v>
      </c>
      <c r="J12" t="n">
        <v>5</v>
      </c>
      <c r="K12" t="n">
        <v>15</v>
      </c>
      <c r="L12" t="n">
        <v>0.621</v>
      </c>
      <c r="M12" t="n">
        <v>45</v>
      </c>
      <c r="N12" t="n">
        <v>96.56999999999999</v>
      </c>
      <c r="O12" t="inlineStr">
        <is>
          <t>AC1, AC9</t>
        </is>
      </c>
      <c r="P12" t="inlineStr">
        <is>
          <t>AC1</t>
        </is>
      </c>
      <c r="Q12" t="n">
        <v>1</v>
      </c>
      <c r="R12" t="n">
        <v>0.5</v>
      </c>
      <c r="S12" t="n">
        <v>0.667</v>
      </c>
      <c r="T12" t="inlineStr"/>
      <c r="U12" t="inlineStr"/>
      <c r="V12" t="inlineStr"/>
      <c r="W12"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3">
      <c r="A13" t="n">
        <v>348</v>
      </c>
      <c r="B13" t="n">
        <v>116</v>
      </c>
      <c r="C13" t="n">
        <v>3</v>
      </c>
      <c r="D13" t="n">
        <v>1</v>
      </c>
      <c r="E13" t="inlineStr">
        <is>
          <t>R1, R2, R4 y R5 dado que R3 está en circuito abierto</t>
        </is>
      </c>
      <c r="F13" t="inlineStr">
        <is>
          <t>¿Cuál es el resultado del cortocircuito de R5 en la circuitería, teniendo en cuenta que la fuente V1 sigue siendo una fuente ideal?</t>
        </is>
      </c>
      <c r="G13" t="n">
        <v>3</v>
      </c>
      <c r="H13" t="n">
        <v>2</v>
      </c>
      <c r="I13" t="n">
        <v>3</v>
      </c>
      <c r="J13" t="n">
        <v>5</v>
      </c>
      <c r="K13" t="n">
        <v>13</v>
      </c>
      <c r="L13" t="n">
        <v>0.551</v>
      </c>
      <c r="M13" t="n">
        <v>39</v>
      </c>
      <c r="N13" t="n">
        <v>108.97</v>
      </c>
      <c r="O13" t="inlineStr">
        <is>
          <t>AC1, AC6</t>
        </is>
      </c>
      <c r="P13" t="inlineStr">
        <is>
          <t>AC6, AC9</t>
        </is>
      </c>
      <c r="Q13" t="n">
        <v>0.5</v>
      </c>
      <c r="R13" t="n">
        <v>0.5</v>
      </c>
      <c r="S13" t="n">
        <v>0.5</v>
      </c>
      <c r="T13" t="inlineStr"/>
      <c r="U13" t="inlineStr"/>
      <c r="V13" t="inlineStr"/>
      <c r="W1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4">
      <c r="A14" t="n">
        <v>349</v>
      </c>
      <c r="B14" t="n">
        <v>117</v>
      </c>
      <c r="C14" t="n">
        <v>1</v>
      </c>
      <c r="D14" t="n">
        <v>1</v>
      </c>
      <c r="E14" t="inlineStr">
        <is>
          <t>R1, R2, R4 y R5 dado que R3 sobra</t>
        </is>
      </c>
      <c r="F14" t="inlineStr">
        <is>
          <t>¿Cuáles son las resistencias que contribuyen a mantener el camino de corriente abierto entre N2 y tierra?</t>
        </is>
      </c>
      <c r="G14" t="n">
        <v>3</v>
      </c>
      <c r="H14" t="n">
        <v>3</v>
      </c>
      <c r="I14" t="n">
        <v>3</v>
      </c>
      <c r="J14" t="n">
        <v>5</v>
      </c>
      <c r="K14" t="n">
        <v>14</v>
      </c>
      <c r="L14" t="n">
        <v>0.5679999999999999</v>
      </c>
      <c r="M14" t="n">
        <v>29</v>
      </c>
      <c r="N14" t="n">
        <v>105.71</v>
      </c>
      <c r="O14" t="inlineStr">
        <is>
          <t>AC1, AC6</t>
        </is>
      </c>
      <c r="P14" t="inlineStr">
        <is>
          <t>AC1, AC9</t>
        </is>
      </c>
      <c r="Q14" t="n">
        <v>0.5</v>
      </c>
      <c r="R14" t="n">
        <v>0.5</v>
      </c>
      <c r="S14" t="n">
        <v>0.5</v>
      </c>
      <c r="T14" t="inlineStr"/>
      <c r="U14" t="inlineStr"/>
      <c r="V14" t="inlineStr"/>
      <c r="W1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5">
      <c r="A15" t="n">
        <v>350</v>
      </c>
      <c r="B15" t="n">
        <v>117</v>
      </c>
      <c r="C15" t="n">
        <v>2</v>
      </c>
      <c r="D15" t="n">
        <v>1</v>
      </c>
      <c r="E15" t="inlineStr">
        <is>
          <t>R1, R2, R4 y R5 dado que R3 no hace nada</t>
        </is>
      </c>
      <c r="F15" t="inlineStr">
        <is>
          <t>¿Cuál es el efecto de eliminar un componente del circuito cuando las otras resistencias forman una ruta alternativa para el flujo de corriente?</t>
        </is>
      </c>
      <c r="G15" t="n">
        <v>3</v>
      </c>
      <c r="H15" t="n">
        <v>3</v>
      </c>
      <c r="I15" t="n">
        <v>3</v>
      </c>
      <c r="J15" t="n">
        <v>5</v>
      </c>
      <c r="K15" t="n">
        <v>14</v>
      </c>
      <c r="L15" t="n">
        <v>0.592</v>
      </c>
      <c r="M15" t="n">
        <v>35</v>
      </c>
      <c r="N15" t="n">
        <v>101.36</v>
      </c>
      <c r="O15" t="inlineStr">
        <is>
          <t>AC1, AC6</t>
        </is>
      </c>
      <c r="P15" t="inlineStr">
        <is>
          <t>AC1, AC9</t>
        </is>
      </c>
      <c r="Q15" t="n">
        <v>0.5</v>
      </c>
      <c r="R15" t="n">
        <v>0.5</v>
      </c>
      <c r="S15" t="n">
        <v>0.5</v>
      </c>
      <c r="T15" t="inlineStr"/>
      <c r="U15" t="inlineStr"/>
      <c r="V15" t="inlineStr"/>
      <c r="W1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6">
      <c r="A16" t="n">
        <v>351</v>
      </c>
      <c r="B16" t="n">
        <v>117</v>
      </c>
      <c r="C16" t="n">
        <v>3</v>
      </c>
      <c r="D16" t="n">
        <v>1</v>
      </c>
      <c r="E16" t="inlineStr">
        <is>
          <t>R1, R2 y R4 dado que son las resistencias que forman parte del circuito.</t>
        </is>
      </c>
      <c r="F16" t="inlineStr">
        <is>
          <t>¿Qué pasaría si eliminara R4 del circuito, manteniendo las otras resistencias intactas?</t>
        </is>
      </c>
      <c r="G16" t="n">
        <v>3</v>
      </c>
      <c r="H16" t="n">
        <v>2</v>
      </c>
      <c r="I16" t="n">
        <v>3</v>
      </c>
      <c r="J16" t="n">
        <v>5</v>
      </c>
      <c r="K16" t="n">
        <v>13</v>
      </c>
      <c r="L16" t="n">
        <v>0.706</v>
      </c>
      <c r="M16" t="n">
        <v>24</v>
      </c>
      <c r="N16" t="n">
        <v>84.98</v>
      </c>
      <c r="O16" t="inlineStr"/>
      <c r="P16" t="inlineStr">
        <is>
          <t>AC9</t>
        </is>
      </c>
      <c r="Q16" t="n">
        <v>0</v>
      </c>
      <c r="R16" t="n">
        <v>1</v>
      </c>
      <c r="S16" t="n">
        <v>0</v>
      </c>
      <c r="T16" t="inlineStr"/>
      <c r="U16" t="inlineStr"/>
      <c r="V16" t="inlineStr"/>
      <c r="W1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7">
      <c r="A17" t="n">
        <v>352</v>
      </c>
      <c r="B17" t="n">
        <v>118</v>
      </c>
      <c r="C17" t="n">
        <v>1</v>
      </c>
      <c r="D17" t="n">
        <v>1</v>
      </c>
      <c r="E17" t="inlineStr">
        <is>
          <t>R1, R2 y R4 dado que R2 y R4 están en paralelo y forma un divisor de tensión con R1.</t>
        </is>
      </c>
      <c r="F17" t="inlineStr">
        <is>
          <t>¿Cuál es el camino global desde V1 hasta tierra, y qué resistencias están incluidas en este camino?</t>
        </is>
      </c>
      <c r="G17" t="n">
        <v>3</v>
      </c>
      <c r="H17" t="n">
        <v>3</v>
      </c>
      <c r="I17" t="n">
        <v>3</v>
      </c>
      <c r="J17" t="n">
        <v>5</v>
      </c>
      <c r="K17" t="n">
        <v>14</v>
      </c>
      <c r="L17" t="n">
        <v>0.898</v>
      </c>
      <c r="M17" t="n">
        <v>27</v>
      </c>
      <c r="N17" t="n">
        <v>66.83</v>
      </c>
      <c r="O17" t="inlineStr"/>
      <c r="P17" t="inlineStr">
        <is>
          <t>AC9</t>
        </is>
      </c>
      <c r="Q17" t="n">
        <v>0</v>
      </c>
      <c r="R17" t="n">
        <v>1</v>
      </c>
      <c r="S17" t="n">
        <v>0</v>
      </c>
      <c r="T17" t="inlineStr"/>
      <c r="U17" t="inlineStr"/>
      <c r="V17" t="inlineStr"/>
      <c r="W1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8">
      <c r="A18" t="n">
        <v>353</v>
      </c>
      <c r="B18" t="n">
        <v>118</v>
      </c>
      <c r="C18" t="n">
        <v>2</v>
      </c>
      <c r="D18" t="n">
        <v>1</v>
      </c>
      <c r="E18" t="inlineStr">
        <is>
          <t>R1, R2 y R4 dado que R3 está en abierto y R5 cortocircuitada</t>
        </is>
      </c>
      <c r="F18" t="inlineStr">
        <is>
          <t>¿Qué sucede cuando R1, R2 y R4 están conectados en paralelo y se intenta cortocircuitar el circuito en R5?</t>
        </is>
      </c>
      <c r="G18" t="n">
        <v>4</v>
      </c>
      <c r="H18" t="n">
        <v>2</v>
      </c>
      <c r="I18" t="n">
        <v>5</v>
      </c>
      <c r="J18" t="n">
        <v>5</v>
      </c>
      <c r="K18" t="n">
        <v>16</v>
      </c>
      <c r="L18" t="n">
        <v>0.87</v>
      </c>
      <c r="M18" t="n">
        <v>36</v>
      </c>
      <c r="N18" t="n">
        <v>68.97</v>
      </c>
      <c r="O18" t="inlineStr">
        <is>
          <t>AC1, AC6</t>
        </is>
      </c>
      <c r="P18" t="inlineStr"/>
      <c r="Q18" t="n">
        <v>1</v>
      </c>
      <c r="R18" t="n">
        <v>0</v>
      </c>
      <c r="S18" t="n">
        <v>0</v>
      </c>
      <c r="T18" t="inlineStr"/>
      <c r="U18" t="inlineStr"/>
      <c r="V18" t="inlineStr"/>
      <c r="W18"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19">
      <c r="A19" t="n">
        <v>354</v>
      </c>
      <c r="B19" t="n">
        <v>118</v>
      </c>
      <c r="C19" t="n">
        <v>3</v>
      </c>
      <c r="D19" t="n">
        <v>1</v>
      </c>
      <c r="E19" t="inlineStr">
        <is>
          <t>R1, R2 y R4 dado que solo por estas resistencias circula una corriente diferente de cero</t>
        </is>
      </c>
      <c r="F19" t="inlineStr">
        <is>
          <t>¿Qué significa que R1, R2 y R4 no permiten una corriente desde V1 hasta tierra cuando el circuito está completo?</t>
        </is>
      </c>
      <c r="G19" t="n">
        <v>4</v>
      </c>
      <c r="H19" t="n">
        <v>2</v>
      </c>
      <c r="I19" t="n">
        <v>5</v>
      </c>
      <c r="J19" t="n">
        <v>5</v>
      </c>
      <c r="K19" t="n">
        <v>16</v>
      </c>
      <c r="L19" t="n">
        <v>0.908</v>
      </c>
      <c r="M19" t="n">
        <v>33</v>
      </c>
      <c r="N19" t="n">
        <v>66.06999999999999</v>
      </c>
      <c r="O19" t="inlineStr"/>
      <c r="P19" t="inlineStr">
        <is>
          <t>AC1, AC9</t>
        </is>
      </c>
      <c r="Q19" t="n">
        <v>0</v>
      </c>
      <c r="R19" t="n">
        <v>1</v>
      </c>
      <c r="S19" t="n">
        <v>0</v>
      </c>
      <c r="T19" t="inlineStr"/>
      <c r="U19" t="inlineStr"/>
      <c r="V19" t="inlineStr"/>
      <c r="W19"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20">
      <c r="A20" t="n">
        <v>355</v>
      </c>
      <c r="B20" t="n">
        <v>119</v>
      </c>
      <c r="C20" t="n">
        <v>1</v>
      </c>
      <c r="D20" t="n">
        <v>1</v>
      </c>
      <c r="E20" t="inlineStr">
        <is>
          <t>R1, R2 y R4 dado que por R3 y por R5 no circula corriente</t>
        </is>
      </c>
      <c r="F20" t="inlineStr">
        <is>
          <t>¿Cuál es el camino global desde N2 hasta tierra que podría estar conectado para formar una diferencia de potencial entre N2 y 0?</t>
        </is>
      </c>
      <c r="G20" t="n">
        <v>3</v>
      </c>
      <c r="H20" t="n">
        <v>3</v>
      </c>
      <c r="I20" t="n">
        <v>3</v>
      </c>
      <c r="J20" t="n">
        <v>5</v>
      </c>
      <c r="K20" t="n">
        <v>14</v>
      </c>
      <c r="L20" t="n">
        <v>0.954</v>
      </c>
      <c r="M20" t="n">
        <v>34</v>
      </c>
      <c r="N20" t="n">
        <v>62.9</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1">
      <c r="A21" t="n">
        <v>356</v>
      </c>
      <c r="B21" t="n">
        <v>119</v>
      </c>
      <c r="C21" t="n">
        <v>2</v>
      </c>
      <c r="D21" t="n">
        <v>1</v>
      </c>
      <c r="E21" t="inlineStr">
        <is>
          <t>R1, R2 y R4 dado que R3 y R5 se pueden quitar</t>
        </is>
      </c>
      <c r="F21" t="inlineStr">
        <is>
          <t>¿Cuál es el efecto de quitar R3 y R5, lo que permite que los componentes externos no contribuyan a la ruta de corriente?</t>
        </is>
      </c>
      <c r="G21" t="n">
        <v>3</v>
      </c>
      <c r="H21" t="n">
        <v>2</v>
      </c>
      <c r="I21" t="n">
        <v>3</v>
      </c>
      <c r="J21" t="n">
        <v>5</v>
      </c>
      <c r="K21" t="n">
        <v>13</v>
      </c>
      <c r="L21" t="n">
        <v>0.895</v>
      </c>
      <c r="M21" t="n">
        <v>38</v>
      </c>
      <c r="N21" t="n">
        <v>67.05</v>
      </c>
      <c r="O21" t="inlineStr">
        <is>
          <t>AC1, AC6</t>
        </is>
      </c>
      <c r="P21" t="inlineStr">
        <is>
          <t>AC1</t>
        </is>
      </c>
      <c r="Q21" t="n">
        <v>1</v>
      </c>
      <c r="R21" t="n">
        <v>0.5</v>
      </c>
      <c r="S21" t="n">
        <v>0.667</v>
      </c>
      <c r="T21" t="inlineStr"/>
      <c r="U21" t="inlineStr"/>
      <c r="V21" t="inlineStr"/>
      <c r="W2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2">
      <c r="A22" t="n">
        <v>357</v>
      </c>
      <c r="B22" t="n">
        <v>119</v>
      </c>
      <c r="C22" t="n">
        <v>3</v>
      </c>
      <c r="D22" t="n">
        <v>1</v>
      </c>
      <c r="E22" t="inlineStr">
        <is>
          <t>R1, R2 y R4 dado que R3 y R5 no influyen para nada en la diferencia de potencial que se pide</t>
        </is>
      </c>
      <c r="F22" t="inlineStr">
        <is>
          <t>¿Cómo te aseguras de que la ruta de corriente desde N2 hasta tierra sigue siendo viable incluso si R3 y R5 se eliminan?</t>
        </is>
      </c>
      <c r="G22" t="n">
        <v>3</v>
      </c>
      <c r="H22" t="n">
        <v>2</v>
      </c>
      <c r="I22" t="n">
        <v>3</v>
      </c>
      <c r="J22" t="n">
        <v>5</v>
      </c>
      <c r="K22" t="n">
        <v>13</v>
      </c>
      <c r="L22" t="n">
        <v>0.92</v>
      </c>
      <c r="M22" t="n">
        <v>34</v>
      </c>
      <c r="N22" t="n">
        <v>65.23</v>
      </c>
      <c r="O22" t="inlineStr">
        <is>
          <t>AC1, AC6</t>
        </is>
      </c>
      <c r="P22" t="inlineStr">
        <is>
          <t>AC1, AC9</t>
        </is>
      </c>
      <c r="Q22" t="n">
        <v>0.5</v>
      </c>
      <c r="R22" t="n">
        <v>0.5</v>
      </c>
      <c r="S22" t="n">
        <v>0.5</v>
      </c>
      <c r="T22" t="inlineStr"/>
      <c r="U22" t="inlineStr"/>
      <c r="V22" t="inlineStr"/>
      <c r="W2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3">
      <c r="A23" t="n">
        <v>358</v>
      </c>
      <c r="B23" t="n">
        <v>120</v>
      </c>
      <c r="C23" t="n">
        <v>1</v>
      </c>
      <c r="D23" t="n">
        <v>1</v>
      </c>
      <c r="E23" t="inlineStr">
        <is>
          <t>R1, R2 y R4 dado que R3 y R5 sobran</t>
        </is>
      </c>
      <c r="F23" t="inlineStr">
        <is>
          <t>¿Cuál es el efecto de una rama interrumpida sobre la circulación de corriente dentro del circuito, y cómo afecta esto a las resistencias que contribuyen a la diferencia de potencial entre N2 y 0?</t>
        </is>
      </c>
      <c r="G23" t="n">
        <v>3</v>
      </c>
      <c r="H23" t="n">
        <v>4</v>
      </c>
      <c r="I23" t="n">
        <v>3</v>
      </c>
      <c r="J23" t="n">
        <v>5</v>
      </c>
      <c r="K23" t="n">
        <v>15</v>
      </c>
      <c r="L23" t="n">
        <v>0.996</v>
      </c>
      <c r="M23" t="n">
        <v>55</v>
      </c>
      <c r="N23" t="n">
        <v>60.21</v>
      </c>
      <c r="O23" t="inlineStr">
        <is>
          <t>AC1, AC6</t>
        </is>
      </c>
      <c r="P23" t="inlineStr">
        <is>
          <t>AC1, AC9</t>
        </is>
      </c>
      <c r="Q23" t="n">
        <v>0.5</v>
      </c>
      <c r="R23" t="n">
        <v>0.5</v>
      </c>
      <c r="S23" t="n">
        <v>0.5</v>
      </c>
      <c r="T23" t="inlineStr"/>
      <c r="U23" t="inlineStr"/>
      <c r="V23" t="inlineStr"/>
      <c r="W23"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4">
      <c r="A24" t="n">
        <v>359</v>
      </c>
      <c r="B24" t="n">
        <v>120</v>
      </c>
      <c r="C24" t="n">
        <v>2</v>
      </c>
      <c r="D24" t="n">
        <v>1</v>
      </c>
      <c r="E24" t="inlineStr">
        <is>
          <t>R1, R2 y R4 dado que R3 sobra</t>
        </is>
      </c>
      <c r="F24" t="inlineStr">
        <is>
          <t>¿Por qué una resistencia sobrante disminuye efectivamente la diferencia de potencial entre dos puntos de un circuito?</t>
        </is>
      </c>
      <c r="G24" t="n">
        <v>3</v>
      </c>
      <c r="H24" t="n">
        <v>3</v>
      </c>
      <c r="I24" t="n">
        <v>3</v>
      </c>
      <c r="J24" t="n">
        <v>5</v>
      </c>
      <c r="K24" t="n">
        <v>14</v>
      </c>
      <c r="L24" t="n">
        <v>0.878</v>
      </c>
      <c r="M24" t="n">
        <v>28</v>
      </c>
      <c r="N24" t="n">
        <v>68.38</v>
      </c>
      <c r="O24" t="inlineStr">
        <is>
          <t>AC1</t>
        </is>
      </c>
      <c r="P24" t="inlineStr">
        <is>
          <t>AC9</t>
        </is>
      </c>
      <c r="Q24" t="n">
        <v>0</v>
      </c>
      <c r="R24" t="n">
        <v>0</v>
      </c>
      <c r="S24" t="n">
        <v>0</v>
      </c>
      <c r="T24" t="inlineStr"/>
      <c r="U24" t="inlineStr"/>
      <c r="V24" t="inlineStr"/>
      <c r="W2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5">
      <c r="A25" t="n">
        <v>360</v>
      </c>
      <c r="B25" t="n">
        <v>120</v>
      </c>
      <c r="C25" t="n">
        <v>3</v>
      </c>
      <c r="D25" t="n">
        <v>1</v>
      </c>
      <c r="E25" t="inlineStr">
        <is>
          <t>R1, R2 y R4 dado que R5 sobra</t>
        </is>
      </c>
      <c r="F25" t="inlineStr">
        <is>
          <t>¿Cuál es el resultado de eliminar una resistencia del circuito, lo que hace que se produzca una mayor cantidad de corriente en la rama restante?</t>
        </is>
      </c>
      <c r="G25" t="n">
        <v>3</v>
      </c>
      <c r="H25" t="n">
        <v>3</v>
      </c>
      <c r="I25" t="n">
        <v>3</v>
      </c>
      <c r="J25" t="n">
        <v>5</v>
      </c>
      <c r="K25" t="n">
        <v>14</v>
      </c>
      <c r="L25" t="n">
        <v>1.043</v>
      </c>
      <c r="M25" t="n">
        <v>38</v>
      </c>
      <c r="N25" t="n">
        <v>57.53</v>
      </c>
      <c r="O25" t="inlineStr">
        <is>
          <t>AC6</t>
        </is>
      </c>
      <c r="P25" t="inlineStr">
        <is>
          <t>AC1</t>
        </is>
      </c>
      <c r="Q25" t="n">
        <v>0</v>
      </c>
      <c r="R25" t="n">
        <v>0</v>
      </c>
      <c r="S25" t="n">
        <v>0</v>
      </c>
      <c r="T25" t="inlineStr"/>
      <c r="U25" t="inlineStr"/>
      <c r="V25" t="inlineStr"/>
      <c r="W2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6">
      <c r="A26" t="n">
        <v>361</v>
      </c>
      <c r="B26" t="n">
        <v>121</v>
      </c>
      <c r="C26" t="n">
        <v>1</v>
      </c>
      <c r="D26" t="n">
        <v>1</v>
      </c>
      <c r="E26" t="inlineStr">
        <is>
          <t>R1, R2 y R4 dado que R3 está en abierto</t>
        </is>
      </c>
      <c r="F26" t="inlineStr">
        <is>
          <t>¿Qué sucede cuando un componente de una rama está interrumpido, ¿afectan las resistencias a lo largo del camino global hasta tierra?</t>
        </is>
      </c>
      <c r="G26" t="n">
        <v>3</v>
      </c>
      <c r="H26" t="n">
        <v>3</v>
      </c>
      <c r="I26" t="n">
        <v>3</v>
      </c>
      <c r="J26" t="n">
        <v>5</v>
      </c>
      <c r="K26" t="n">
        <v>14</v>
      </c>
      <c r="L26" t="n">
        <v>3.747</v>
      </c>
      <c r="M26" t="n">
        <v>35</v>
      </c>
      <c r="N26" t="n">
        <v>16.01</v>
      </c>
      <c r="O26" t="inlineStr">
        <is>
          <t>AC1</t>
        </is>
      </c>
      <c r="P26" t="inlineStr">
        <is>
          <t>AC9</t>
        </is>
      </c>
      <c r="Q26" t="n">
        <v>0</v>
      </c>
      <c r="R26" t="n">
        <v>0</v>
      </c>
      <c r="S26" t="n">
        <v>0</v>
      </c>
      <c r="T26" t="inlineStr"/>
      <c r="U26" t="inlineStr"/>
      <c r="V26" t="inlineStr"/>
      <c r="W2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7">
      <c r="A27" t="n">
        <v>362</v>
      </c>
      <c r="B27" t="n">
        <v>121</v>
      </c>
      <c r="C27" t="n">
        <v>2</v>
      </c>
      <c r="D27" t="n">
        <v>1</v>
      </c>
      <c r="E27" t="inlineStr">
        <is>
          <t>R1, R2 y R4 dado que  R5 cortocircuitada</t>
        </is>
      </c>
      <c r="F27" t="inlineStr">
        <is>
          <t>¿Cuál es el resultado de conectar un componente cortocircuíto a una rama de un circuito y cómo afecta esto a las resistencias conectadas en paralelo?</t>
        </is>
      </c>
      <c r="G27" t="n">
        <v>3</v>
      </c>
      <c r="H27" t="n">
        <v>3</v>
      </c>
      <c r="I27" t="n">
        <v>3</v>
      </c>
      <c r="J27" t="n">
        <v>5</v>
      </c>
      <c r="K27" t="n">
        <v>14</v>
      </c>
      <c r="L27" t="n">
        <v>1.724</v>
      </c>
      <c r="M27" t="n">
        <v>40</v>
      </c>
      <c r="N27" t="n">
        <v>34.81</v>
      </c>
      <c r="O27" t="inlineStr">
        <is>
          <t>AC6</t>
        </is>
      </c>
      <c r="P27" t="inlineStr">
        <is>
          <t>AC9</t>
        </is>
      </c>
      <c r="Q27" t="n">
        <v>0</v>
      </c>
      <c r="R27" t="n">
        <v>0</v>
      </c>
      <c r="S27" t="n">
        <v>0</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363</v>
      </c>
      <c r="B28" t="n">
        <v>121</v>
      </c>
      <c r="C28" t="n">
        <v>3</v>
      </c>
      <c r="D28" t="n">
        <v>1</v>
      </c>
      <c r="E28" t="inlineStr">
        <is>
          <t>R1, R2 y R4 dado que por R3 no circula corriente</t>
        </is>
      </c>
      <c r="F28" t="inlineStr">
        <is>
          <t>¿Cuál es el efecto de tener una resistencia interrumpida en el circuito cuando solo hay corriente disponible a través de otra ruta?</t>
        </is>
      </c>
      <c r="G28" t="n">
        <v>3</v>
      </c>
      <c r="H28" t="n">
        <v>3</v>
      </c>
      <c r="I28" t="n">
        <v>3</v>
      </c>
      <c r="J28" t="n">
        <v>5</v>
      </c>
      <c r="K28" t="n">
        <v>14</v>
      </c>
      <c r="L28" t="n">
        <v>4.858</v>
      </c>
      <c r="M28" t="n">
        <v>34</v>
      </c>
      <c r="N28" t="n">
        <v>12.35</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364</v>
      </c>
      <c r="B29" t="n">
        <v>122</v>
      </c>
      <c r="C29" t="n">
        <v>1</v>
      </c>
      <c r="D29" t="n">
        <v>1</v>
      </c>
      <c r="E29" t="inlineStr">
        <is>
          <t>R1, R2 y R4 dado que por  R5 no circula corriente</t>
        </is>
      </c>
      <c r="F29" t="inlineStr">
        <is>
          <t>¿Qué resistencias contribuyen a la diferencia de potencial entre N2 y 0 cuando se considera el efecto de un cortocircuito entre los nudos N2 y N3?</t>
        </is>
      </c>
      <c r="G29" t="n">
        <v>3</v>
      </c>
      <c r="H29" t="n">
        <v>4</v>
      </c>
      <c r="I29" t="n">
        <v>3</v>
      </c>
      <c r="J29" t="n">
        <v>5</v>
      </c>
      <c r="K29" t="n">
        <v>15</v>
      </c>
      <c r="L29" t="n">
        <v>2.507</v>
      </c>
      <c r="M29" t="n">
        <v>42</v>
      </c>
      <c r="N29" t="n">
        <v>23.93</v>
      </c>
      <c r="O29" t="inlineStr">
        <is>
          <t>AC6</t>
        </is>
      </c>
      <c r="P29" t="inlineStr">
        <is>
          <t>AC6, AC9</t>
        </is>
      </c>
      <c r="Q29" t="n">
        <v>0.5</v>
      </c>
      <c r="R29" t="n">
        <v>1</v>
      </c>
      <c r="S29" t="n">
        <v>0.667</v>
      </c>
      <c r="T29" t="inlineStr"/>
      <c r="U29" t="inlineStr"/>
      <c r="V29" t="inlineStr"/>
      <c r="W2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0">
      <c r="A30" t="n">
        <v>365</v>
      </c>
      <c r="B30" t="n">
        <v>122</v>
      </c>
      <c r="C30" t="n">
        <v>2</v>
      </c>
      <c r="D30" t="n">
        <v>1</v>
      </c>
      <c r="E30" t="inlineStr">
        <is>
          <t>R1, R2 y R4 dado que R3 se puede quitar</t>
        </is>
      </c>
      <c r="F30" t="inlineStr">
        <is>
          <t>¿Cuál sería el resultado si la resistencia R4 fuera conectada en paralelo con las dos resistencias R1 y R2?</t>
        </is>
      </c>
      <c r="G30" t="n">
        <v>3</v>
      </c>
      <c r="H30" t="n">
        <v>3</v>
      </c>
      <c r="I30" t="n">
        <v>4</v>
      </c>
      <c r="J30" t="n">
        <v>5</v>
      </c>
      <c r="K30" t="n">
        <v>15</v>
      </c>
      <c r="L30" t="n">
        <v>1.004</v>
      </c>
      <c r="M30" t="n">
        <v>32</v>
      </c>
      <c r="N30" t="n">
        <v>59.76</v>
      </c>
      <c r="O30" t="inlineStr">
        <is>
          <t>AC1</t>
        </is>
      </c>
      <c r="P30" t="inlineStr">
        <is>
          <t>AC9</t>
        </is>
      </c>
      <c r="Q30" t="n">
        <v>0</v>
      </c>
      <c r="R30" t="n">
        <v>0</v>
      </c>
      <c r="S30" t="n">
        <v>0</v>
      </c>
      <c r="T30" t="inlineStr"/>
      <c r="U30" t="inlineStr"/>
      <c r="V30" t="inlineStr"/>
      <c r="W3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1">
      <c r="A31" t="n">
        <v>366</v>
      </c>
      <c r="B31" t="n">
        <v>122</v>
      </c>
      <c r="C31" t="n">
        <v>3</v>
      </c>
      <c r="D31" t="n">
        <v>1</v>
      </c>
      <c r="E31" t="inlineStr">
        <is>
          <t>R1, R2 y R4 dado que R5 se puede quitar</t>
        </is>
      </c>
      <c r="F31" t="inlineStr">
        <is>
          <t>¿Cuál sería el efecto de desconectar R3, si se supone que la resistencia R5 está disconectada?</t>
        </is>
      </c>
      <c r="G31" t="n">
        <v>3</v>
      </c>
      <c r="H31" t="n">
        <v>2</v>
      </c>
      <c r="I31" t="n">
        <v>3</v>
      </c>
      <c r="J31" t="n">
        <v>5</v>
      </c>
      <c r="K31" t="n">
        <v>13</v>
      </c>
      <c r="L31" t="n">
        <v>1.243</v>
      </c>
      <c r="M31" t="n">
        <v>31</v>
      </c>
      <c r="N31" t="n">
        <v>48.27</v>
      </c>
      <c r="O31" t="inlineStr">
        <is>
          <t>AC6</t>
        </is>
      </c>
      <c r="P31" t="inlineStr"/>
      <c r="Q31" t="n">
        <v>1</v>
      </c>
      <c r="R31" t="n">
        <v>0</v>
      </c>
      <c r="S31" t="n">
        <v>0</v>
      </c>
      <c r="T31" t="inlineStr"/>
      <c r="U31" t="inlineStr"/>
      <c r="V31" t="inlineStr"/>
      <c r="W3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2">
      <c r="A32" t="n">
        <v>367</v>
      </c>
      <c r="B32" t="n">
        <v>123</v>
      </c>
      <c r="C32" t="n">
        <v>1</v>
      </c>
      <c r="D32" t="n">
        <v>1</v>
      </c>
      <c r="E32" t="inlineStr">
        <is>
          <t>R1, R2 y R4 dado que R3 no influye para nada en la diferencia de potencial que se pide</t>
        </is>
      </c>
      <c r="F32" t="inlineStr">
        <is>
          <t>¿Qué resistencias se encuentran en el camino global desde N2 hasta tierra, excluyendo R3 y considerando las conexiones de cortocircuito?</t>
        </is>
      </c>
      <c r="G32" t="n">
        <v>3</v>
      </c>
      <c r="H32" t="n">
        <v>3</v>
      </c>
      <c r="I32" t="n">
        <v>3</v>
      </c>
      <c r="J32" t="n">
        <v>5</v>
      </c>
      <c r="K32" t="n">
        <v>14</v>
      </c>
      <c r="L32" t="n">
        <v>1.239</v>
      </c>
      <c r="M32" t="n">
        <v>36</v>
      </c>
      <c r="N32" t="n">
        <v>48.43</v>
      </c>
      <c r="O32" t="inlineStr">
        <is>
          <t>AC1</t>
        </is>
      </c>
      <c r="P32" t="inlineStr">
        <is>
          <t>AC6, AC9</t>
        </is>
      </c>
      <c r="Q32" t="n">
        <v>0</v>
      </c>
      <c r="R32" t="n">
        <v>0</v>
      </c>
      <c r="S32" t="n">
        <v>0</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368</v>
      </c>
      <c r="B33" t="n">
        <v>123</v>
      </c>
      <c r="C33" t="n">
        <v>2</v>
      </c>
      <c r="D33" t="n">
        <v>1</v>
      </c>
      <c r="E33" t="inlineStr">
        <is>
          <t>R1, R2 y R4 dado que R5 no influye para nada en la diferencia de potencial que se pide</t>
        </is>
      </c>
      <c r="F33" t="inlineStr">
        <is>
          <t>¿Cómo afectaría la presencia de R5 en el circuito si la diferencia de potencial entre N2 y tierra se mide desde el punto donde entra R5, en lugar de desde su conexión con R1?</t>
        </is>
      </c>
      <c r="G33" t="n">
        <v>3</v>
      </c>
      <c r="H33" t="n">
        <v>2</v>
      </c>
      <c r="I33" t="n">
        <v>4</v>
      </c>
      <c r="J33" t="n">
        <v>5</v>
      </c>
      <c r="K33" t="n">
        <v>14</v>
      </c>
      <c r="L33" t="n">
        <v>1.876</v>
      </c>
      <c r="M33" t="n">
        <v>48</v>
      </c>
      <c r="N33" t="n">
        <v>31.98</v>
      </c>
      <c r="O33" t="inlineStr">
        <is>
          <t>AC6</t>
        </is>
      </c>
      <c r="P33" t="inlineStr">
        <is>
          <t>AC9</t>
        </is>
      </c>
      <c r="Q33" t="n">
        <v>0</v>
      </c>
      <c r="R33" t="n">
        <v>0</v>
      </c>
      <c r="S33" t="n">
        <v>0</v>
      </c>
      <c r="T33" t="inlineStr"/>
      <c r="U33" t="inlineStr"/>
      <c r="V33" t="inlineStr"/>
      <c r="W3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4">
      <c r="A34" t="n">
        <v>369</v>
      </c>
      <c r="B34" t="n">
        <v>123</v>
      </c>
      <c r="C34" t="n">
        <v>3</v>
      </c>
      <c r="D34" t="n">
        <v>1</v>
      </c>
      <c r="E34" t="inlineStr">
        <is>
          <t>No lo sé</t>
        </is>
      </c>
      <c r="F34" t="inlineStr">
        <is>
          <t>¿Qué pasaría si, después de conectar R5 y medir la diferencia de potencial entre N2 y tierra desde el punto donde entra R5, se obtuviera un valor diferente al que se hubiera obtenido sin la presencia de R5?</t>
        </is>
      </c>
      <c r="G34" t="n">
        <v>3</v>
      </c>
      <c r="H34" t="n">
        <v>2</v>
      </c>
      <c r="I34" t="n">
        <v>2</v>
      </c>
      <c r="J34" t="n">
        <v>5</v>
      </c>
      <c r="K34" t="n">
        <v>12</v>
      </c>
      <c r="L34" t="n">
        <v>1.297</v>
      </c>
      <c r="M34" t="n">
        <v>56</v>
      </c>
      <c r="N34" t="n">
        <v>46.25</v>
      </c>
      <c r="O34" t="inlineStr">
        <is>
          <t>AC9</t>
        </is>
      </c>
      <c r="P34" t="inlineStr">
        <is>
          <t>AC9</t>
        </is>
      </c>
      <c r="Q34" t="n">
        <v>1</v>
      </c>
      <c r="R34" t="n">
        <v>1</v>
      </c>
      <c r="S34" t="n">
        <v>1</v>
      </c>
      <c r="T34" t="inlineStr"/>
      <c r="U34" t="inlineStr"/>
      <c r="V34" t="inlineStr"/>
      <c r="W34" t="inlineStr">
        <is>
          <t>Socraticidad 3/5 (Clarificación): Pregunta genérica: pide clarificación sin atacar la raíz del error. Precisión Conceptual 2/5 (Pobre): Pobre: responde de forma genérica sin diagnosticar el error conceptual. Desempeño aceptable; necesita mejorar precisión o metodología socrática.</t>
        </is>
      </c>
    </row>
    <row r="35">
      <c r="A35" t="n">
        <v>370</v>
      </c>
      <c r="B35" t="n">
        <v>124</v>
      </c>
      <c r="C35" t="n">
        <v>1</v>
      </c>
      <c r="D35" t="n">
        <v>1</v>
      </c>
      <c r="E35" t="inlineStr">
        <is>
          <t>Todas las resistencias</t>
        </is>
      </c>
      <c r="F35" t="inlineStr">
        <is>
          <t>¿Cuáles son los componentes de la red que no forman parte del camino de corriente entre N2 y tierra en el netlist?</t>
        </is>
      </c>
      <c r="G35" t="n">
        <v>3</v>
      </c>
      <c r="H35" t="n">
        <v>3</v>
      </c>
      <c r="I35" t="n">
        <v>2</v>
      </c>
      <c r="J35" t="n">
        <v>5</v>
      </c>
      <c r="K35" t="n">
        <v>13</v>
      </c>
      <c r="L35" t="n">
        <v>1.025</v>
      </c>
      <c r="M35" t="n">
        <v>34</v>
      </c>
      <c r="N35" t="n">
        <v>58.56</v>
      </c>
      <c r="O35" t="inlineStr">
        <is>
          <t>AC9</t>
        </is>
      </c>
      <c r="P35" t="inlineStr">
        <is>
          <t>AC1, AC9</t>
        </is>
      </c>
      <c r="Q35" t="n">
        <v>0.5</v>
      </c>
      <c r="R35" t="n">
        <v>1</v>
      </c>
      <c r="S35" t="n">
        <v>0.667</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371</v>
      </c>
      <c r="B36" t="n">
        <v>124</v>
      </c>
      <c r="C36" t="n">
        <v>2</v>
      </c>
      <c r="D36" t="n">
        <v>1</v>
      </c>
      <c r="E36" t="inlineStr">
        <is>
          <t>R1 y R2</t>
        </is>
      </c>
      <c r="F36" t="inlineStr">
        <is>
          <t>¿Cuál es el efecto de conectar una resistencia paralela a las dos resistencias en serie R1 y R2, si se conoce su valor nominal de 4 ohms?</t>
        </is>
      </c>
      <c r="G36" t="n">
        <v>3</v>
      </c>
      <c r="H36" t="n">
        <v>3</v>
      </c>
      <c r="I36" t="n">
        <v>2</v>
      </c>
      <c r="J36" t="n">
        <v>5</v>
      </c>
      <c r="K36" t="n">
        <v>13</v>
      </c>
      <c r="L36" t="n">
        <v>1.326</v>
      </c>
      <c r="M36" t="n">
        <v>42</v>
      </c>
      <c r="N36" t="n">
        <v>45.23</v>
      </c>
      <c r="O36" t="inlineStr">
        <is>
          <t>AC9</t>
        </is>
      </c>
      <c r="P36" t="inlineStr">
        <is>
          <t>AC9</t>
        </is>
      </c>
      <c r="Q36" t="n">
        <v>1</v>
      </c>
      <c r="R36" t="n">
        <v>1</v>
      </c>
      <c r="S36" t="n">
        <v>1</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372</v>
      </c>
      <c r="B37" t="n">
        <v>124</v>
      </c>
      <c r="C37" t="n">
        <v>3</v>
      </c>
      <c r="D37" t="n">
        <v>1</v>
      </c>
      <c r="E37" t="inlineStr">
        <is>
          <t>R1, R2 y R4</t>
        </is>
      </c>
      <c r="F37" t="inlineStr">
        <is>
          <t>¿Qué pasaría si se desconectara R4 de la red mientras mantuviera constantes las condiciones iniciales, ¿y cómo afectaría eso a las medidas de voltaje y corriente que toma el interruptor?</t>
        </is>
      </c>
      <c r="G37" t="n">
        <v>3</v>
      </c>
      <c r="H37" t="n">
        <v>4</v>
      </c>
      <c r="I37" t="n">
        <v>2</v>
      </c>
      <c r="J37" t="n">
        <v>5</v>
      </c>
      <c r="K37" t="n">
        <v>14</v>
      </c>
      <c r="L37" t="n">
        <v>1.11</v>
      </c>
      <c r="M37" t="n">
        <v>50</v>
      </c>
      <c r="N37" t="n">
        <v>54.08</v>
      </c>
      <c r="O37" t="inlineStr"/>
      <c r="P37" t="inlineStr">
        <is>
          <t>AC1</t>
        </is>
      </c>
      <c r="Q37" t="n">
        <v>0</v>
      </c>
      <c r="R37" t="n">
        <v>1</v>
      </c>
      <c r="S37" t="n">
        <v>0</v>
      </c>
      <c r="T37" t="inlineStr"/>
      <c r="U37" t="inlineStr"/>
      <c r="V37" t="inlineStr"/>
      <c r="W3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8">
      <c r="A38" t="n">
        <v>373</v>
      </c>
      <c r="B38" t="n">
        <v>125</v>
      </c>
      <c r="C38" t="n">
        <v>1</v>
      </c>
      <c r="D38" t="n">
        <v>1</v>
      </c>
      <c r="E38" t="inlineStr">
        <is>
          <t>R1, R2, R4 y R5</t>
        </is>
      </c>
      <c r="F38" t="inlineStr">
        <is>
          <t>¿Al considerar el camino global desde V1 hasta tierra, ¿cómo evalúas las posibles contribuciones de R3 y R5 a la diferencia de potencial entre N2 y 0?</t>
        </is>
      </c>
      <c r="G38" t="n">
        <v>3</v>
      </c>
      <c r="H38" t="n">
        <v>3</v>
      </c>
      <c r="I38" t="n">
        <v>3</v>
      </c>
      <c r="J38" t="n">
        <v>5</v>
      </c>
      <c r="K38" t="n">
        <v>14</v>
      </c>
      <c r="L38" t="n">
        <v>1.037</v>
      </c>
      <c r="M38" t="n">
        <v>45</v>
      </c>
      <c r="N38" t="n">
        <v>57.84</v>
      </c>
      <c r="O38" t="inlineStr">
        <is>
          <t>AC6</t>
        </is>
      </c>
      <c r="P38" t="inlineStr">
        <is>
          <t>AC1, AC9</t>
        </is>
      </c>
      <c r="Q38" t="n">
        <v>0</v>
      </c>
      <c r="R38" t="n">
        <v>0</v>
      </c>
      <c r="S38" t="n">
        <v>0</v>
      </c>
      <c r="T38" t="inlineStr"/>
      <c r="U38" t="inlineStr"/>
      <c r="V38" t="inlineStr"/>
      <c r="W3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9">
      <c r="A39" t="n">
        <v>374</v>
      </c>
      <c r="B39" t="n">
        <v>125</v>
      </c>
      <c r="C39" t="n">
        <v>2</v>
      </c>
      <c r="D39" t="n">
        <v>1</v>
      </c>
      <c r="E39" t="inlineStr">
        <is>
          <t>R1, R2, R3 y R4</t>
        </is>
      </c>
      <c r="F39" t="inlineStr">
        <is>
          <t>¿Cuál sería el efecto en la diferencia de potencial entre N1 y tierra si R3 fuera un cortocircuito?</t>
        </is>
      </c>
      <c r="G39" t="n">
        <v>3</v>
      </c>
      <c r="H39" t="n">
        <v>3</v>
      </c>
      <c r="I39" t="n">
        <v>3</v>
      </c>
      <c r="J39" t="n">
        <v>5</v>
      </c>
      <c r="K39" t="n">
        <v>14</v>
      </c>
      <c r="L39" t="n">
        <v>0.912</v>
      </c>
      <c r="M39" t="n">
        <v>31</v>
      </c>
      <c r="N39" t="n">
        <v>65.81999999999999</v>
      </c>
      <c r="O39" t="inlineStr">
        <is>
          <t>AC1</t>
        </is>
      </c>
      <c r="P39" t="inlineStr">
        <is>
          <t>AC6, AC9</t>
        </is>
      </c>
      <c r="Q39" t="n">
        <v>0</v>
      </c>
      <c r="R39" t="n">
        <v>0</v>
      </c>
      <c r="S39" t="n">
        <v>0</v>
      </c>
      <c r="T39" t="inlineStr"/>
      <c r="U39" t="inlineStr"/>
      <c r="V39" t="inlineStr"/>
      <c r="W3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0">
      <c r="A40" t="n">
        <v>375</v>
      </c>
      <c r="B40" t="n">
        <v>125</v>
      </c>
      <c r="C40" t="n">
        <v>3</v>
      </c>
      <c r="D40" t="n">
        <v>1</v>
      </c>
      <c r="E40" t="inlineStr">
        <is>
          <t>R1 y R2 y R4 hacen un divisor de corriente</t>
        </is>
      </c>
      <c r="F40" t="inlineStr">
        <is>
          <t>¿Cómo afectaría el hecho de que los resistores R1, R2 y R4 formen un divisor de corriente a la relación entre la diferencia de potencial entre N1 y tierra y V1?</t>
        </is>
      </c>
      <c r="G40" t="n">
        <v>3</v>
      </c>
      <c r="H40" t="n">
        <v>3</v>
      </c>
      <c r="I40" t="n">
        <v>5</v>
      </c>
      <c r="J40" t="n">
        <v>5</v>
      </c>
      <c r="K40" t="n">
        <v>16</v>
      </c>
      <c r="L40" t="n">
        <v>1.006</v>
      </c>
      <c r="M40" t="n">
        <v>47</v>
      </c>
      <c r="N40" t="n">
        <v>59.65</v>
      </c>
      <c r="O40" t="inlineStr"/>
      <c r="P40" t="inlineStr">
        <is>
          <t>AC1, AC9</t>
        </is>
      </c>
      <c r="Q40" t="n">
        <v>0</v>
      </c>
      <c r="R40" t="n">
        <v>1</v>
      </c>
      <c r="S40" t="n">
        <v>0</v>
      </c>
      <c r="T40" t="inlineStr"/>
      <c r="U40" t="inlineStr"/>
      <c r="V40" t="inlineStr"/>
      <c r="W4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1">
      <c r="A41" t="n">
        <v>376</v>
      </c>
      <c r="B41" t="n">
        <v>126</v>
      </c>
      <c r="C41" t="n">
        <v>1</v>
      </c>
      <c r="D41" t="n">
        <v>1</v>
      </c>
      <c r="E41" t="inlineStr">
        <is>
          <t>R1 y R2 y R4 hacen un divisor de tensión, r3 no cuenta por estar en corto</t>
        </is>
      </c>
      <c r="F41" t="inlineStr">
        <is>
          <t>¿Qué sucede con las resistencias R1, R2 y R4 si se elimina un componente que permite que la corriente fluya libremente desde N2 hasta tierra?</t>
        </is>
      </c>
      <c r="G41" t="n">
        <v>4</v>
      </c>
      <c r="H41" t="n">
        <v>3</v>
      </c>
      <c r="I41" t="n">
        <v>4</v>
      </c>
      <c r="J41" t="n">
        <v>5</v>
      </c>
      <c r="K41" t="n">
        <v>16</v>
      </c>
      <c r="L41" t="n">
        <v>0.997</v>
      </c>
      <c r="M41" t="n">
        <v>41</v>
      </c>
      <c r="N41" t="n">
        <v>60.17</v>
      </c>
      <c r="O41" t="inlineStr">
        <is>
          <t>AC1</t>
        </is>
      </c>
      <c r="P41" t="inlineStr">
        <is>
          <t>AC1, AC9</t>
        </is>
      </c>
      <c r="Q41" t="n">
        <v>0.5</v>
      </c>
      <c r="R41" t="n">
        <v>1</v>
      </c>
      <c r="S41" t="n">
        <v>0.667</v>
      </c>
      <c r="T41" t="inlineStr"/>
      <c r="U41" t="inlineStr"/>
      <c r="V41" t="inlineStr"/>
      <c r="W41"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42">
      <c r="A42" t="n">
        <v>377</v>
      </c>
      <c r="B42" t="n">
        <v>126</v>
      </c>
      <c r="C42" t="n">
        <v>2</v>
      </c>
      <c r="D42" t="n">
        <v>1</v>
      </c>
      <c r="E42" t="inlineStr">
        <is>
          <t>No tengo en cuenta R3 porque el interruptor está cerrado</t>
        </is>
      </c>
      <c r="F42" t="inlineStr">
        <is>
          <t>¿Cuál es el resultado de tener un circuito con una carga que requiere una tensión más alta del divisor de tensión R1-R2-R4, y si se mantiene constante la tensión de N2 hasta tierra?</t>
        </is>
      </c>
      <c r="G42" t="n">
        <v>3</v>
      </c>
      <c r="H42" t="n">
        <v>2</v>
      </c>
      <c r="I42" t="n">
        <v>3</v>
      </c>
      <c r="J42" t="n">
        <v>5</v>
      </c>
      <c r="K42" t="n">
        <v>13</v>
      </c>
      <c r="L42" t="n">
        <v>1.146</v>
      </c>
      <c r="M42" t="n">
        <v>53</v>
      </c>
      <c r="N42" t="n">
        <v>52.35</v>
      </c>
      <c r="O42" t="inlineStr">
        <is>
          <t>AC1, AC9</t>
        </is>
      </c>
      <c r="P42" t="inlineStr">
        <is>
          <t>AC9</t>
        </is>
      </c>
      <c r="Q42" t="n">
        <v>1</v>
      </c>
      <c r="R42" t="n">
        <v>0.5</v>
      </c>
      <c r="S42" t="n">
        <v>0.667</v>
      </c>
      <c r="T42" t="inlineStr"/>
      <c r="U42" t="inlineStr"/>
      <c r="V42" t="inlineStr"/>
      <c r="W4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3">
      <c r="A43" t="n">
        <v>378</v>
      </c>
      <c r="B43" t="n">
        <v>126</v>
      </c>
      <c r="C43" t="n">
        <v>3</v>
      </c>
      <c r="D43" t="n">
        <v>1</v>
      </c>
      <c r="E43" t="inlineStr">
        <is>
          <t>No tengo en cuenta R5 porque está en circuito abierto</t>
        </is>
      </c>
      <c r="F43" t="inlineStr">
        <is>
          <t>¿Cuál es el efecto de tener una resistencia R5 que podría completar un circuito alternativo desde N1 hasta tierra, alterando el comportamiento del divisor de tensión R1-R2-R4?</t>
        </is>
      </c>
      <c r="G43" t="n">
        <v>3</v>
      </c>
      <c r="H43" t="n">
        <v>3</v>
      </c>
      <c r="I43" t="n">
        <v>5</v>
      </c>
      <c r="J43" t="n">
        <v>5</v>
      </c>
      <c r="K43" t="n">
        <v>16</v>
      </c>
      <c r="L43" t="n">
        <v>1.369</v>
      </c>
      <c r="M43" t="n">
        <v>48</v>
      </c>
      <c r="N43" t="n">
        <v>43.81</v>
      </c>
      <c r="O43" t="inlineStr">
        <is>
          <t>AC6, AC9</t>
        </is>
      </c>
      <c r="P43" t="inlineStr">
        <is>
          <t>AC9</t>
        </is>
      </c>
      <c r="Q43" t="n">
        <v>1</v>
      </c>
      <c r="R43" t="n">
        <v>0.5</v>
      </c>
      <c r="S43" t="n">
        <v>0.667</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253</v>
      </c>
      <c r="B2" t="n">
        <v>85</v>
      </c>
      <c r="C2" t="n">
        <v>1</v>
      </c>
      <c r="D2" t="n">
        <v>1</v>
      </c>
      <c r="E2" t="inlineStr">
        <is>
          <t>R1 y R2 dado que las dos resistencia forman un divisor de tensión</t>
        </is>
      </c>
      <c r="F2" t="inlineStr">
        <is>
          <t>¿Puedes confirmar si el camino del circuito para corriente desde N2 hasta tierra incluye o excluye R1, R2 y R4? ¿Y cómo influiría un interruptor abierto entre los nudos N2 y N3 en su contribución al voltaje a nivel de N2?</t>
        </is>
      </c>
      <c r="G2" t="n">
        <v>3</v>
      </c>
      <c r="H2" t="n">
        <v>3</v>
      </c>
      <c r="I2" t="n">
        <v>5</v>
      </c>
      <c r="J2" t="n">
        <v>5</v>
      </c>
      <c r="K2" t="n">
        <v>16</v>
      </c>
      <c r="L2" t="n">
        <v>31.707</v>
      </c>
      <c r="M2" t="n">
        <v>61</v>
      </c>
      <c r="N2" t="n">
        <v>1.89</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254</v>
      </c>
      <c r="B3" t="n">
        <v>85</v>
      </c>
      <c r="C3" t="n">
        <v>2</v>
      </c>
      <c r="D3" t="n">
        <v>1</v>
      </c>
      <c r="E3" t="inlineStr">
        <is>
          <t>R1 y R2 dado que se pide la tensión en R2</t>
        </is>
      </c>
      <c r="F3" t="inlineStr">
        <is>
          <t>¿El circuito incluye otros componentes o caminos paralelos, como R3 o R4, que podrían afectar el flujo de corriente y por lo tanto la tensión medida a través de R2?</t>
        </is>
      </c>
      <c r="G3" t="n">
        <v>3</v>
      </c>
      <c r="H3" t="n">
        <v>3</v>
      </c>
      <c r="I3" t="n">
        <v>4</v>
      </c>
      <c r="J3" t="n">
        <v>5</v>
      </c>
      <c r="K3" t="n">
        <v>15</v>
      </c>
      <c r="L3" t="n">
        <v>0.635</v>
      </c>
      <c r="M3" t="n">
        <v>39</v>
      </c>
      <c r="N3" t="n">
        <v>94.52</v>
      </c>
      <c r="O3" t="inlineStr">
        <is>
          <t>AC9</t>
        </is>
      </c>
      <c r="P3" t="inlineStr">
        <is>
          <t>AC1, AC9</t>
        </is>
      </c>
      <c r="Q3" t="n">
        <v>0.5</v>
      </c>
      <c r="R3" t="n">
        <v>1</v>
      </c>
      <c r="S3" t="n">
        <v>0.667</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255</v>
      </c>
      <c r="B4" t="n">
        <v>85</v>
      </c>
      <c r="C4" t="n">
        <v>3</v>
      </c>
      <c r="D4" t="n">
        <v>1</v>
      </c>
      <c r="E4" t="inlineStr">
        <is>
          <t>R1 y R2 por identificar un divisor de tensión</t>
        </is>
      </c>
      <c r="F4" t="inlineStr">
        <is>
          <t>¿El circuito es serie o paralelo, y cómo afecta esto a la distribución del voltaje entre las resistencias R1 y R2?</t>
        </is>
      </c>
      <c r="G4" t="n">
        <v>3</v>
      </c>
      <c r="H4" t="n">
        <v>3</v>
      </c>
      <c r="I4" t="n">
        <v>5</v>
      </c>
      <c r="J4" t="n">
        <v>5</v>
      </c>
      <c r="K4" t="n">
        <v>16</v>
      </c>
      <c r="L4" t="n">
        <v>0.592</v>
      </c>
      <c r="M4" t="n">
        <v>29</v>
      </c>
      <c r="N4" t="n">
        <v>101.34</v>
      </c>
      <c r="O4" t="inlineStr">
        <is>
          <t>AC9</t>
        </is>
      </c>
      <c r="P4" t="inlineStr">
        <is>
          <t>AC9</t>
        </is>
      </c>
      <c r="Q4" t="n">
        <v>1</v>
      </c>
      <c r="R4" t="n">
        <v>1</v>
      </c>
      <c r="S4" t="n">
        <v>1</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256</v>
      </c>
      <c r="B5" t="n">
        <v>86</v>
      </c>
      <c r="C5" t="n">
        <v>1</v>
      </c>
      <c r="D5" t="n">
        <v>1</v>
      </c>
      <c r="E5" t="inlineStr">
        <is>
          <t>R1 y R2 hacen un divisor de tensión</t>
        </is>
      </c>
      <c r="F5" t="inlineStr">
        <is>
          <t>¿Puedes confirmar si el camino del nudo N4 a tierra está completamente aislado o contiene alguna resistencia, y cómo esto podría afectar el flujo de corriente desde N2 hasta el punto base?</t>
        </is>
      </c>
      <c r="G5" t="n">
        <v>3</v>
      </c>
      <c r="H5" t="n">
        <v>3</v>
      </c>
      <c r="I5" t="n">
        <v>3</v>
      </c>
      <c r="J5" t="n">
        <v>5</v>
      </c>
      <c r="K5" t="n">
        <v>14</v>
      </c>
      <c r="L5" t="n">
        <v>0.6850000000000001</v>
      </c>
      <c r="M5" t="n">
        <v>40</v>
      </c>
      <c r="N5" t="n">
        <v>87.55</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257</v>
      </c>
      <c r="B6" t="n">
        <v>86</v>
      </c>
      <c r="C6" t="n">
        <v>2</v>
      </c>
      <c r="D6" t="n">
        <v>1</v>
      </c>
      <c r="E6" t="inlineStr">
        <is>
          <t>R1, R2, R3 y R4 porque R5 está cortocircuitada</t>
        </is>
      </c>
      <c r="F6" t="inlineStr">
        <is>
          <t>¿El estado de Kondoerción del interruptor se considera un camino abierto o cerrado para el flujo de corriente, y cómo afecta esto a las corrientes percibidas por R1, R2, R3 y R4?</t>
        </is>
      </c>
      <c r="G6" t="n">
        <v>3</v>
      </c>
      <c r="H6" t="n">
        <v>4</v>
      </c>
      <c r="I6" t="n">
        <v>4</v>
      </c>
      <c r="J6" t="n">
        <v>5</v>
      </c>
      <c r="K6" t="n">
        <v>16</v>
      </c>
      <c r="L6" t="n">
        <v>0.647</v>
      </c>
      <c r="M6" t="n">
        <v>49</v>
      </c>
      <c r="N6" t="n">
        <v>92.79000000000001</v>
      </c>
      <c r="O6" t="inlineStr">
        <is>
          <t>AC1, AC6</t>
        </is>
      </c>
      <c r="P6" t="inlineStr">
        <is>
          <t>AC1, AC9</t>
        </is>
      </c>
      <c r="Q6" t="n">
        <v>0.5</v>
      </c>
      <c r="R6" t="n">
        <v>0.5</v>
      </c>
      <c r="S6" t="n">
        <v>0.5</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258</v>
      </c>
      <c r="B7" t="n">
        <v>86</v>
      </c>
      <c r="C7" t="n">
        <v>3</v>
      </c>
      <c r="D7" t="n">
        <v>1</v>
      </c>
      <c r="E7" t="inlineStr">
        <is>
          <t>R1, R2, R3 y R4 porque por R5 no circula corriente</t>
        </is>
      </c>
      <c r="F7" t="inlineStr">
        <is>
          <t>Si el interruptor de R5 está cortocircuitado, ¿por qué aún sería relevante considerar su presencia cuando determinamos los caminos para las corrientes a través de R1, R2, R3 y R4?</t>
        </is>
      </c>
      <c r="G7" t="n">
        <v>3</v>
      </c>
      <c r="H7" t="n">
        <v>4</v>
      </c>
      <c r="I7" t="n">
        <v>5</v>
      </c>
      <c r="J7" t="n">
        <v>5</v>
      </c>
      <c r="K7" t="n">
        <v>17</v>
      </c>
      <c r="L7" t="n">
        <v>0.67</v>
      </c>
      <c r="M7" t="n">
        <v>47</v>
      </c>
      <c r="N7" t="n">
        <v>89.48999999999999</v>
      </c>
      <c r="O7" t="inlineStr">
        <is>
          <t>AC1, AC6</t>
        </is>
      </c>
      <c r="P7" t="inlineStr">
        <is>
          <t>AC1, AC9</t>
        </is>
      </c>
      <c r="Q7" t="n">
        <v>0.5</v>
      </c>
      <c r="R7" t="n">
        <v>0.5</v>
      </c>
      <c r="S7" t="n">
        <v>0.5</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8">
      <c r="A8" t="n">
        <v>259</v>
      </c>
      <c r="B8" t="n">
        <v>87</v>
      </c>
      <c r="C8" t="n">
        <v>1</v>
      </c>
      <c r="D8" t="n">
        <v>1</v>
      </c>
      <c r="E8" t="inlineStr">
        <is>
          <t>R1, R2, R3 y R4 porque R5 se quita</t>
        </is>
      </c>
      <c r="F8" t="inlineStr">
        <is>
          <t>¿Podría el alumno explicar cómo las características del circuito abierto e interruptor afectan la corriente a través de R3 y si hay algún componente cuyos terminales estén conectados directamente, eliminando efectivamente su influencia en el voltaje entre N2 y 0?</t>
        </is>
      </c>
      <c r="G8" t="n">
        <v>3</v>
      </c>
      <c r="H8" t="n">
        <v>4</v>
      </c>
      <c r="I8" t="n">
        <v>3</v>
      </c>
      <c r="J8" t="n">
        <v>5</v>
      </c>
      <c r="K8" t="n">
        <v>15</v>
      </c>
      <c r="L8" t="n">
        <v>0.716</v>
      </c>
      <c r="M8" t="n">
        <v>54</v>
      </c>
      <c r="N8" t="n">
        <v>83.78</v>
      </c>
      <c r="O8" t="inlineStr">
        <is>
          <t>AC1, AC6</t>
        </is>
      </c>
      <c r="P8" t="inlineStr">
        <is>
          <t>AC1, AC6, AC9</t>
        </is>
      </c>
      <c r="Q8" t="n">
        <v>0.667</v>
      </c>
      <c r="R8" t="n">
        <v>1</v>
      </c>
      <c r="S8" t="n">
        <v>0.8</v>
      </c>
      <c r="T8" t="inlineStr"/>
      <c r="U8" t="inlineStr"/>
      <c r="V8" t="inlineStr"/>
      <c r="W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9">
      <c r="A9" t="n">
        <v>260</v>
      </c>
      <c r="B9" t="n">
        <v>87</v>
      </c>
      <c r="C9" t="n">
        <v>2</v>
      </c>
      <c r="D9" t="n">
        <v>1</v>
      </c>
      <c r="E9" t="inlineStr">
        <is>
          <t>R1, R3 y R4 porque R2 está en paralelo con la fuente y R5 corctocircuitada</t>
        </is>
      </c>
      <c r="F9" t="inlineStr">
        <is>
          <t>¿El alumno podría contemplar el impacto de un cortocircuito en la corriente total del circuito y determinar si esto afecta las razones por las cuales R1, R3 y R4 llevan corrientes? Escribe su reflexión sobre cómo los principios de superposición se aplicarían al análisis del voltaje entre N2 y 0.</t>
        </is>
      </c>
      <c r="G9" t="n">
        <v>1</v>
      </c>
      <c r="H9" t="n">
        <v>4</v>
      </c>
      <c r="I9" t="n">
        <v>4</v>
      </c>
      <c r="J9" t="n">
        <v>5</v>
      </c>
      <c r="K9" t="n">
        <v>14</v>
      </c>
      <c r="L9" t="n">
        <v>0.762</v>
      </c>
      <c r="M9" t="n">
        <v>69</v>
      </c>
      <c r="N9" t="n">
        <v>78.69</v>
      </c>
      <c r="O9" t="inlineStr">
        <is>
          <t>AC1, AC6</t>
        </is>
      </c>
      <c r="P9" t="inlineStr">
        <is>
          <t>AC1, AC6, AC9</t>
        </is>
      </c>
      <c r="Q9" t="n">
        <v>0.667</v>
      </c>
      <c r="R9" t="n">
        <v>1</v>
      </c>
      <c r="S9" t="n">
        <v>0.8</v>
      </c>
      <c r="T9" t="inlineStr"/>
      <c r="U9" t="inlineStr"/>
      <c r="V9" t="inlineStr"/>
      <c r="W9" t="inlineStr">
        <is>
          <t>Socraticidad 1/5 (Instructivo): No termina en pregunta; el tutor es instructivo. Precisión Conceptual 4/5 (Bueno): Bueno: identifica claramente la concepción alternativa con lenguaje técnico preciso. Buen desempeño general; hay margen de mejora en profundidad socrática.</t>
        </is>
      </c>
    </row>
    <row r="10">
      <c r="A10" t="n">
        <v>261</v>
      </c>
      <c r="B10" t="n">
        <v>87</v>
      </c>
      <c r="C10" t="n">
        <v>3</v>
      </c>
      <c r="D10" t="n">
        <v>1</v>
      </c>
      <c r="E10" t="inlineStr">
        <is>
          <t>R1, R4 y R5 porque R2 se elimina y R3 también</t>
        </is>
      </c>
      <c r="F10" t="inlineStr">
        <is>
          <t>¿Debería el alumno reevaluar el efecto de un componente paralelo con la fuente sobre las corrientes a través de los demás componentes y considerar si su estado 'activo' o 'cortocircuitado' podría haber influido incorrectamente sus hallazgos al aplicar principios como superposición?</t>
        </is>
      </c>
      <c r="G10" t="n">
        <v>3</v>
      </c>
      <c r="H10" t="n">
        <v>3</v>
      </c>
      <c r="I10" t="n">
        <v>3</v>
      </c>
      <c r="J10" t="n">
        <v>5</v>
      </c>
      <c r="K10" t="n">
        <v>14</v>
      </c>
      <c r="L10" t="n">
        <v>0.769</v>
      </c>
      <c r="M10" t="n">
        <v>62</v>
      </c>
      <c r="N10" t="n">
        <v>78.02</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262</v>
      </c>
      <c r="B11" t="n">
        <v>88</v>
      </c>
      <c r="C11" t="n">
        <v>1</v>
      </c>
      <c r="D11" t="n">
        <v>1</v>
      </c>
      <c r="E11" t="inlineStr">
        <is>
          <t>R1 y R4 dado que R2 está en paralelo con la fuente, R3 en circuito abierto y R5 cortocircuitada</t>
        </is>
      </c>
      <c r="F11" t="inlineStr">
        <is>
          <t>¿Puedes explicar por qué el estado del interruptor entre N2 y N3 influiría en las contribuciones de R1, R2 y R4 a la diferencia potencial con respecto al circuito abierto o cortocircuito?</t>
        </is>
      </c>
      <c r="G11" t="n">
        <v>3</v>
      </c>
      <c r="H11" t="n">
        <v>5</v>
      </c>
      <c r="I11" t="n">
        <v>4</v>
      </c>
      <c r="J11" t="n">
        <v>5</v>
      </c>
      <c r="K11" t="n">
        <v>17</v>
      </c>
      <c r="L11" t="n">
        <v>1.031</v>
      </c>
      <c r="M11" t="n">
        <v>48</v>
      </c>
      <c r="N11" t="n">
        <v>58.17</v>
      </c>
      <c r="O11" t="inlineStr">
        <is>
          <t>AC1, AC6</t>
        </is>
      </c>
      <c r="P11" t="inlineStr">
        <is>
          <t>AC1, AC6, AC9</t>
        </is>
      </c>
      <c r="Q11" t="n">
        <v>0.667</v>
      </c>
      <c r="R11" t="n">
        <v>1</v>
      </c>
      <c r="S11" t="n">
        <v>0.8</v>
      </c>
      <c r="T11" t="inlineStr"/>
      <c r="U11" t="inlineStr"/>
      <c r="V11" t="inlineStr"/>
      <c r="W11" t="inlineStr">
        <is>
          <t>Socraticidad 3/5 (Clarificación): Clarificación: pide que el alumno explique su razonamiento. Precisión Conceptual 5/5 (Excelente): Excelente: identifica la concepción alternativa específica y la conecta con la topología del circuito. Tutor de alto rendimiento: guía socrática experta con diagnóstico preciso.</t>
        </is>
      </c>
    </row>
    <row r="12">
      <c r="A12" t="n">
        <v>263</v>
      </c>
      <c r="B12" t="n">
        <v>88</v>
      </c>
      <c r="C12" t="n">
        <v>2</v>
      </c>
      <c r="D12" t="n">
        <v>1</v>
      </c>
      <c r="E12" t="inlineStr">
        <is>
          <t>R1, R2 y R3 dado que R2 y R3 están en paralelo y forman un divisor de tensión con R1</t>
        </is>
      </c>
      <c r="F12" t="inlineStr">
        <is>
          <t>¿Cómo afectaría el cierre del interruptor N2 a la distribución de voltaje entre los resistores paralelos R2 y R3, considerando su relación con el resistor paralelo R1?</t>
        </is>
      </c>
      <c r="G12" t="n">
        <v>3</v>
      </c>
      <c r="H12" t="n">
        <v>4</v>
      </c>
      <c r="I12" t="n">
        <v>5</v>
      </c>
      <c r="J12" t="n">
        <v>5</v>
      </c>
      <c r="K12" t="n">
        <v>17</v>
      </c>
      <c r="L12" t="n">
        <v>0.609</v>
      </c>
      <c r="M12" t="n">
        <v>40</v>
      </c>
      <c r="N12" t="n">
        <v>98.48</v>
      </c>
      <c r="O12" t="inlineStr">
        <is>
          <t>AC1, AC9</t>
        </is>
      </c>
      <c r="P12" t="inlineStr">
        <is>
          <t>AC1</t>
        </is>
      </c>
      <c r="Q12" t="n">
        <v>1</v>
      </c>
      <c r="R12" t="n">
        <v>0.5</v>
      </c>
      <c r="S12" t="n">
        <v>0.667</v>
      </c>
      <c r="T12" t="inlineStr"/>
      <c r="U12" t="inlineStr"/>
      <c r="V12" t="inlineStr"/>
      <c r="W12"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13">
      <c r="A13" t="n">
        <v>264</v>
      </c>
      <c r="B13" t="n">
        <v>88</v>
      </c>
      <c r="C13" t="n">
        <v>3</v>
      </c>
      <c r="D13" t="n">
        <v>1</v>
      </c>
      <c r="E13" t="inlineStr">
        <is>
          <t>R1, R2, R4 y R5 dado que R3 está en circuito abierto</t>
        </is>
      </c>
      <c r="F13" t="inlineStr">
        <is>
          <t>¿Cómo impactaría el abrir del interruptor N1 sobre las contribuciones de los resistores R4 y R5, dados sus estados iniciales con respecto a R3 en circuito abierto?</t>
        </is>
      </c>
      <c r="G13" t="n">
        <v>3</v>
      </c>
      <c r="H13" t="n">
        <v>3</v>
      </c>
      <c r="I13" t="n">
        <v>4</v>
      </c>
      <c r="J13" t="n">
        <v>5</v>
      </c>
      <c r="K13" t="n">
        <v>15</v>
      </c>
      <c r="L13" t="n">
        <v>0.598</v>
      </c>
      <c r="M13" t="n">
        <v>40</v>
      </c>
      <c r="N13" t="n">
        <v>100.32</v>
      </c>
      <c r="O13" t="inlineStr">
        <is>
          <t>AC1, AC6</t>
        </is>
      </c>
      <c r="P13" t="inlineStr">
        <is>
          <t>AC1</t>
        </is>
      </c>
      <c r="Q13" t="n">
        <v>1</v>
      </c>
      <c r="R13" t="n">
        <v>0.5</v>
      </c>
      <c r="S13" t="n">
        <v>0.667</v>
      </c>
      <c r="T13" t="inlineStr"/>
      <c r="U13" t="inlineStr"/>
      <c r="V13" t="inlineStr"/>
      <c r="W1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4">
      <c r="A14" t="n">
        <v>265</v>
      </c>
      <c r="B14" t="n">
        <v>89</v>
      </c>
      <c r="C14" t="n">
        <v>1</v>
      </c>
      <c r="D14" t="n">
        <v>1</v>
      </c>
      <c r="E14" t="inlineStr">
        <is>
          <t>R1, R2, R4 y R5 dado que R3 sobra</t>
        </is>
      </c>
      <c r="F14" t="inlineStr">
        <is>
          <t>¿Puedes confirmar si ciertos componentes están efectivamente conectados a través del resto del circuito, o es posible que algunos estén desactivados y no contribuyan al flujo total de corriente? ¿Incluye R5 todas las resistencias relevantes considerando su conexión con N2 y N3?</t>
        </is>
      </c>
      <c r="G14" t="n">
        <v>3</v>
      </c>
      <c r="H14" t="n">
        <v>3</v>
      </c>
      <c r="I14" t="n">
        <v>3</v>
      </c>
      <c r="J14" t="n">
        <v>5</v>
      </c>
      <c r="K14" t="n">
        <v>14</v>
      </c>
      <c r="L14" t="n">
        <v>1.145</v>
      </c>
      <c r="M14" t="n">
        <v>58</v>
      </c>
      <c r="N14" t="n">
        <v>52.4</v>
      </c>
      <c r="O14" t="inlineStr">
        <is>
          <t>AC1, AC6</t>
        </is>
      </c>
      <c r="P14" t="inlineStr">
        <is>
          <t>AC1, AC6, AC9</t>
        </is>
      </c>
      <c r="Q14" t="n">
        <v>0.667</v>
      </c>
      <c r="R14" t="n">
        <v>1</v>
      </c>
      <c r="S14" t="n">
        <v>0.8</v>
      </c>
      <c r="T14" t="inlineStr"/>
      <c r="U14" t="inlineStr"/>
      <c r="V14" t="inlineStr"/>
      <c r="W1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5">
      <c r="A15" t="n">
        <v>266</v>
      </c>
      <c r="B15" t="n">
        <v>89</v>
      </c>
      <c r="C15" t="n">
        <v>2</v>
      </c>
      <c r="D15" t="n">
        <v>1</v>
      </c>
      <c r="E15" t="inlineStr">
        <is>
          <t>R1, R2, R4 y R5 dado que R3 no hace nada</t>
        </is>
      </c>
      <c r="F15" t="inlineStr">
        <is>
          <t>¿Consideras que el rol de R3 es únicamente pasivo ante ciertas condiciones del circuito, o podría estar configurado para evitar un cortocircuito bajo una configuración específica? ¿Cuáles son esas condiciones y cómo podrían afectar las contribuciones energéticas de la resistencia al esquema general?</t>
        </is>
      </c>
      <c r="G15" t="n">
        <v>3</v>
      </c>
      <c r="H15" t="n">
        <v>3</v>
      </c>
      <c r="I15" t="n">
        <v>3</v>
      </c>
      <c r="J15" t="n">
        <v>5</v>
      </c>
      <c r="K15" t="n">
        <v>14</v>
      </c>
      <c r="L15" t="n">
        <v>0.773</v>
      </c>
      <c r="M15" t="n">
        <v>59</v>
      </c>
      <c r="N15" t="n">
        <v>77.66</v>
      </c>
      <c r="O15" t="inlineStr">
        <is>
          <t>AC1, AC6</t>
        </is>
      </c>
      <c r="P15" t="inlineStr">
        <is>
          <t>AC6</t>
        </is>
      </c>
      <c r="Q15" t="n">
        <v>1</v>
      </c>
      <c r="R15" t="n">
        <v>0.5</v>
      </c>
      <c r="S15" t="n">
        <v>0.667</v>
      </c>
      <c r="T15" t="inlineStr"/>
      <c r="U15" t="inlineStr"/>
      <c r="V15" t="inlineStr"/>
      <c r="W1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6">
      <c r="A16" t="n">
        <v>267</v>
      </c>
      <c r="B16" t="n">
        <v>89</v>
      </c>
      <c r="C16" t="n">
        <v>3</v>
      </c>
      <c r="D16" t="n">
        <v>1</v>
      </c>
      <c r="E16" t="inlineStr">
        <is>
          <t>R1, R2 y R4 dado que son las resistencias que forman parte del circuito.</t>
        </is>
      </c>
      <c r="F16" t="inlineStr">
        <is>
          <t>¿Podemos confirmar si el propósito de R3 es proporcionar resistencia activa dentro del contexto actual, o se encuentra desactivado por una característica específica como un interruptor programable u otro componente controlando su estado (pasivo)? ?</t>
        </is>
      </c>
      <c r="G16" t="n">
        <v>3</v>
      </c>
      <c r="H16" t="n">
        <v>3</v>
      </c>
      <c r="I16" t="n">
        <v>3</v>
      </c>
      <c r="J16" t="n">
        <v>5</v>
      </c>
      <c r="K16" t="n">
        <v>14</v>
      </c>
      <c r="L16" t="n">
        <v>0.702</v>
      </c>
      <c r="M16" t="n">
        <v>48</v>
      </c>
      <c r="N16" t="n">
        <v>85.48999999999999</v>
      </c>
      <c r="O16" t="inlineStr"/>
      <c r="P16" t="inlineStr">
        <is>
          <t>AC1</t>
        </is>
      </c>
      <c r="Q16" t="n">
        <v>0</v>
      </c>
      <c r="R16" t="n">
        <v>1</v>
      </c>
      <c r="S16" t="n">
        <v>0</v>
      </c>
      <c r="T16" t="inlineStr"/>
      <c r="U16" t="inlineStr"/>
      <c r="V16" t="inlineStr"/>
      <c r="W1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7">
      <c r="A17" t="n">
        <v>268</v>
      </c>
      <c r="B17" t="n">
        <v>90</v>
      </c>
      <c r="C17" t="n">
        <v>1</v>
      </c>
      <c r="D17" t="n">
        <v>1</v>
      </c>
      <c r="E17" t="inlineStr">
        <is>
          <t>R1, R2 y R4 dado que R2 y R4 están en paralelo y forma un divisor de tensión con R1.</t>
        </is>
      </c>
      <c r="F17" t="inlineStr">
        <is>
          <t>¿Puedes describir el camino de corriente desde N2 hasta tierra, considerando las condiciones del interruptor y la presencia de cualquier posible cortocircuito? ¿Qué resistencias forman parte de este camino relevante para determinar la diferencia de potencial entre N2 y 0?</t>
        </is>
      </c>
      <c r="G17" t="n">
        <v>3</v>
      </c>
      <c r="H17" t="n">
        <v>4</v>
      </c>
      <c r="I17" t="n">
        <v>3</v>
      </c>
      <c r="J17" t="n">
        <v>5</v>
      </c>
      <c r="K17" t="n">
        <v>15</v>
      </c>
      <c r="L17" t="n">
        <v>0.841</v>
      </c>
      <c r="M17" t="n">
        <v>55</v>
      </c>
      <c r="N17" t="n">
        <v>71.34999999999999</v>
      </c>
      <c r="O17" t="inlineStr"/>
      <c r="P17" t="inlineStr">
        <is>
          <t>AC1, AC6, AC9</t>
        </is>
      </c>
      <c r="Q17" t="n">
        <v>0</v>
      </c>
      <c r="R17" t="n">
        <v>1</v>
      </c>
      <c r="S17" t="n">
        <v>0</v>
      </c>
      <c r="T17" t="inlineStr"/>
      <c r="U17" t="inlineStr"/>
      <c r="V17" t="inlineStr"/>
      <c r="W17" t="inlineStr">
        <is>
          <t>Socraticidad 3/5 (Clarificación): Clarificación: pide que el alumno explique su razonamiento. Precisión Conceptual 4/5 (Bueno): Bueno: identifica claramente la concepción alternativa con lenguaje técnico preciso. Buen desempeño general; hay margen de mejora en profundidad socrática.</t>
        </is>
      </c>
    </row>
    <row r="18">
      <c r="A18" t="n">
        <v>269</v>
      </c>
      <c r="B18" t="n">
        <v>90</v>
      </c>
      <c r="C18" t="n">
        <v>2</v>
      </c>
      <c r="D18" t="n">
        <v>1</v>
      </c>
      <c r="E18" t="inlineStr">
        <is>
          <t>R1, R2 y R4 dado que R3 está en abierto y R5 cortocircuitada</t>
        </is>
      </c>
      <c r="F18" t="inlineStr">
        <is>
          <t>¿Cómo afectan las condiciones del interruptor de R3 y el estado cortocircuitado de R5 a los caminos independientes para corriente, y cuáles son las consecuencias sobre la diferencia potencial entre N2 y tierra?</t>
        </is>
      </c>
      <c r="G18" t="n">
        <v>3</v>
      </c>
      <c r="H18" t="n">
        <v>4</v>
      </c>
      <c r="I18" t="n">
        <v>3</v>
      </c>
      <c r="J18" t="n">
        <v>5</v>
      </c>
      <c r="K18" t="n">
        <v>15</v>
      </c>
      <c r="L18" t="n">
        <v>0.766</v>
      </c>
      <c r="M18" t="n">
        <v>44</v>
      </c>
      <c r="N18" t="n">
        <v>78.36</v>
      </c>
      <c r="O18" t="inlineStr">
        <is>
          <t>AC1, AC6</t>
        </is>
      </c>
      <c r="P18" t="inlineStr">
        <is>
          <t>AC1, AC9</t>
        </is>
      </c>
      <c r="Q18" t="n">
        <v>0.5</v>
      </c>
      <c r="R18" t="n">
        <v>0.5</v>
      </c>
      <c r="S18" t="n">
        <v>0.5</v>
      </c>
      <c r="T18" t="inlineStr"/>
      <c r="U18" t="inlineStr"/>
      <c r="V18" t="inlineStr"/>
      <c r="W1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9">
      <c r="A19" t="n">
        <v>270</v>
      </c>
      <c r="B19" t="n">
        <v>90</v>
      </c>
      <c r="C19" t="n">
        <v>3</v>
      </c>
      <c r="D19" t="n">
        <v>1</v>
      </c>
      <c r="E19" t="inlineStr">
        <is>
          <t>R1, R2 y R4 dado que solo por estas resistencias circula una corriente diferente de cero</t>
        </is>
      </c>
      <c r="F19" t="inlineStr">
        <is>
          <t>¿La presencia del circuito paralelo formado por R1, R2 y R4 sugiere un camino único para la corriente o implica múltiples caminos con diferentes potenciales de voltaje?</t>
        </is>
      </c>
      <c r="G19" t="n">
        <v>3</v>
      </c>
      <c r="H19" t="n">
        <v>4</v>
      </c>
      <c r="I19" t="n">
        <v>5</v>
      </c>
      <c r="J19" t="n">
        <v>5</v>
      </c>
      <c r="K19" t="n">
        <v>17</v>
      </c>
      <c r="L19" t="n">
        <v>0.631</v>
      </c>
      <c r="M19" t="n">
        <v>38</v>
      </c>
      <c r="N19" t="n">
        <v>95.14</v>
      </c>
      <c r="O19" t="inlineStr"/>
      <c r="P19" t="inlineStr">
        <is>
          <t>AC1, AC9</t>
        </is>
      </c>
      <c r="Q19" t="n">
        <v>0</v>
      </c>
      <c r="R19" t="n">
        <v>1</v>
      </c>
      <c r="S19" t="n">
        <v>0</v>
      </c>
      <c r="T19" t="inlineStr"/>
      <c r="U19" t="inlineStr"/>
      <c r="V19" t="inlineStr"/>
      <c r="W19"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0">
      <c r="A20" t="n">
        <v>271</v>
      </c>
      <c r="B20" t="n">
        <v>91</v>
      </c>
      <c r="C20" t="n">
        <v>1</v>
      </c>
      <c r="D20" t="n">
        <v>1</v>
      </c>
      <c r="E20" t="inlineStr">
        <is>
          <t>R1, R2 y R4 dado que por R3 y por R5 no circula corriente</t>
        </is>
      </c>
      <c r="F20" t="inlineStr">
        <is>
          <t>¿Puedes confirmar si hay corrientes pasando a través de los interruptores, específicamente el interruptor entre N2 y N3, o se encuentra alguno conectado directamente? ¿Y cómo afectan estos estados a las resistencias R1, R2, R4, R3 y R5 con respecto al flujo de corriente en el circuito?</t>
        </is>
      </c>
      <c r="G20" t="n">
        <v>3</v>
      </c>
      <c r="H20" t="n">
        <v>4</v>
      </c>
      <c r="I20" t="n">
        <v>5</v>
      </c>
      <c r="J20" t="n">
        <v>5</v>
      </c>
      <c r="K20" t="n">
        <v>17</v>
      </c>
      <c r="L20" t="n">
        <v>1.281</v>
      </c>
      <c r="M20" t="n">
        <v>68</v>
      </c>
      <c r="N20" t="n">
        <v>46.83</v>
      </c>
      <c r="O20" t="inlineStr">
        <is>
          <t>AC1, AC6</t>
        </is>
      </c>
      <c r="P20" t="inlineStr">
        <is>
          <t>AC1, AC9</t>
        </is>
      </c>
      <c r="Q20" t="n">
        <v>0.5</v>
      </c>
      <c r="R20" t="n">
        <v>0.5</v>
      </c>
      <c r="S20" t="n">
        <v>0.5</v>
      </c>
      <c r="T20" t="inlineStr"/>
      <c r="U20" t="inlineStr"/>
      <c r="V20" t="inlineStr"/>
      <c r="W20"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1">
      <c r="A21" t="n">
        <v>272</v>
      </c>
      <c r="B21" t="n">
        <v>91</v>
      </c>
      <c r="C21" t="n">
        <v>2</v>
      </c>
      <c r="D21" t="n">
        <v>1</v>
      </c>
      <c r="E21" t="inlineStr">
        <is>
          <t>R1, R2 y R4 dado que R3 y R5 se pueden quitar</t>
        </is>
      </c>
      <c r="F21" t="inlineStr">
        <is>
          <t>¿La eliminación de los interruptores asociados con R3 y R5 sugiere que estos componentes son aislantes, o está causando un camino directo para el flujo de corriente a través de otras vías como R1, R2 y R4?</t>
        </is>
      </c>
      <c r="G21" t="n">
        <v>3</v>
      </c>
      <c r="H21" t="n">
        <v>4</v>
      </c>
      <c r="I21" t="n">
        <v>5</v>
      </c>
      <c r="J21" t="n">
        <v>5</v>
      </c>
      <c r="K21" t="n">
        <v>17</v>
      </c>
      <c r="L21" t="n">
        <v>1.116</v>
      </c>
      <c r="M21" t="n">
        <v>51</v>
      </c>
      <c r="N21" t="n">
        <v>53.78</v>
      </c>
      <c r="O21" t="inlineStr">
        <is>
          <t>AC1, AC6</t>
        </is>
      </c>
      <c r="P21" t="inlineStr">
        <is>
          <t>AC1, AC9</t>
        </is>
      </c>
      <c r="Q21" t="n">
        <v>0.5</v>
      </c>
      <c r="R21" t="n">
        <v>0.5</v>
      </c>
      <c r="S21" t="n">
        <v>0.5</v>
      </c>
      <c r="T21" t="inlineStr"/>
      <c r="U21" t="inlineStr"/>
      <c r="V21" t="inlineStr"/>
      <c r="W21"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2">
      <c r="A22" t="n">
        <v>273</v>
      </c>
      <c r="B22" t="n">
        <v>91</v>
      </c>
      <c r="C22" t="n">
        <v>3</v>
      </c>
      <c r="D22" t="n">
        <v>1</v>
      </c>
      <c r="E22" t="inlineStr">
        <is>
          <t>R1, R2 y R4 dado que R3 y R5 no influyen para nada en la diferencia de potencial que se pide</t>
        </is>
      </c>
      <c r="F22" t="inlineStr">
        <is>
          <t>¿La ausencia del impacto de los interruptores R3 y R5 nos dice si hay una ruta directa para el flujo de corriente, o es necesario considerar las propiedades individuales de las resistencias R1, R2 y R4 cuando se evalúa su influencia sobre la diferencia potencial total?</t>
        </is>
      </c>
      <c r="G22" t="n">
        <v>3</v>
      </c>
      <c r="H22" t="n">
        <v>4</v>
      </c>
      <c r="I22" t="n">
        <v>5</v>
      </c>
      <c r="J22" t="n">
        <v>5</v>
      </c>
      <c r="K22" t="n">
        <v>17</v>
      </c>
      <c r="L22" t="n">
        <v>1.246</v>
      </c>
      <c r="M22" t="n">
        <v>59</v>
      </c>
      <c r="N22" t="n">
        <v>48.16</v>
      </c>
      <c r="O22" t="inlineStr">
        <is>
          <t>AC1, AC6</t>
        </is>
      </c>
      <c r="P22" t="inlineStr">
        <is>
          <t>AC1, AC9</t>
        </is>
      </c>
      <c r="Q22" t="n">
        <v>0.5</v>
      </c>
      <c r="R22" t="n">
        <v>0.5</v>
      </c>
      <c r="S22" t="n">
        <v>0.5</v>
      </c>
      <c r="T22" t="inlineStr"/>
      <c r="U22" t="inlineStr"/>
      <c r="V22" t="inlineStr"/>
      <c r="W22"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3">
      <c r="A23" t="n">
        <v>274</v>
      </c>
      <c r="B23" t="n">
        <v>92</v>
      </c>
      <c r="C23" t="n">
        <v>1</v>
      </c>
      <c r="D23" t="n">
        <v>1</v>
      </c>
      <c r="E23" t="inlineStr">
        <is>
          <t>R1, R2 y R4 dado que R3 y R5 sobran</t>
        </is>
      </c>
      <c r="F23" t="inlineStr">
        <is>
          <t>¿Puedes verificar si cada resistencia contribuye directamente a la corriente entre N2 y tierra, o hay algún componente cuya ruta se ha cortocircuitado u esté abierto? ¿Y cómo influyen R3 y R5 en el camino de voltaje del nodo N2 hasta 0?</t>
        </is>
      </c>
      <c r="G23" t="n">
        <v>3</v>
      </c>
      <c r="H23" t="n">
        <v>3</v>
      </c>
      <c r="I23" t="n">
        <v>3</v>
      </c>
      <c r="J23" t="n">
        <v>5</v>
      </c>
      <c r="K23" t="n">
        <v>14</v>
      </c>
      <c r="L23" t="n">
        <v>1.47</v>
      </c>
      <c r="M23" t="n">
        <v>59</v>
      </c>
      <c r="N23" t="n">
        <v>40.8</v>
      </c>
      <c r="O23" t="inlineStr">
        <is>
          <t>AC1, AC6</t>
        </is>
      </c>
      <c r="P23" t="inlineStr">
        <is>
          <t>AC1, AC9</t>
        </is>
      </c>
      <c r="Q23" t="n">
        <v>0.5</v>
      </c>
      <c r="R23" t="n">
        <v>0.5</v>
      </c>
      <c r="S23" t="n">
        <v>0.5</v>
      </c>
      <c r="T23" t="inlineStr"/>
      <c r="U23" t="inlineStr"/>
      <c r="V23" t="inlineStr"/>
      <c r="W2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4">
      <c r="A24" t="n">
        <v>275</v>
      </c>
      <c r="B24" t="n">
        <v>92</v>
      </c>
      <c r="C24" t="n">
        <v>2</v>
      </c>
      <c r="D24" t="n">
        <v>1</v>
      </c>
      <c r="E24" t="inlineStr">
        <is>
          <t>R1, R2 y R4 dado que R3 sobra</t>
        </is>
      </c>
      <c r="F24" t="inlineStr">
        <is>
          <t>¿Estamos asegurándonos de que las contribuciones de R1, R2 y R4 se deben a una configuración única o múltiples rutas hacia N2 podrían estar influenciando su presencia? ¿Y cómo podría el estado potencial del componente desconocido conllevar al sobrasir de R3 y R5?.</t>
        </is>
      </c>
      <c r="G24" t="n">
        <v>1</v>
      </c>
      <c r="H24" t="n">
        <v>2</v>
      </c>
      <c r="I24" t="n">
        <v>3</v>
      </c>
      <c r="J24" t="n">
        <v>5</v>
      </c>
      <c r="K24" t="n">
        <v>11</v>
      </c>
      <c r="L24" t="n">
        <v>1.62</v>
      </c>
      <c r="M24" t="n">
        <v>64</v>
      </c>
      <c r="N24" t="n">
        <v>37.03</v>
      </c>
      <c r="O24" t="inlineStr">
        <is>
          <t>AC1</t>
        </is>
      </c>
      <c r="P24" t="inlineStr"/>
      <c r="Q24" t="n">
        <v>1</v>
      </c>
      <c r="R24" t="n">
        <v>0</v>
      </c>
      <c r="S24" t="n">
        <v>0</v>
      </c>
      <c r="T24" t="inlineStr"/>
      <c r="U24" t="inlineStr"/>
      <c r="V24" t="inlineStr"/>
      <c r="W24" t="inlineStr">
        <is>
          <t>Socraticidad 1/5 (Instructivo): No termina en pregunta; el tutor es instructivo. Precisión Conceptual 2/5 (Pobre): Respuesta genérica: sin vocabulario técnico ni diagnóstico del error. Desempeño aceptable; necesita mejorar precisión o metodología socrática.</t>
        </is>
      </c>
    </row>
    <row r="25">
      <c r="A25" t="n">
        <v>276</v>
      </c>
      <c r="B25" t="n">
        <v>92</v>
      </c>
      <c r="C25" t="n">
        <v>3</v>
      </c>
      <c r="D25" t="n">
        <v>1</v>
      </c>
      <c r="E25" t="inlineStr">
        <is>
          <t>R1, R2 y R4 dado que R5 sobra</t>
        </is>
      </c>
      <c r="F25" t="inlineStr">
        <is>
          <t>¿Podría el estado de los componentes desconocidos o las rutas alternativas estar afectando nuestra interpretación del motivo para sobrar R1, R2 y R4 mientras se asume R5? ¿Qué otros escenarios podrían desmentir nuestro análisis actual?.</t>
        </is>
      </c>
      <c r="G25" t="n">
        <v>1</v>
      </c>
      <c r="H25" t="n">
        <v>2</v>
      </c>
      <c r="I25" t="n">
        <v>4</v>
      </c>
      <c r="J25" t="n">
        <v>5</v>
      </c>
      <c r="K25" t="n">
        <v>12</v>
      </c>
      <c r="L25" t="n">
        <v>1.068</v>
      </c>
      <c r="M25" t="n">
        <v>52</v>
      </c>
      <c r="N25" t="n">
        <v>56.19</v>
      </c>
      <c r="O25" t="inlineStr">
        <is>
          <t>AC6</t>
        </is>
      </c>
      <c r="P25" t="inlineStr"/>
      <c r="Q25" t="n">
        <v>1</v>
      </c>
      <c r="R25" t="n">
        <v>0</v>
      </c>
      <c r="S25" t="n">
        <v>0</v>
      </c>
      <c r="T25" t="inlineStr"/>
      <c r="U25" t="inlineStr"/>
      <c r="V25" t="inlineStr"/>
      <c r="W25" t="inlineStr">
        <is>
          <t>Socraticidad 1/5 (Instructivo): No termina en pregunta; el tutor es instructivo. Precisión Conceptual 2/5 (Pobre): Respuesta genérica: sin vocabulario técnico ni diagnóstico del error. Desempeño aceptable; necesita mejorar precisión o metodología socrática.</t>
        </is>
      </c>
    </row>
    <row r="26">
      <c r="A26" t="n">
        <v>277</v>
      </c>
      <c r="B26" t="n">
        <v>93</v>
      </c>
      <c r="C26" t="n">
        <v>1</v>
      </c>
      <c r="D26" t="n">
        <v>1</v>
      </c>
      <c r="E26" t="inlineStr">
        <is>
          <t>R1, R2 y R4 dado que R3 está en abierto</t>
        </is>
      </c>
      <c r="F26" t="inlineStr">
        <is>
          <t>¿Puedes confirmar si cada resistencia contribuye a la corriente total fluyendo desde N2 hasta tierra, o debemos considerar cualquier interrupción potencial o cortocircuito que pueda afectar su participación?</t>
        </is>
      </c>
      <c r="G26" t="n">
        <v>3</v>
      </c>
      <c r="H26" t="n">
        <v>3</v>
      </c>
      <c r="I26" t="n">
        <v>3</v>
      </c>
      <c r="J26" t="n">
        <v>5</v>
      </c>
      <c r="K26" t="n">
        <v>14</v>
      </c>
      <c r="L26" t="n">
        <v>1.006</v>
      </c>
      <c r="M26" t="n">
        <v>39</v>
      </c>
      <c r="N26" t="n">
        <v>59.64</v>
      </c>
      <c r="O26" t="inlineStr">
        <is>
          <t>AC1</t>
        </is>
      </c>
      <c r="P26" t="inlineStr">
        <is>
          <t>AC1, AC6, AC9</t>
        </is>
      </c>
      <c r="Q26" t="n">
        <v>0.333</v>
      </c>
      <c r="R26" t="n">
        <v>1</v>
      </c>
      <c r="S26" t="n">
        <v>0.5</v>
      </c>
      <c r="T26" t="inlineStr"/>
      <c r="U26" t="inlineStr"/>
      <c r="V26" t="inlineStr"/>
      <c r="W2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7">
      <c r="A27" t="n">
        <v>278</v>
      </c>
      <c r="B27" t="n">
        <v>93</v>
      </c>
      <c r="C27" t="n">
        <v>2</v>
      </c>
      <c r="D27" t="n">
        <v>1</v>
      </c>
      <c r="E27" t="inlineStr">
        <is>
          <t>R1, R2 y R4 dado que  R5 cortocircuitada</t>
        </is>
      </c>
      <c r="F27" t="inlineStr">
        <is>
          <t>¿El estado de corte en R5 sugiere un camino directo para el flujo eléctrico, o debemos analizar si podría influir indirectamente en las corrientes a través de otros componentes del circuito?</t>
        </is>
      </c>
      <c r="G27" t="n">
        <v>3</v>
      </c>
      <c r="H27" t="n">
        <v>3</v>
      </c>
      <c r="I27" t="n">
        <v>3</v>
      </c>
      <c r="J27" t="n">
        <v>5</v>
      </c>
      <c r="K27" t="n">
        <v>14</v>
      </c>
      <c r="L27" t="n">
        <v>1.2</v>
      </c>
      <c r="M27" t="n">
        <v>41</v>
      </c>
      <c r="N27" t="n">
        <v>49.99</v>
      </c>
      <c r="O27" t="inlineStr">
        <is>
          <t>AC6</t>
        </is>
      </c>
      <c r="P27" t="inlineStr">
        <is>
          <t>AC1, AC9</t>
        </is>
      </c>
      <c r="Q27" t="n">
        <v>0</v>
      </c>
      <c r="R27" t="n">
        <v>0</v>
      </c>
      <c r="S27" t="n">
        <v>0</v>
      </c>
      <c r="T27" t="inlineStr"/>
      <c r="U27" t="inlineStr"/>
      <c r="V27" t="inlineStr"/>
      <c r="W2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8">
      <c r="A28" t="n">
        <v>279</v>
      </c>
      <c r="B28" t="n">
        <v>93</v>
      </c>
      <c r="C28" t="n">
        <v>3</v>
      </c>
      <c r="D28" t="n">
        <v>1</v>
      </c>
      <c r="E28" t="inlineStr">
        <is>
          <t>R1, R2 y R4 dado que por R3 no circula corriente</t>
        </is>
      </c>
      <c r="F28" t="inlineStr">
        <is>
          <t>¿Debemos considerar las propiedades del circuito abierto de R3 para determinar si afecta el flujo total de corriente a través de R1, R2 y R4 o hay otros factores involucrados?</t>
        </is>
      </c>
      <c r="G28" t="n">
        <v>3</v>
      </c>
      <c r="H28" t="n">
        <v>3</v>
      </c>
      <c r="I28" t="n">
        <v>5</v>
      </c>
      <c r="J28" t="n">
        <v>5</v>
      </c>
      <c r="K28" t="n">
        <v>16</v>
      </c>
      <c r="L28" t="n">
        <v>1.141</v>
      </c>
      <c r="M28" t="n">
        <v>40</v>
      </c>
      <c r="N28" t="n">
        <v>52.6</v>
      </c>
      <c r="O28" t="inlineStr">
        <is>
          <t>AC1</t>
        </is>
      </c>
      <c r="P28" t="inlineStr">
        <is>
          <t>AC1</t>
        </is>
      </c>
      <c r="Q28" t="n">
        <v>1</v>
      </c>
      <c r="R28" t="n">
        <v>1</v>
      </c>
      <c r="S28" t="n">
        <v>1</v>
      </c>
      <c r="T28" t="inlineStr"/>
      <c r="U28" t="inlineStr"/>
      <c r="V28" t="inlineStr"/>
      <c r="W2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9">
      <c r="A29" t="n">
        <v>280</v>
      </c>
      <c r="B29" t="n">
        <v>94</v>
      </c>
      <c r="C29" t="n">
        <v>1</v>
      </c>
      <c r="D29" t="n">
        <v>1</v>
      </c>
      <c r="E29" t="inlineStr">
        <is>
          <t>R1, R2 y R4 dado que por  R5 no circula corriente</t>
        </is>
      </c>
      <c r="F29" t="inlineStr">
        <is>
          <t>¿Podría confirmar si hay algún componente cuya configuración impide el flujo de corriente debido a un circuito abierto o un cortocircuito, afectando así su contribución para determinar la diferencia de potencial entre N2 y 0?</t>
        </is>
      </c>
      <c r="G29" t="n">
        <v>5</v>
      </c>
      <c r="H29" t="n">
        <v>4</v>
      </c>
      <c r="I29" t="n">
        <v>3</v>
      </c>
      <c r="J29" t="n">
        <v>5</v>
      </c>
      <c r="K29" t="n">
        <v>17</v>
      </c>
      <c r="L29" t="n">
        <v>1.253</v>
      </c>
      <c r="M29" t="n">
        <v>48</v>
      </c>
      <c r="N29" t="n">
        <v>47.87</v>
      </c>
      <c r="O29" t="inlineStr">
        <is>
          <t>AC6</t>
        </is>
      </c>
      <c r="P29" t="inlineStr">
        <is>
          <t>AC1, AC6, AC9</t>
        </is>
      </c>
      <c r="Q29" t="n">
        <v>0.333</v>
      </c>
      <c r="R29" t="n">
        <v>1</v>
      </c>
      <c r="S29" t="n">
        <v>0.5</v>
      </c>
      <c r="T29" t="inlineStr"/>
      <c r="U29" t="inlineStr"/>
      <c r="V29" t="inlineStr"/>
      <c r="W29" t="inlineStr">
        <is>
          <t>Socraticidad 5/5 (Inducción a la contradicción): Inducción a la contradicción: usa contraejemplo o reducción al absurdo. Precisión Conceptual 4/5 (Bueno): Bueno: identifica claramente la concepción alternativa con lenguaje técnico preciso. Tutor de alto rendimiento: guía socrática experta con diagnóstico preciso.</t>
        </is>
      </c>
    </row>
    <row r="30">
      <c r="A30" t="n">
        <v>281</v>
      </c>
      <c r="B30" t="n">
        <v>94</v>
      </c>
      <c r="C30" t="n">
        <v>2</v>
      </c>
      <c r="D30" t="n">
        <v>1</v>
      </c>
      <c r="E30" t="inlineStr">
        <is>
          <t>R1, R2 y R4 dado que R3 se puede quitar</t>
        </is>
      </c>
      <c r="F30" t="inlineStr">
        <is>
          <t>¿Consideraría los efectos de eliminar un componente del circuito sobre las diferencias de potenciales a través de otros componentes, y aún así ¿podría R1, R2 o R4 determinar el voltaje entre N2 y 0?</t>
        </is>
      </c>
      <c r="G30" t="n">
        <v>3</v>
      </c>
      <c r="H30" t="n">
        <v>2</v>
      </c>
      <c r="I30" t="n">
        <v>4</v>
      </c>
      <c r="J30" t="n">
        <v>5</v>
      </c>
      <c r="K30" t="n">
        <v>14</v>
      </c>
      <c r="L30" t="n">
        <v>1.109</v>
      </c>
      <c r="M30" t="n">
        <v>49</v>
      </c>
      <c r="N30" t="n">
        <v>54.11</v>
      </c>
      <c r="O30" t="inlineStr">
        <is>
          <t>AC1</t>
        </is>
      </c>
      <c r="P30" t="inlineStr">
        <is>
          <t>AC1, AC9</t>
        </is>
      </c>
      <c r="Q30" t="n">
        <v>0.5</v>
      </c>
      <c r="R30" t="n">
        <v>1</v>
      </c>
      <c r="S30" t="n">
        <v>0.667</v>
      </c>
      <c r="T30" t="inlineStr"/>
      <c r="U30" t="inlineStr"/>
      <c r="V30" t="inlineStr"/>
      <c r="W3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1">
      <c r="A31" t="n">
        <v>282</v>
      </c>
      <c r="B31" t="n">
        <v>94</v>
      </c>
      <c r="C31" t="n">
        <v>3</v>
      </c>
      <c r="D31" t="n">
        <v>1</v>
      </c>
      <c r="E31" t="inlineStr">
        <is>
          <t>R1, R2 y R4 dado que R5 se puede quitar</t>
        </is>
      </c>
      <c r="F31" t="inlineStr">
        <is>
          <t>Si R5 está eliminada del circuito, ¿podría aún R1, R2 o R4 determinar el voltaje entre N2 y 0, considerando las contribuciones de los otros resistores?</t>
        </is>
      </c>
      <c r="G31" t="n">
        <v>3</v>
      </c>
      <c r="H31" t="n">
        <v>2</v>
      </c>
      <c r="I31" t="n">
        <v>5</v>
      </c>
      <c r="J31" t="n">
        <v>5</v>
      </c>
      <c r="K31" t="n">
        <v>15</v>
      </c>
      <c r="L31" t="n">
        <v>0.972</v>
      </c>
      <c r="M31" t="n">
        <v>43</v>
      </c>
      <c r="N31" t="n">
        <v>61.7</v>
      </c>
      <c r="O31" t="inlineStr">
        <is>
          <t>AC6</t>
        </is>
      </c>
      <c r="P31" t="inlineStr">
        <is>
          <t>AC9</t>
        </is>
      </c>
      <c r="Q31" t="n">
        <v>0</v>
      </c>
      <c r="R31" t="n">
        <v>0</v>
      </c>
      <c r="S31" t="n">
        <v>0</v>
      </c>
      <c r="T31" t="inlineStr"/>
      <c r="U31" t="inlineStr"/>
      <c r="V31" t="inlineStr"/>
      <c r="W3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2">
      <c r="A32" t="n">
        <v>283</v>
      </c>
      <c r="B32" t="n">
        <v>95</v>
      </c>
      <c r="C32" t="n">
        <v>1</v>
      </c>
      <c r="D32" t="n">
        <v>1</v>
      </c>
      <c r="E32" t="inlineStr">
        <is>
          <t>R1, R2 y R4 dado que R3 no influye para nada en la diferencia de potencial que se pide</t>
        </is>
      </c>
      <c r="F32" t="inlineStr">
        <is>
          <t>¿Puedes confirmar si el estado del interruptor entre N2 y N3 afecta la contribución de R1, R2 o R4 a la diferencia de potencial entre N2 y 0? ¿Y cómo se relaciona esto con los impactos de tener un circuito abierto u otro tipo de configuración para las otras resistencias en el circuito?</t>
        </is>
      </c>
      <c r="G32" t="n">
        <v>3</v>
      </c>
      <c r="H32" t="n">
        <v>5</v>
      </c>
      <c r="I32" t="n">
        <v>4</v>
      </c>
      <c r="J32" t="n">
        <v>5</v>
      </c>
      <c r="K32" t="n">
        <v>17</v>
      </c>
      <c r="L32" t="n">
        <v>1.247</v>
      </c>
      <c r="M32" t="n">
        <v>70</v>
      </c>
      <c r="N32" t="n">
        <v>48.13</v>
      </c>
      <c r="O32" t="inlineStr">
        <is>
          <t>AC1</t>
        </is>
      </c>
      <c r="P32" t="inlineStr">
        <is>
          <t>AC1, AC9</t>
        </is>
      </c>
      <c r="Q32" t="n">
        <v>0.5</v>
      </c>
      <c r="R32" t="n">
        <v>1</v>
      </c>
      <c r="S32" t="n">
        <v>0.667</v>
      </c>
      <c r="T32" t="inlineStr"/>
      <c r="U32" t="inlineStr"/>
      <c r="V32" t="inlineStr"/>
      <c r="W32"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33">
      <c r="A33" t="n">
        <v>284</v>
      </c>
      <c r="B33" t="n">
        <v>95</v>
      </c>
      <c r="C33" t="n">
        <v>2</v>
      </c>
      <c r="D33" t="n">
        <v>1</v>
      </c>
      <c r="E33" t="inlineStr">
        <is>
          <t>R1, R2 y R4 dado que R5 no influye para nada en la diferencia de potencial que se pide</t>
        </is>
      </c>
      <c r="F33" t="inlineStr">
        <is>
          <t>¿La presencia del circuito cerrado entre N1 y N2 altera el papel de R1, R2 o R4 en la diferencia de potencial con respecto a N3? ¿Considera esto cómo un cortocircuito podría influir sobre las contribuciones de estas resistencias al voltaje total requerido para esta parte específica del circuito?</t>
        </is>
      </c>
      <c r="G33" t="n">
        <v>3</v>
      </c>
      <c r="H33" t="n">
        <v>5</v>
      </c>
      <c r="I33" t="n">
        <v>4</v>
      </c>
      <c r="J33" t="n">
        <v>5</v>
      </c>
      <c r="K33" t="n">
        <v>17</v>
      </c>
      <c r="L33" t="n">
        <v>1.168</v>
      </c>
      <c r="M33" t="n">
        <v>69</v>
      </c>
      <c r="N33" t="n">
        <v>51.38</v>
      </c>
      <c r="O33" t="inlineStr">
        <is>
          <t>AC6</t>
        </is>
      </c>
      <c r="P33" t="inlineStr">
        <is>
          <t>AC1, AC6, AC9</t>
        </is>
      </c>
      <c r="Q33" t="n">
        <v>0.333</v>
      </c>
      <c r="R33" t="n">
        <v>1</v>
      </c>
      <c r="S33" t="n">
        <v>0.5</v>
      </c>
      <c r="T33" t="inlineStr"/>
      <c r="U33" t="inlineStr"/>
      <c r="V33" t="inlineStr"/>
      <c r="W33"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34">
      <c r="A34" t="n">
        <v>285</v>
      </c>
      <c r="B34" t="n">
        <v>95</v>
      </c>
      <c r="C34" t="n">
        <v>3</v>
      </c>
      <c r="D34" t="n">
        <v>1</v>
      </c>
      <c r="E34" t="inlineStr">
        <is>
          <t>No lo sé</t>
        </is>
      </c>
      <c r="F34" t="inlineStr">
        <is>
          <t>¿Puede explicar cómo se relacionan las propiedades de los nodos específicos con el papel general de cada resistencia (R1, R2 y R4) dentro del circuito, particularmente cuando consideramos su influencia comparada contra una resistencia no solicitada como R5?</t>
        </is>
      </c>
      <c r="G34" t="n">
        <v>3</v>
      </c>
      <c r="H34" t="n">
        <v>3</v>
      </c>
      <c r="I34" t="n">
        <v>2</v>
      </c>
      <c r="J34" t="n">
        <v>5</v>
      </c>
      <c r="K34" t="n">
        <v>13</v>
      </c>
      <c r="L34" t="n">
        <v>1.452</v>
      </c>
      <c r="M34" t="n">
        <v>54</v>
      </c>
      <c r="N34" t="n">
        <v>41.32</v>
      </c>
      <c r="O34" t="inlineStr">
        <is>
          <t>AC9</t>
        </is>
      </c>
      <c r="P34" t="inlineStr"/>
      <c r="Q34" t="n">
        <v>1</v>
      </c>
      <c r="R34" t="n">
        <v>0</v>
      </c>
      <c r="S34" t="n">
        <v>0</v>
      </c>
      <c r="T34" t="inlineStr"/>
      <c r="U34" t="inlineStr"/>
      <c r="V34" t="inlineStr"/>
      <c r="W3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5">
      <c r="A35" t="n">
        <v>286</v>
      </c>
      <c r="B35" t="n">
        <v>96</v>
      </c>
      <c r="C35" t="n">
        <v>1</v>
      </c>
      <c r="D35" t="n">
        <v>1</v>
      </c>
      <c r="E35" t="inlineStr">
        <is>
          <t>Todas las resistencias</t>
        </is>
      </c>
      <c r="F35" t="inlineStr">
        <is>
          <t>¿La corriente sigue pasando a través de R3, ya que el interruptor entre N2 y N3 está abierto, o ¿hay algún componente cuyo circuito se corta y no contribuye al valor final del voltaje?</t>
        </is>
      </c>
      <c r="G35" t="n">
        <v>3</v>
      </c>
      <c r="H35" t="n">
        <v>3</v>
      </c>
      <c r="I35" t="n">
        <v>2</v>
      </c>
      <c r="J35" t="n">
        <v>5</v>
      </c>
      <c r="K35" t="n">
        <v>13</v>
      </c>
      <c r="L35" t="n">
        <v>1.165</v>
      </c>
      <c r="M35" t="n">
        <v>46</v>
      </c>
      <c r="N35" t="n">
        <v>51.49</v>
      </c>
      <c r="O35" t="inlineStr">
        <is>
          <t>AC9</t>
        </is>
      </c>
      <c r="P35" t="inlineStr">
        <is>
          <t>AC1, AC9</t>
        </is>
      </c>
      <c r="Q35" t="n">
        <v>0.5</v>
      </c>
      <c r="R35" t="n">
        <v>1</v>
      </c>
      <c r="S35" t="n">
        <v>0.667</v>
      </c>
      <c r="T35" t="inlineStr"/>
      <c r="U35" t="inlineStr"/>
      <c r="V35" t="inlineStr"/>
      <c r="W3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6">
      <c r="A36" t="n">
        <v>287</v>
      </c>
      <c r="B36" t="n">
        <v>96</v>
      </c>
      <c r="C36" t="n">
        <v>2</v>
      </c>
      <c r="D36" t="n">
        <v>1</v>
      </c>
      <c r="E36" t="inlineStr">
        <is>
          <t>R1 y R2</t>
        </is>
      </c>
      <c r="F36" t="inlineStr">
        <is>
          <t>¿Consideró el efecto combinado de las resistencias en serie, donde el total es V=IR, o debería revisar los caminos para confirmar si R3 realmente está participando activamente?</t>
        </is>
      </c>
      <c r="G36" t="n">
        <v>3</v>
      </c>
      <c r="H36" t="n">
        <v>3</v>
      </c>
      <c r="I36" t="n">
        <v>2</v>
      </c>
      <c r="J36" t="n">
        <v>5</v>
      </c>
      <c r="K36" t="n">
        <v>13</v>
      </c>
      <c r="L36" t="n">
        <v>1.072</v>
      </c>
      <c r="M36" t="n">
        <v>39</v>
      </c>
      <c r="N36" t="n">
        <v>55.98</v>
      </c>
      <c r="O36" t="inlineStr">
        <is>
          <t>AC9</t>
        </is>
      </c>
      <c r="P36" t="inlineStr">
        <is>
          <t>AC9</t>
        </is>
      </c>
      <c r="Q36" t="n">
        <v>1</v>
      </c>
      <c r="R36" t="n">
        <v>1</v>
      </c>
      <c r="S36" t="n">
        <v>1</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288</v>
      </c>
      <c r="B37" t="n">
        <v>96</v>
      </c>
      <c r="C37" t="n">
        <v>3</v>
      </c>
      <c r="D37" t="n">
        <v>1</v>
      </c>
      <c r="E37" t="inlineStr">
        <is>
          <t>R1, R2 y R4</t>
        </is>
      </c>
      <c r="F37" t="inlineStr">
        <is>
          <t>¿La corriente se divide entre las resistencias según su resistencia inversa cuando están conectadas en serie, o es posible que el papel de R3 no esté siendo considerado correctamente debido a una configuración específica del circuito?</t>
        </is>
      </c>
      <c r="G37" t="n">
        <v>3</v>
      </c>
      <c r="H37" t="n">
        <v>4</v>
      </c>
      <c r="I37" t="n">
        <v>2</v>
      </c>
      <c r="J37" t="n">
        <v>5</v>
      </c>
      <c r="K37" t="n">
        <v>14</v>
      </c>
      <c r="L37" t="n">
        <v>1.107</v>
      </c>
      <c r="M37" t="n">
        <v>44</v>
      </c>
      <c r="N37" t="n">
        <v>54.19</v>
      </c>
      <c r="O37" t="inlineStr"/>
      <c r="P37" t="inlineStr">
        <is>
          <t>AC1, AC9</t>
        </is>
      </c>
      <c r="Q37" t="n">
        <v>0</v>
      </c>
      <c r="R37" t="n">
        <v>1</v>
      </c>
      <c r="S37" t="n">
        <v>0</v>
      </c>
      <c r="T37" t="inlineStr"/>
      <c r="U37" t="inlineStr"/>
      <c r="V37" t="inlineStr"/>
      <c r="W3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8">
      <c r="A38" t="n">
        <v>289</v>
      </c>
      <c r="B38" t="n">
        <v>97</v>
      </c>
      <c r="C38" t="n">
        <v>1</v>
      </c>
      <c r="D38" t="n">
        <v>1</v>
      </c>
      <c r="E38" t="inlineStr">
        <is>
          <t>R1, R2, R4 y R5</t>
        </is>
      </c>
      <c r="F38" t="inlineStr">
        <is>
          <t>¿Por qué podrías considerar incluir R5 cuando se da cuenta de que está conectado directamente entre su propio nudo, y cuáles son las implicaciones para el flujo de corriente a través de ella?</t>
        </is>
      </c>
      <c r="G38" t="n">
        <v>3</v>
      </c>
      <c r="H38" t="n">
        <v>2</v>
      </c>
      <c r="I38" t="n">
        <v>3</v>
      </c>
      <c r="J38" t="n">
        <v>5</v>
      </c>
      <c r="K38" t="n">
        <v>13</v>
      </c>
      <c r="L38" t="n">
        <v>1.13</v>
      </c>
      <c r="M38" t="n">
        <v>41</v>
      </c>
      <c r="N38" t="n">
        <v>53.09</v>
      </c>
      <c r="O38" t="inlineStr">
        <is>
          <t>AC6</t>
        </is>
      </c>
      <c r="P38" t="inlineStr">
        <is>
          <t>AC1, AC9</t>
        </is>
      </c>
      <c r="Q38" t="n">
        <v>0</v>
      </c>
      <c r="R38" t="n">
        <v>0</v>
      </c>
      <c r="S38" t="n">
        <v>0</v>
      </c>
      <c r="T38" t="inlineStr"/>
      <c r="U38" t="inlineStr"/>
      <c r="V38" t="inlineStr"/>
      <c r="W3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9">
      <c r="A39" t="n">
        <v>290</v>
      </c>
      <c r="B39" t="n">
        <v>97</v>
      </c>
      <c r="C39" t="n">
        <v>2</v>
      </c>
      <c r="D39" t="n">
        <v>1</v>
      </c>
      <c r="E39" t="inlineStr">
        <is>
          <t>R1, R2, R3 y R4</t>
        </is>
      </c>
      <c r="F39" t="inlineStr">
        <is>
          <t>¿Podría su elección incluir a R5 como un componente no esencial para el análisis del circuito dado sus conexiones, o ha cometido una interpretación de las interacciones entre los nodos R1, R2, R3 y R4? ¿Qué sucede con la corriente potencialmente cortocircuitada que podría implicar la presencia de R5?.</t>
        </is>
      </c>
      <c r="G39" t="n">
        <v>1</v>
      </c>
      <c r="H39" t="n">
        <v>3</v>
      </c>
      <c r="I39" t="n">
        <v>2</v>
      </c>
      <c r="J39" t="n">
        <v>5</v>
      </c>
      <c r="K39" t="n">
        <v>11</v>
      </c>
      <c r="L39" t="n">
        <v>1.272</v>
      </c>
      <c r="M39" t="n">
        <v>71</v>
      </c>
      <c r="N39" t="n">
        <v>47.18</v>
      </c>
      <c r="O39" t="inlineStr">
        <is>
          <t>AC1</t>
        </is>
      </c>
      <c r="P39" t="inlineStr">
        <is>
          <t>AC1, AC9</t>
        </is>
      </c>
      <c r="Q39" t="n">
        <v>0.5</v>
      </c>
      <c r="R39" t="n">
        <v>1</v>
      </c>
      <c r="S39" t="n">
        <v>0.667</v>
      </c>
      <c r="T39" t="inlineStr"/>
      <c r="U39" t="inlineStr"/>
      <c r="V39" t="inlineStr"/>
      <c r="W39"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40">
      <c r="A40" t="n">
        <v>291</v>
      </c>
      <c r="B40" t="n">
        <v>97</v>
      </c>
      <c r="C40" t="n">
        <v>3</v>
      </c>
      <c r="D40" t="n">
        <v>1</v>
      </c>
      <c r="E40" t="inlineStr">
        <is>
          <t>R1 y R2 y R4 hacen un divisor de corriente</t>
        </is>
      </c>
      <c r="F40" t="inlineStr">
        <is>
          <t>¿Podría su configuración con R1, R2, R4 creando un divisor de corriente indicar una distribución desigual del flujo eléctrico entre los caminos? ¿Cómo afectaría esto el rol potencial de R3 y si podría estar experimentando ningún cambio real en el circuito?.</t>
        </is>
      </c>
      <c r="G40" t="n">
        <v>1</v>
      </c>
      <c r="H40" t="n">
        <v>3</v>
      </c>
      <c r="I40" t="n">
        <v>4</v>
      </c>
      <c r="J40" t="n">
        <v>5</v>
      </c>
      <c r="K40" t="n">
        <v>13</v>
      </c>
      <c r="L40" t="n">
        <v>1.169</v>
      </c>
      <c r="M40" t="n">
        <v>55</v>
      </c>
      <c r="N40" t="n">
        <v>51.32</v>
      </c>
      <c r="O40" t="inlineStr"/>
      <c r="P40" t="inlineStr">
        <is>
          <t>AC1, AC9</t>
        </is>
      </c>
      <c r="Q40" t="n">
        <v>0</v>
      </c>
      <c r="R40" t="n">
        <v>1</v>
      </c>
      <c r="S40" t="n">
        <v>0</v>
      </c>
      <c r="T40" t="inlineStr"/>
      <c r="U40" t="inlineStr"/>
      <c r="V40" t="inlineStr"/>
      <c r="W40"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41">
      <c r="A41" t="n">
        <v>292</v>
      </c>
      <c r="B41" t="n">
        <v>98</v>
      </c>
      <c r="C41" t="n">
        <v>1</v>
      </c>
      <c r="D41" t="n">
        <v>1</v>
      </c>
      <c r="E41" t="inlineStr">
        <is>
          <t>R1 y R2 y R4 hacen un divisor de tensión, r3 no cuenta por estar en corto</t>
        </is>
      </c>
      <c r="F41" t="inlineStr">
        <is>
          <t>¿Puedes confirmar si el estado del interruptor entre N2 y N3 afecta el flujo de corriente a través de R1, R2 y R4? Y cómo contribuye cada resistencia individualmente a la diferencia de potencial total entre N2 y 0?</t>
        </is>
      </c>
      <c r="G41" t="n">
        <v>3</v>
      </c>
      <c r="H41" t="n">
        <v>5</v>
      </c>
      <c r="I41" t="n">
        <v>4</v>
      </c>
      <c r="J41" t="n">
        <v>5</v>
      </c>
      <c r="K41" t="n">
        <v>17</v>
      </c>
      <c r="L41" t="n">
        <v>1.099</v>
      </c>
      <c r="M41" t="n">
        <v>54</v>
      </c>
      <c r="N41" t="n">
        <v>54.62</v>
      </c>
      <c r="O41" t="inlineStr">
        <is>
          <t>AC1</t>
        </is>
      </c>
      <c r="P41" t="inlineStr">
        <is>
          <t>AC1</t>
        </is>
      </c>
      <c r="Q41" t="n">
        <v>1</v>
      </c>
      <c r="R41" t="n">
        <v>1</v>
      </c>
      <c r="S41" t="n">
        <v>1</v>
      </c>
      <c r="T41" t="inlineStr"/>
      <c r="U41" t="inlineStr"/>
      <c r="V41" t="inlineStr"/>
      <c r="W41"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42">
      <c r="A42" t="n">
        <v>293</v>
      </c>
      <c r="B42" t="n">
        <v>98</v>
      </c>
      <c r="C42" t="n">
        <v>2</v>
      </c>
      <c r="D42" t="n">
        <v>1</v>
      </c>
      <c r="E42" t="inlineStr">
        <is>
          <t>No tengo en cuenta R3 porque el interruptor está cerrado</t>
        </is>
      </c>
      <c r="F42" t="inlineStr">
        <is>
          <t>¿Consideraste cómo podría cambiar la función del divisor de tensión si activaras el interruptor entre N2 y N3, afectando efectivamente el camino del flujo de corriente a través de R1, R2 y R4? ¿Cómo influiría esto sobre las diferencias potenciales que cada resistencia crea?</t>
        </is>
      </c>
      <c r="G42" t="n">
        <v>3</v>
      </c>
      <c r="H42" t="n">
        <v>4</v>
      </c>
      <c r="I42" t="n">
        <v>2</v>
      </c>
      <c r="J42" t="n">
        <v>5</v>
      </c>
      <c r="K42" t="n">
        <v>14</v>
      </c>
      <c r="L42" t="n">
        <v>0.988</v>
      </c>
      <c r="M42" t="n">
        <v>64</v>
      </c>
      <c r="N42" t="n">
        <v>60.74</v>
      </c>
      <c r="O42" t="inlineStr">
        <is>
          <t>AC1, AC9</t>
        </is>
      </c>
      <c r="P42" t="inlineStr">
        <is>
          <t>AC1, AC9</t>
        </is>
      </c>
      <c r="Q42" t="n">
        <v>1</v>
      </c>
      <c r="R42" t="n">
        <v>1</v>
      </c>
      <c r="S42" t="n">
        <v>1</v>
      </c>
      <c r="T42" t="inlineStr"/>
      <c r="U42" t="inlineStr"/>
      <c r="V42" t="inlineStr"/>
      <c r="W42"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43">
      <c r="A43" t="n">
        <v>294</v>
      </c>
      <c r="B43" t="n">
        <v>98</v>
      </c>
      <c r="C43" t="n">
        <v>3</v>
      </c>
      <c r="D43" t="n">
        <v>1</v>
      </c>
      <c r="E43" t="inlineStr">
        <is>
          <t>No tengo en cuenta R5 porque está en circuito abierto</t>
        </is>
      </c>
      <c r="F43" t="inlineStr">
        <is>
          <t>¿El estado del interruptor entre N4 y N5 cambia el flujo de corriente a través del divisor de tensión formado por R1, R2, R3 y R4? ¿Cómo se ve afectada esta configuración adicional en circuitos abiertos como el que involucra R5?</t>
        </is>
      </c>
      <c r="G43" t="n">
        <v>3</v>
      </c>
      <c r="H43" t="n">
        <v>3</v>
      </c>
      <c r="I43" t="n">
        <v>4</v>
      </c>
      <c r="J43" t="n">
        <v>5</v>
      </c>
      <c r="K43" t="n">
        <v>15</v>
      </c>
      <c r="L43" t="n">
        <v>1.094</v>
      </c>
      <c r="M43" t="n">
        <v>60</v>
      </c>
      <c r="N43" t="n">
        <v>54.85</v>
      </c>
      <c r="O43" t="inlineStr">
        <is>
          <t>AC6, AC9</t>
        </is>
      </c>
      <c r="P43" t="inlineStr">
        <is>
          <t>AC1, AC9</t>
        </is>
      </c>
      <c r="Q43" t="n">
        <v>0.5</v>
      </c>
      <c r="R43" t="n">
        <v>0.5</v>
      </c>
      <c r="S43" t="n">
        <v>0.5</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v>
      </c>
      <c r="B2" t="n">
        <v>1</v>
      </c>
      <c r="C2" t="n">
        <v>1</v>
      </c>
      <c r="D2" t="n">
        <v>1</v>
      </c>
      <c r="E2" t="inlineStr">
        <is>
          <t>R1 y R2 dado que las dos resistencia forman un divisor de tensión</t>
        </is>
      </c>
      <c r="F2" t="inlineStr">
        <is>
          <t>¿Has considerado también la resistencia que está en el camino continuo entre el nodo N2 y tierra, más allá del divisor formado por R1 y R2?</t>
        </is>
      </c>
      <c r="G2" t="n">
        <v>3</v>
      </c>
      <c r="H2" t="n">
        <v>3</v>
      </c>
      <c r="I2" t="n">
        <v>5</v>
      </c>
      <c r="J2" t="n">
        <v>5</v>
      </c>
      <c r="K2" t="n">
        <v>16</v>
      </c>
      <c r="L2" t="n">
        <v>65.215</v>
      </c>
      <c r="M2" t="n">
        <v>370</v>
      </c>
      <c r="N2" t="n">
        <v>0.92</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2</v>
      </c>
      <c r="B3" t="n">
        <v>1</v>
      </c>
      <c r="C3" t="n">
        <v>2</v>
      </c>
      <c r="D3" t="n">
        <v>1</v>
      </c>
      <c r="E3" t="inlineStr">
        <is>
          <t>R1 y R2 dado que se pide la tensión en R2</t>
        </is>
      </c>
      <c r="F3" t="inlineStr">
        <is>
          <t>¿De qué manera la razón \(R_2/(R_1+R_2)\) del divisor de tensión relaciona la tensión en \(R_2\) con la tensión de origen?</t>
        </is>
      </c>
      <c r="G3" t="n">
        <v>3</v>
      </c>
      <c r="H3" t="n">
        <v>2</v>
      </c>
      <c r="I3" t="n">
        <v>3</v>
      </c>
      <c r="J3" t="n">
        <v>5</v>
      </c>
      <c r="K3" t="n">
        <v>13</v>
      </c>
      <c r="L3" t="n">
        <v>42.957</v>
      </c>
      <c r="M3" t="n">
        <v>181</v>
      </c>
      <c r="N3" t="n">
        <v>1.4</v>
      </c>
      <c r="O3" t="inlineStr">
        <is>
          <t>AC9</t>
        </is>
      </c>
      <c r="P3" t="inlineStr"/>
      <c r="Q3" t="n">
        <v>1</v>
      </c>
      <c r="R3" t="n">
        <v>0</v>
      </c>
      <c r="S3" t="n">
        <v>0</v>
      </c>
      <c r="T3" t="inlineStr"/>
      <c r="U3" t="inlineStr"/>
      <c r="V3" t="inlineStr"/>
      <c r="W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
      <c r="A4" t="n">
        <v>3</v>
      </c>
      <c r="B4" t="n">
        <v>1</v>
      </c>
      <c r="C4" t="n">
        <v>3</v>
      </c>
      <c r="D4" t="n">
        <v>1</v>
      </c>
      <c r="E4" t="inlineStr">
        <is>
          <t>R1 y R2 por identificar un divisor de tensión</t>
        </is>
      </c>
      <c r="F4" t="inlineStr">
        <is>
          <t>¿Qué relación establece la ley de Ohm entre la corriente que atraviesa R1 y R2 y la tensión que aparece en el nodo entre ambas resistencias?</t>
        </is>
      </c>
      <c r="G4" t="n">
        <v>3</v>
      </c>
      <c r="H4" t="n">
        <v>3</v>
      </c>
      <c r="I4" t="n">
        <v>5</v>
      </c>
      <c r="J4" t="n">
        <v>5</v>
      </c>
      <c r="K4" t="n">
        <v>16</v>
      </c>
      <c r="L4" t="n">
        <v>75.76900000000001</v>
      </c>
      <c r="M4" t="n">
        <v>108</v>
      </c>
      <c r="N4" t="n">
        <v>0.79</v>
      </c>
      <c r="O4" t="inlineStr">
        <is>
          <t>AC9</t>
        </is>
      </c>
      <c r="P4" t="inlineStr">
        <is>
          <t>AC1, AC9</t>
        </is>
      </c>
      <c r="Q4" t="n">
        <v>0.5</v>
      </c>
      <c r="R4" t="n">
        <v>1</v>
      </c>
      <c r="S4" t="n">
        <v>0.667</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4</v>
      </c>
      <c r="B5" t="n">
        <v>2</v>
      </c>
      <c r="C5" t="n">
        <v>1</v>
      </c>
      <c r="D5" t="n">
        <v>1</v>
      </c>
      <c r="E5" t="inlineStr">
        <is>
          <t>R1 y R2 hacen un divisor de tensión</t>
        </is>
      </c>
      <c r="F5" t="inlineStr">
        <is>
          <t>¿Has analizado si alguna resistencia adicional está en el camino eléctrico desde N2 hasta el nodo 0, considerando tanto la rama con el interruptor abierto como la posible conexión en cortocircuito?</t>
        </is>
      </c>
      <c r="G5" t="n">
        <v>3</v>
      </c>
      <c r="H5" t="n">
        <v>3</v>
      </c>
      <c r="I5" t="n">
        <v>3</v>
      </c>
      <c r="J5" t="n">
        <v>5</v>
      </c>
      <c r="K5" t="n">
        <v>14</v>
      </c>
      <c r="L5" t="n">
        <v>5.686</v>
      </c>
      <c r="M5" t="n">
        <v>194</v>
      </c>
      <c r="N5" t="n">
        <v>10.55</v>
      </c>
      <c r="O5" t="inlineStr">
        <is>
          <t>AC9</t>
        </is>
      </c>
      <c r="P5" t="inlineStr">
        <is>
          <t>AC1, AC6, AC9</t>
        </is>
      </c>
      <c r="Q5" t="n">
        <v>0.333</v>
      </c>
      <c r="R5" t="n">
        <v>1</v>
      </c>
      <c r="S5" t="n">
        <v>0.5</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5</v>
      </c>
      <c r="B6" t="n">
        <v>2</v>
      </c>
      <c r="C6" t="n">
        <v>2</v>
      </c>
      <c r="D6" t="n">
        <v>1</v>
      </c>
      <c r="E6" t="inlineStr">
        <is>
          <t>R1, R2, R3 y R4 porque R5 está cortocircuitada</t>
        </is>
      </c>
      <c r="F6" t="inlineStr">
        <is>
          <t>¿Qué resistencias permanecen en la trayectoria entre el nodo de alimentación y el nodo tierra cuando R5 está en cortocircuito?</t>
        </is>
      </c>
      <c r="G6" t="n">
        <v>3</v>
      </c>
      <c r="H6" t="n">
        <v>4</v>
      </c>
      <c r="I6" t="n">
        <v>3</v>
      </c>
      <c r="J6" t="n">
        <v>5</v>
      </c>
      <c r="K6" t="n">
        <v>15</v>
      </c>
      <c r="L6" t="n">
        <v>6.208</v>
      </c>
      <c r="M6" t="n">
        <v>255</v>
      </c>
      <c r="N6" t="n">
        <v>9.66</v>
      </c>
      <c r="O6" t="inlineStr">
        <is>
          <t>AC1, AC6</t>
        </is>
      </c>
      <c r="P6" t="inlineStr">
        <is>
          <t>AC6, AC9</t>
        </is>
      </c>
      <c r="Q6" t="n">
        <v>0.5</v>
      </c>
      <c r="R6" t="n">
        <v>0.5</v>
      </c>
      <c r="S6" t="n">
        <v>0.5</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6</v>
      </c>
      <c r="B7" t="n">
        <v>2</v>
      </c>
      <c r="C7" t="n">
        <v>3</v>
      </c>
      <c r="D7" t="n">
        <v>1</v>
      </c>
      <c r="E7" t="inlineStr">
        <is>
          <t>R1, R2, R3 y R4 porque por R5 no circula corriente</t>
        </is>
      </c>
      <c r="F7" t="inlineStr">
        <is>
          <t>Si R5 está en cortocircuito, ¿qué resistencia(s) forman la única trayectoria conductora entre la fuente y tierra y cómo se ve afectada la corriente en R3 y R4?</t>
        </is>
      </c>
      <c r="G7" t="n">
        <v>3</v>
      </c>
      <c r="H7" t="n">
        <v>4</v>
      </c>
      <c r="I7" t="n">
        <v>4</v>
      </c>
      <c r="J7" t="n">
        <v>5</v>
      </c>
      <c r="K7" t="n">
        <v>16</v>
      </c>
      <c r="L7" t="n">
        <v>11.347</v>
      </c>
      <c r="M7" t="n">
        <v>254</v>
      </c>
      <c r="N7" t="n">
        <v>5.29</v>
      </c>
      <c r="O7" t="inlineStr">
        <is>
          <t>AC1, AC6</t>
        </is>
      </c>
      <c r="P7" t="inlineStr">
        <is>
          <t>AC1, AC6, AC9</t>
        </is>
      </c>
      <c r="Q7" t="n">
        <v>0.667</v>
      </c>
      <c r="R7" t="n">
        <v>1</v>
      </c>
      <c r="S7" t="n">
        <v>0.8</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7</v>
      </c>
      <c r="B8" t="n">
        <v>3</v>
      </c>
      <c r="C8" t="n">
        <v>1</v>
      </c>
      <c r="D8" t="n">
        <v>1</v>
      </c>
      <c r="E8" t="inlineStr">
        <is>
          <t>R1, R2, R3 y R4 porque R5 se quita</t>
        </is>
      </c>
      <c r="F8" t="inlineStr">
        <is>
          <t>¿Puede la corriente circular por la rama que incluye el interruptor abierto entre N2 y N3, y qué implica eso para la contribución de la resistencia que está en esa rama?</t>
        </is>
      </c>
      <c r="G8" t="n">
        <v>3</v>
      </c>
      <c r="H8" t="n">
        <v>4</v>
      </c>
      <c r="I8" t="n">
        <v>3</v>
      </c>
      <c r="J8" t="n">
        <v>5</v>
      </c>
      <c r="K8" t="n">
        <v>15</v>
      </c>
      <c r="L8" t="n">
        <v>61.612</v>
      </c>
      <c r="M8" t="n">
        <v>182</v>
      </c>
      <c r="N8" t="n">
        <v>0.97</v>
      </c>
      <c r="O8" t="inlineStr">
        <is>
          <t>AC1, AC6</t>
        </is>
      </c>
      <c r="P8" t="inlineStr">
        <is>
          <t>AC1</t>
        </is>
      </c>
      <c r="Q8" t="n">
        <v>1</v>
      </c>
      <c r="R8" t="n">
        <v>0.5</v>
      </c>
      <c r="S8" t="n">
        <v>0.667</v>
      </c>
      <c r="T8" t="inlineStr"/>
      <c r="U8" t="inlineStr"/>
      <c r="V8" t="inlineStr"/>
      <c r="W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9">
      <c r="A9" t="n">
        <v>8</v>
      </c>
      <c r="B9" t="n">
        <v>3</v>
      </c>
      <c r="C9" t="n">
        <v>2</v>
      </c>
      <c r="D9" t="n">
        <v>1</v>
      </c>
      <c r="E9" t="inlineStr">
        <is>
          <t>R1, R3 y R4 porque R2 está en paralelo con la fuente y R5 corctocircuitada</t>
        </is>
      </c>
      <c r="F9" t="inlineStr">
        <is>
          <t>Si R5 está en cortocircuito, ¿qué potencial existe entre los nodos que conecta y cómo influye eso en la corriente que podría circular por R2, que está en paralelo con la fuente?</t>
        </is>
      </c>
      <c r="G9" t="n">
        <v>3</v>
      </c>
      <c r="H9" t="n">
        <v>4</v>
      </c>
      <c r="I9" t="n">
        <v>3</v>
      </c>
      <c r="J9" t="n">
        <v>5</v>
      </c>
      <c r="K9" t="n">
        <v>15</v>
      </c>
      <c r="L9" t="n">
        <v>88.90300000000001</v>
      </c>
      <c r="M9" t="n">
        <v>171</v>
      </c>
      <c r="N9" t="n">
        <v>0.67</v>
      </c>
      <c r="O9" t="inlineStr">
        <is>
          <t>AC1, AC6</t>
        </is>
      </c>
      <c r="P9" t="inlineStr">
        <is>
          <t>AC1, AC6, AC9</t>
        </is>
      </c>
      <c r="Q9" t="n">
        <v>0.667</v>
      </c>
      <c r="R9" t="n">
        <v>1</v>
      </c>
      <c r="S9" t="n">
        <v>0.8</v>
      </c>
      <c r="T9" t="inlineStr"/>
      <c r="U9" t="inlineStr"/>
      <c r="V9" t="inlineStr"/>
      <c r="W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0">
      <c r="A10" t="n">
        <v>9</v>
      </c>
      <c r="B10" t="n">
        <v>3</v>
      </c>
      <c r="C10" t="n">
        <v>3</v>
      </c>
      <c r="D10" t="n">
        <v>1</v>
      </c>
      <c r="E10" t="inlineStr">
        <is>
          <t>R1, R4 y R5 porque R2 se elimina y R3 también</t>
        </is>
      </c>
      <c r="F10" t="inlineStr">
        <is>
          <t>¿Qué potencial hay entre los nodos que conecta la resistencia R5 y cómo afecta eso a la corriente que podría pasar por R5 y por R3?</t>
        </is>
      </c>
      <c r="G10" t="n">
        <v>3</v>
      </c>
      <c r="H10" t="n">
        <v>3</v>
      </c>
      <c r="I10" t="n">
        <v>3</v>
      </c>
      <c r="J10" t="n">
        <v>5</v>
      </c>
      <c r="K10" t="n">
        <v>14</v>
      </c>
      <c r="L10" t="n">
        <v>101.242</v>
      </c>
      <c r="M10" t="n">
        <v>134</v>
      </c>
      <c r="N10" t="n">
        <v>0.59</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10</v>
      </c>
      <c r="B11" t="n">
        <v>4</v>
      </c>
      <c r="C11" t="n">
        <v>1</v>
      </c>
      <c r="D11" t="n">
        <v>1</v>
      </c>
      <c r="E11" t="inlineStr">
        <is>
          <t>R1 y R4 dado que R2 está en paralelo con la fuente, R3 en circuito abierto y R5 cortocircuitada</t>
        </is>
      </c>
      <c r="F11" t="inlineStr">
        <is>
          <t>¿Hay alguna trayectoria continua de corriente que pase por R2 al conectar el nodo N2 con el nodo de referencia 0, o ese elemento queda aislado por la fuente?</t>
        </is>
      </c>
      <c r="G11" t="n">
        <v>3</v>
      </c>
      <c r="H11" t="n">
        <v>3</v>
      </c>
      <c r="I11" t="n">
        <v>3</v>
      </c>
      <c r="J11" t="n">
        <v>5</v>
      </c>
      <c r="K11" t="n">
        <v>14</v>
      </c>
      <c r="L11" t="n">
        <v>67.61499999999999</v>
      </c>
      <c r="M11" t="n">
        <v>266</v>
      </c>
      <c r="N11" t="n">
        <v>0.89</v>
      </c>
      <c r="O11" t="inlineStr">
        <is>
          <t>AC1, AC6</t>
        </is>
      </c>
      <c r="P11" t="inlineStr">
        <is>
          <t>AC1</t>
        </is>
      </c>
      <c r="Q11" t="n">
        <v>1</v>
      </c>
      <c r="R11" t="n">
        <v>0.5</v>
      </c>
      <c r="S11" t="n">
        <v>0.667</v>
      </c>
      <c r="T11" t="inlineStr"/>
      <c r="U11" t="inlineStr"/>
      <c r="V11" t="inlineStr"/>
      <c r="W1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2">
      <c r="A12" t="n">
        <v>11</v>
      </c>
      <c r="B12" t="n">
        <v>4</v>
      </c>
      <c r="C12" t="n">
        <v>2</v>
      </c>
      <c r="D12" t="n">
        <v>1</v>
      </c>
      <c r="E12" t="inlineStr">
        <is>
          <t>R1, R2 y R3 dado que R2 y R3 están en paralelo y forman un divisor de tensión con R1</t>
        </is>
      </c>
      <c r="F12" t="inlineStr">
        <is>
          <t>Considerando que R3 está en circuito abierto y R5 está cortocircuitada, ¿cómo afecta eso a la corriente que podría circular por R2 y al supuesto divisor de tensión con R1?</t>
        </is>
      </c>
      <c r="G12" t="n">
        <v>4</v>
      </c>
      <c r="H12" t="n">
        <v>4</v>
      </c>
      <c r="I12" t="n">
        <v>5</v>
      </c>
      <c r="J12" t="n">
        <v>5</v>
      </c>
      <c r="K12" t="n">
        <v>18</v>
      </c>
      <c r="L12" t="n">
        <v>52.764</v>
      </c>
      <c r="M12" t="n">
        <v>247</v>
      </c>
      <c r="N12" t="n">
        <v>1.14</v>
      </c>
      <c r="O12" t="inlineStr">
        <is>
          <t>AC1, AC9</t>
        </is>
      </c>
      <c r="P12" t="inlineStr">
        <is>
          <t>AC1</t>
        </is>
      </c>
      <c r="Q12" t="n">
        <v>1</v>
      </c>
      <c r="R12" t="n">
        <v>0.5</v>
      </c>
      <c r="S12" t="n">
        <v>0.667</v>
      </c>
      <c r="T12" t="inlineStr"/>
      <c r="U12" t="inlineStr"/>
      <c r="V12" t="inlineStr"/>
      <c r="W12"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13">
      <c r="A13" t="n">
        <v>12</v>
      </c>
      <c r="B13" t="n">
        <v>4</v>
      </c>
      <c r="C13" t="n">
        <v>3</v>
      </c>
      <c r="D13" t="n">
        <v>1</v>
      </c>
      <c r="E13" t="inlineStr">
        <is>
          <t>R1, R2, R4 y R5 dado que R3 está en circuito abierto</t>
        </is>
      </c>
      <c r="F13" t="inlineStr">
        <is>
          <t>¿Bajo la condición de que R3 está abierto y R5 está cortocircuitada, qué conexión de nodos necesita R4 para que exista una trayectoria de corriente a través de ella?</t>
        </is>
      </c>
      <c r="G13" t="n">
        <v>3</v>
      </c>
      <c r="H13" t="n">
        <v>3</v>
      </c>
      <c r="I13" t="n">
        <v>4</v>
      </c>
      <c r="J13" t="n">
        <v>5</v>
      </c>
      <c r="K13" t="n">
        <v>15</v>
      </c>
      <c r="L13" t="n">
        <v>40.871</v>
      </c>
      <c r="M13" t="n">
        <v>196</v>
      </c>
      <c r="N13" t="n">
        <v>1.47</v>
      </c>
      <c r="O13" t="inlineStr">
        <is>
          <t>AC1, AC6</t>
        </is>
      </c>
      <c r="P13" t="inlineStr">
        <is>
          <t>AC1</t>
        </is>
      </c>
      <c r="Q13" t="n">
        <v>1</v>
      </c>
      <c r="R13" t="n">
        <v>0.5</v>
      </c>
      <c r="S13" t="n">
        <v>0.667</v>
      </c>
      <c r="T13" t="inlineStr"/>
      <c r="U13" t="inlineStr"/>
      <c r="V13" t="inlineStr"/>
      <c r="W1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4">
      <c r="A14" t="n">
        <v>13</v>
      </c>
      <c r="B14" t="n">
        <v>5</v>
      </c>
      <c r="C14" t="n">
        <v>1</v>
      </c>
      <c r="D14" t="n">
        <v>1</v>
      </c>
      <c r="E14" t="inlineStr">
        <is>
          <t>R1, R2, R4 y R5 dado que R3 sobra</t>
        </is>
      </c>
      <c r="F14" t="inlineStr">
        <is>
          <t>¿Si los dos terminales de R5 están conectados al mismo nodo, qué efecto tiene eso sobre la corriente que podría pasar por ella?</t>
        </is>
      </c>
      <c r="G14" t="n">
        <v>3</v>
      </c>
      <c r="H14" t="n">
        <v>3</v>
      </c>
      <c r="I14" t="n">
        <v>3</v>
      </c>
      <c r="J14" t="n">
        <v>5</v>
      </c>
      <c r="K14" t="n">
        <v>14</v>
      </c>
      <c r="L14" t="n">
        <v>4.104</v>
      </c>
      <c r="M14" t="n">
        <v>187</v>
      </c>
      <c r="N14" t="n">
        <v>14.62</v>
      </c>
      <c r="O14" t="inlineStr">
        <is>
          <t>AC1, AC6</t>
        </is>
      </c>
      <c r="P14" t="inlineStr">
        <is>
          <t>AC1, AC6</t>
        </is>
      </c>
      <c r="Q14" t="n">
        <v>1</v>
      </c>
      <c r="R14" t="n">
        <v>1</v>
      </c>
      <c r="S14" t="n">
        <v>1</v>
      </c>
      <c r="T14" t="inlineStr"/>
      <c r="U14" t="inlineStr"/>
      <c r="V14" t="inlineStr"/>
      <c r="W1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5">
      <c r="A15" t="n">
        <v>14</v>
      </c>
      <c r="B15" t="n">
        <v>5</v>
      </c>
      <c r="C15" t="n">
        <v>2</v>
      </c>
      <c r="D15" t="n">
        <v>1</v>
      </c>
      <c r="E15" t="inlineStr">
        <is>
          <t>R1, R2, R4 y R5 dado que R3 no hace nada</t>
        </is>
      </c>
      <c r="F15" t="inlineStr">
        <is>
          <t>¿Qué condición de potencial entre los nodos a los que está conectado R3 haría que su corriente sea nula?</t>
        </is>
      </c>
      <c r="G15" t="n">
        <v>3</v>
      </c>
      <c r="H15" t="n">
        <v>3</v>
      </c>
      <c r="I15" t="n">
        <v>3</v>
      </c>
      <c r="J15" t="n">
        <v>5</v>
      </c>
      <c r="K15" t="n">
        <v>14</v>
      </c>
      <c r="L15" t="n">
        <v>3.582</v>
      </c>
      <c r="M15" t="n">
        <v>233</v>
      </c>
      <c r="N15" t="n">
        <v>16.75</v>
      </c>
      <c r="O15" t="inlineStr">
        <is>
          <t>AC1, AC6</t>
        </is>
      </c>
      <c r="P15" t="inlineStr">
        <is>
          <t>AC1</t>
        </is>
      </c>
      <c r="Q15" t="n">
        <v>1</v>
      </c>
      <c r="R15" t="n">
        <v>0.5</v>
      </c>
      <c r="S15" t="n">
        <v>0.667</v>
      </c>
      <c r="T15" t="inlineStr"/>
      <c r="U15" t="inlineStr"/>
      <c r="V15" t="inlineStr"/>
      <c r="W1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6">
      <c r="A16" t="n">
        <v>15</v>
      </c>
      <c r="B16" t="n">
        <v>5</v>
      </c>
      <c r="C16" t="n">
        <v>3</v>
      </c>
      <c r="D16" t="n">
        <v>1</v>
      </c>
      <c r="E16" t="inlineStr">
        <is>
          <t>R1, R2 y R4 dado que son las resistencias que forman parte del circuito.</t>
        </is>
      </c>
      <c r="F16" t="inlineStr">
        <is>
          <t>Si los dos terminales de R5 están unidos al mismo nodo, ¿qué valor tendría la diferencia de potencial entre ellos y qué implica eso para la corriente que podría circular por R5?</t>
        </is>
      </c>
      <c r="G16" t="n">
        <v>3</v>
      </c>
      <c r="H16" t="n">
        <v>5</v>
      </c>
      <c r="I16" t="n">
        <v>3</v>
      </c>
      <c r="J16" t="n">
        <v>5</v>
      </c>
      <c r="K16" t="n">
        <v>16</v>
      </c>
      <c r="L16" t="n">
        <v>2.117</v>
      </c>
      <c r="M16" t="n">
        <v>202</v>
      </c>
      <c r="N16" t="n">
        <v>28.35</v>
      </c>
      <c r="O16" t="inlineStr"/>
      <c r="P16" t="inlineStr">
        <is>
          <t>AC1, AC6</t>
        </is>
      </c>
      <c r="Q16" t="n">
        <v>0</v>
      </c>
      <c r="R16" t="n">
        <v>1</v>
      </c>
      <c r="S16" t="n">
        <v>0</v>
      </c>
      <c r="T16" t="inlineStr"/>
      <c r="U16" t="inlineStr"/>
      <c r="V16" t="inlineStr"/>
      <c r="W16"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17">
      <c r="A17" t="n">
        <v>16</v>
      </c>
      <c r="B17" t="n">
        <v>6</v>
      </c>
      <c r="C17" t="n">
        <v>1</v>
      </c>
      <c r="D17" t="n">
        <v>1</v>
      </c>
      <c r="E17" t="inlineStr">
        <is>
          <t>R1, R2 y R4 dado que R2 y R4 están en paralelo y forma un divisor de tensión con R1.</t>
        </is>
      </c>
      <c r="F17" t="inlineStr">
        <is>
          <t>¿En la rama que contiene el interruptor abierto entre N2 y N3 qué corriente puede circular a través de los componentes conectados allí?</t>
        </is>
      </c>
      <c r="G17" t="n">
        <v>3</v>
      </c>
      <c r="H17" t="n">
        <v>3</v>
      </c>
      <c r="I17" t="n">
        <v>3</v>
      </c>
      <c r="J17" t="n">
        <v>5</v>
      </c>
      <c r="K17" t="n">
        <v>14</v>
      </c>
      <c r="L17" t="n">
        <v>2.556</v>
      </c>
      <c r="M17" t="n">
        <v>258</v>
      </c>
      <c r="N17" t="n">
        <v>23.47</v>
      </c>
      <c r="O17" t="inlineStr"/>
      <c r="P17" t="inlineStr">
        <is>
          <t>AC1</t>
        </is>
      </c>
      <c r="Q17" t="n">
        <v>0</v>
      </c>
      <c r="R17" t="n">
        <v>1</v>
      </c>
      <c r="S17" t="n">
        <v>0</v>
      </c>
      <c r="T17" t="inlineStr"/>
      <c r="U17" t="inlineStr"/>
      <c r="V17" t="inlineStr"/>
      <c r="W1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8">
      <c r="A18" t="n">
        <v>17</v>
      </c>
      <c r="B18" t="n">
        <v>6</v>
      </c>
      <c r="C18" t="n">
        <v>2</v>
      </c>
      <c r="D18" t="n">
        <v>1</v>
      </c>
      <c r="E18" t="inlineStr">
        <is>
          <t>R1, R2 y R4 dado que R3 está en abierto y R5 cortocircuitada</t>
        </is>
      </c>
      <c r="F18" t="inlineStr">
        <is>
          <t>¿De qué manera el hecho de que R3 esté abierto y R5 en cortocircuito modifica la corriente que circula por R1, R2 y R4?  
¿Y cómo afecta esa modificación al divisor de tensión formado por R1 y el conjunto paralelo de R2‑R4?</t>
        </is>
      </c>
      <c r="G18" t="n">
        <v>3</v>
      </c>
      <c r="H18" t="n">
        <v>4</v>
      </c>
      <c r="I18" t="n">
        <v>5</v>
      </c>
      <c r="J18" t="n">
        <v>5</v>
      </c>
      <c r="K18" t="n">
        <v>17</v>
      </c>
      <c r="L18" t="n">
        <v>2.338</v>
      </c>
      <c r="M18" t="n">
        <v>240</v>
      </c>
      <c r="N18" t="n">
        <v>25.67</v>
      </c>
      <c r="O18" t="inlineStr">
        <is>
          <t>AC1, AC6</t>
        </is>
      </c>
      <c r="P18" t="inlineStr">
        <is>
          <t>AC1, AC6</t>
        </is>
      </c>
      <c r="Q18" t="n">
        <v>1</v>
      </c>
      <c r="R18" t="n">
        <v>1</v>
      </c>
      <c r="S18" t="n">
        <v>1</v>
      </c>
      <c r="T18" t="inlineStr"/>
      <c r="U18" t="inlineStr"/>
      <c r="V18" t="inlineStr"/>
      <c r="W18"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19">
      <c r="A19" t="n">
        <v>18</v>
      </c>
      <c r="B19" t="n">
        <v>6</v>
      </c>
      <c r="C19" t="n">
        <v>3</v>
      </c>
      <c r="D19" t="n">
        <v>1</v>
      </c>
      <c r="E19" t="inlineStr">
        <is>
          <t>R1, R2 y R4 dado que solo por estas resistencias circula una corriente diferente de cero</t>
        </is>
      </c>
      <c r="F19" t="inlineStr">
        <is>
          <t>¿Qué condición debe cumplirse en los nodos adyacentes a R3 y R5 para que únicamente R1, R2 y R4 tengan corriente?  
¿Y cómo se refleja esa condición en la ley de corrientes de Kirchhoff en el nodo que conecta esas tres resistencias?</t>
        </is>
      </c>
      <c r="G19" t="n">
        <v>3</v>
      </c>
      <c r="H19" t="n">
        <v>4</v>
      </c>
      <c r="I19" t="n">
        <v>5</v>
      </c>
      <c r="J19" t="n">
        <v>5</v>
      </c>
      <c r="K19" t="n">
        <v>17</v>
      </c>
      <c r="L19" t="n">
        <v>11.517</v>
      </c>
      <c r="M19" t="n">
        <v>188</v>
      </c>
      <c r="N19" t="n">
        <v>5.21</v>
      </c>
      <c r="O19" t="inlineStr"/>
      <c r="P19" t="inlineStr">
        <is>
          <t>AC1, AC9</t>
        </is>
      </c>
      <c r="Q19" t="n">
        <v>0</v>
      </c>
      <c r="R19" t="n">
        <v>1</v>
      </c>
      <c r="S19" t="n">
        <v>0</v>
      </c>
      <c r="T19" t="inlineStr"/>
      <c r="U19" t="inlineStr"/>
      <c r="V19" t="inlineStr"/>
      <c r="W19"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0">
      <c r="A20" t="n">
        <v>19</v>
      </c>
      <c r="B20" t="n">
        <v>7</v>
      </c>
      <c r="C20" t="n">
        <v>1</v>
      </c>
      <c r="D20" t="n">
        <v>1</v>
      </c>
      <c r="E20" t="inlineStr">
        <is>
          <t>R1, R2 y R4 dado que por R3 y por R5 no circula corriente</t>
        </is>
      </c>
      <c r="F20" t="inlineStr">
        <is>
          <t>¿Qué ocurre con la corriente en la rama que contiene el interruptor abierto entre N2 y N3, y cómo influye eso en la participación de R3 y R5 en la caída de potencial entre N2 y tierra?</t>
        </is>
      </c>
      <c r="G20" t="n">
        <v>4</v>
      </c>
      <c r="H20" t="n">
        <v>3</v>
      </c>
      <c r="I20" t="n">
        <v>3</v>
      </c>
      <c r="J20" t="n">
        <v>5</v>
      </c>
      <c r="K20" t="n">
        <v>15</v>
      </c>
      <c r="L20" t="n">
        <v>47.993</v>
      </c>
      <c r="M20" t="n">
        <v>300</v>
      </c>
      <c r="N20" t="n">
        <v>1.25</v>
      </c>
      <c r="O20" t="inlineStr">
        <is>
          <t>AC1, AC6</t>
        </is>
      </c>
      <c r="P20" t="inlineStr">
        <is>
          <t>AC1, AC9</t>
        </is>
      </c>
      <c r="Q20" t="n">
        <v>0.5</v>
      </c>
      <c r="R20" t="n">
        <v>0.5</v>
      </c>
      <c r="S20" t="n">
        <v>0.5</v>
      </c>
      <c r="T20" t="inlineStr"/>
      <c r="U20" t="inlineStr"/>
      <c r="V20" t="inlineStr"/>
      <c r="W20"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21">
      <c r="A21" t="n">
        <v>20</v>
      </c>
      <c r="B21" t="n">
        <v>7</v>
      </c>
      <c r="C21" t="n">
        <v>2</v>
      </c>
      <c r="D21" t="n">
        <v>1</v>
      </c>
      <c r="E21" t="inlineStr">
        <is>
          <t>R1, R2 y R4 dado que R3 y R5 se pueden quitar</t>
        </is>
      </c>
      <c r="F21" t="inlineStr">
        <is>
          <t>Si el interruptor que conecta los nodos N2 y N3 está abierto, ¿qué condición de corriente e impedancia presenta la rama que contiene a R3 y R5, y cómo afecta eso a la equivalencia del circuito entre N1 y tierra?</t>
        </is>
      </c>
      <c r="G21" t="n">
        <v>3</v>
      </c>
      <c r="H21" t="n">
        <v>4</v>
      </c>
      <c r="I21" t="n">
        <v>3</v>
      </c>
      <c r="J21" t="n">
        <v>5</v>
      </c>
      <c r="K21" t="n">
        <v>15</v>
      </c>
      <c r="L21" t="n">
        <v>43.125</v>
      </c>
      <c r="M21" t="n">
        <v>131</v>
      </c>
      <c r="N21" t="n">
        <v>1.39</v>
      </c>
      <c r="O21" t="inlineStr">
        <is>
          <t>AC1, AC6</t>
        </is>
      </c>
      <c r="P21" t="inlineStr">
        <is>
          <t>AC1, AC9</t>
        </is>
      </c>
      <c r="Q21" t="n">
        <v>0.5</v>
      </c>
      <c r="R21" t="n">
        <v>0.5</v>
      </c>
      <c r="S21" t="n">
        <v>0.5</v>
      </c>
      <c r="T21" t="inlineStr"/>
      <c r="U21" t="inlineStr"/>
      <c r="V21" t="inlineStr"/>
      <c r="W2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2">
      <c r="A22" t="n">
        <v>21</v>
      </c>
      <c r="B22" t="n">
        <v>7</v>
      </c>
      <c r="C22" t="n">
        <v>3</v>
      </c>
      <c r="D22" t="n">
        <v>1</v>
      </c>
      <c r="E22" t="inlineStr">
        <is>
          <t>R1, R2 y R4 dado que R3 y R5 no influyen para nada en la diferencia de potencial que se pide</t>
        </is>
      </c>
      <c r="F22" t="inlineStr">
        <is>
          <t>Si el interruptor entre N2 y N3 está abierto, ¿qué corriente (o ausencia de ella) circula por la rama que contiene a R3 y R5, y cómo influye eso en la caída de potencial entre N1 y tierra?</t>
        </is>
      </c>
      <c r="G22" t="n">
        <v>3</v>
      </c>
      <c r="H22" t="n">
        <v>3</v>
      </c>
      <c r="I22" t="n">
        <v>3</v>
      </c>
      <c r="J22" t="n">
        <v>5</v>
      </c>
      <c r="K22" t="n">
        <v>14</v>
      </c>
      <c r="L22" t="n">
        <v>73.367</v>
      </c>
      <c r="M22" t="n">
        <v>168</v>
      </c>
      <c r="N22" t="n">
        <v>0.82</v>
      </c>
      <c r="O22" t="inlineStr">
        <is>
          <t>AC1, AC6</t>
        </is>
      </c>
      <c r="P22" t="inlineStr">
        <is>
          <t>AC1, AC9</t>
        </is>
      </c>
      <c r="Q22" t="n">
        <v>0.5</v>
      </c>
      <c r="R22" t="n">
        <v>0.5</v>
      </c>
      <c r="S22" t="n">
        <v>0.5</v>
      </c>
      <c r="T22" t="inlineStr"/>
      <c r="U22" t="inlineStr"/>
      <c r="V22" t="inlineStr"/>
      <c r="W2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3">
      <c r="A23" t="n">
        <v>22</v>
      </c>
      <c r="B23" t="n">
        <v>8</v>
      </c>
      <c r="C23" t="n">
        <v>1</v>
      </c>
      <c r="D23" t="n">
        <v>1</v>
      </c>
      <c r="E23" t="inlineStr">
        <is>
          <t>R1, R2 y R4 dado que R3 y R5 sobran</t>
        </is>
      </c>
      <c r="F23" t="inlineStr">
        <is>
          <t>¿Qué ocurre con la corriente en la rama que contiene el interruptor abierto entre N2 y N3, y cómo influye eso en la participación de la resistencia situada en esa rama?</t>
        </is>
      </c>
      <c r="G23" t="n">
        <v>4</v>
      </c>
      <c r="H23" t="n">
        <v>4</v>
      </c>
      <c r="I23" t="n">
        <v>3</v>
      </c>
      <c r="J23" t="n">
        <v>5</v>
      </c>
      <c r="K23" t="n">
        <v>16</v>
      </c>
      <c r="L23" t="n">
        <v>52.15</v>
      </c>
      <c r="M23" t="n">
        <v>160</v>
      </c>
      <c r="N23" t="n">
        <v>1.15</v>
      </c>
      <c r="O23" t="inlineStr">
        <is>
          <t>AC1, AC6</t>
        </is>
      </c>
      <c r="P23" t="inlineStr">
        <is>
          <t>AC1</t>
        </is>
      </c>
      <c r="Q23" t="n">
        <v>1</v>
      </c>
      <c r="R23" t="n">
        <v>0.5</v>
      </c>
      <c r="S23" t="n">
        <v>0.667</v>
      </c>
      <c r="T23" t="inlineStr"/>
      <c r="U23" t="inlineStr"/>
      <c r="V23" t="inlineStr"/>
      <c r="W23"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24">
      <c r="A24" t="n">
        <v>23</v>
      </c>
      <c r="B24" t="n">
        <v>8</v>
      </c>
      <c r="C24" t="n">
        <v>2</v>
      </c>
      <c r="D24" t="n">
        <v>1</v>
      </c>
      <c r="E24" t="inlineStr">
        <is>
          <t>R1, R2 y R4 dado que R3 sobra</t>
        </is>
      </c>
      <c r="F24" t="inlineStr">
        <is>
          <t>¿Qué condición de continuidad entre los nodos N2 y N3 impide que la corriente atraviese R3 y, a partir de eso, cómo determina si R5 forma parte de la ruta activa del circuito?</t>
        </is>
      </c>
      <c r="G24" t="n">
        <v>3</v>
      </c>
      <c r="H24" t="n">
        <v>3</v>
      </c>
      <c r="I24" t="n">
        <v>3</v>
      </c>
      <c r="J24" t="n">
        <v>5</v>
      </c>
      <c r="K24" t="n">
        <v>14</v>
      </c>
      <c r="L24" t="n">
        <v>49.587</v>
      </c>
      <c r="M24" t="n">
        <v>196</v>
      </c>
      <c r="N24" t="n">
        <v>1.21</v>
      </c>
      <c r="O24" t="inlineStr">
        <is>
          <t>AC1</t>
        </is>
      </c>
      <c r="P24" t="inlineStr">
        <is>
          <t>AC1, AC9</t>
        </is>
      </c>
      <c r="Q24" t="n">
        <v>0.5</v>
      </c>
      <c r="R24" t="n">
        <v>1</v>
      </c>
      <c r="S24" t="n">
        <v>0.667</v>
      </c>
      <c r="T24" t="inlineStr"/>
      <c r="U24" t="inlineStr"/>
      <c r="V24" t="inlineStr"/>
      <c r="W2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5">
      <c r="A25" t="n">
        <v>24</v>
      </c>
      <c r="B25" t="n">
        <v>8</v>
      </c>
      <c r="C25" t="n">
        <v>3</v>
      </c>
      <c r="D25" t="n">
        <v>1</v>
      </c>
      <c r="E25" t="inlineStr">
        <is>
          <t>R1, R2 y R4 dado que R5 sobra</t>
        </is>
      </c>
      <c r="F25" t="inlineStr">
        <is>
          <t>¿Qué ocurre con el potencial entre los nodos que conecta R5 cuando el interruptor está abierto, y cómo eso impide que circule corriente por R5?  
¿Puedes identificar si existe una trayectoria completa que incluya a R5 en esas condiciones?</t>
        </is>
      </c>
      <c r="G25" t="n">
        <v>4</v>
      </c>
      <c r="H25" t="n">
        <v>3</v>
      </c>
      <c r="I25" t="n">
        <v>3</v>
      </c>
      <c r="J25" t="n">
        <v>5</v>
      </c>
      <c r="K25" t="n">
        <v>15</v>
      </c>
      <c r="L25" t="n">
        <v>41.899</v>
      </c>
      <c r="M25" t="n">
        <v>202</v>
      </c>
      <c r="N25" t="n">
        <v>1.43</v>
      </c>
      <c r="O25" t="inlineStr">
        <is>
          <t>AC6</t>
        </is>
      </c>
      <c r="P25" t="inlineStr">
        <is>
          <t>AC1</t>
        </is>
      </c>
      <c r="Q25" t="n">
        <v>0</v>
      </c>
      <c r="R25" t="n">
        <v>0</v>
      </c>
      <c r="S25" t="n">
        <v>0</v>
      </c>
      <c r="T25" t="inlineStr"/>
      <c r="U25" t="inlineStr"/>
      <c r="V25" t="inlineStr"/>
      <c r="W2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26">
      <c r="A26" t="n">
        <v>25</v>
      </c>
      <c r="B26" t="n">
        <v>9</v>
      </c>
      <c r="C26" t="n">
        <v>1</v>
      </c>
      <c r="D26" t="n">
        <v>1</v>
      </c>
      <c r="E26" t="inlineStr">
        <is>
          <t>R1, R2 y R4 dado que R3 está en abierto</t>
        </is>
      </c>
      <c r="F26" t="inlineStr">
        <is>
          <t>¿Consideras qué corriente puede circular a través de la rama que incluye el interruptor abierto y cómo influye eso en la contribución de esa resistencia al potencial entre N2 y 0?</t>
        </is>
      </c>
      <c r="G26" t="n">
        <v>3</v>
      </c>
      <c r="H26" t="n">
        <v>4</v>
      </c>
      <c r="I26" t="n">
        <v>3</v>
      </c>
      <c r="J26" t="n">
        <v>5</v>
      </c>
      <c r="K26" t="n">
        <v>15</v>
      </c>
      <c r="L26" t="n">
        <v>12.796</v>
      </c>
      <c r="M26" t="n">
        <v>175</v>
      </c>
      <c r="N26" t="n">
        <v>4.69</v>
      </c>
      <c r="O26" t="inlineStr">
        <is>
          <t>AC1</t>
        </is>
      </c>
      <c r="P26" t="inlineStr">
        <is>
          <t>AC1</t>
        </is>
      </c>
      <c r="Q26" t="n">
        <v>1</v>
      </c>
      <c r="R26" t="n">
        <v>1</v>
      </c>
      <c r="S26" t="n">
        <v>1</v>
      </c>
      <c r="T26" t="inlineStr"/>
      <c r="U26" t="inlineStr"/>
      <c r="V26" t="inlineStr"/>
      <c r="W2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7">
      <c r="A27" t="n">
        <v>26</v>
      </c>
      <c r="B27" t="n">
        <v>9</v>
      </c>
      <c r="C27" t="n">
        <v>2</v>
      </c>
      <c r="D27" t="n">
        <v>1</v>
      </c>
      <c r="E27" t="inlineStr">
        <is>
          <t>R1, R2 y R4 dado que  R5 cortocircuitada</t>
        </is>
      </c>
      <c r="F27" t="inlineStr">
        <is>
          <t>¿De qué manera el cortocircuito en R5 modifica la conexión entre los nodos que enlazan R4 y R3, y cómo afecta eso a la ruta de corriente que atraviesa R1 y R2?</t>
        </is>
      </c>
      <c r="G27" t="n">
        <v>3</v>
      </c>
      <c r="H27" t="n">
        <v>4</v>
      </c>
      <c r="I27" t="n">
        <v>4</v>
      </c>
      <c r="J27" t="n">
        <v>5</v>
      </c>
      <c r="K27" t="n">
        <v>16</v>
      </c>
      <c r="L27" t="n">
        <v>42.536</v>
      </c>
      <c r="M27" t="n">
        <v>188</v>
      </c>
      <c r="N27" t="n">
        <v>1.41</v>
      </c>
      <c r="O27" t="inlineStr">
        <is>
          <t>AC6</t>
        </is>
      </c>
      <c r="P27" t="inlineStr">
        <is>
          <t>AC1, AC6, AC9</t>
        </is>
      </c>
      <c r="Q27" t="n">
        <v>0.333</v>
      </c>
      <c r="R27" t="n">
        <v>1</v>
      </c>
      <c r="S27" t="n">
        <v>0.5</v>
      </c>
      <c r="T27" t="inlineStr"/>
      <c r="U27" t="inlineStr"/>
      <c r="V27" t="inlineStr"/>
      <c r="W2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8">
      <c r="A28" t="n">
        <v>27</v>
      </c>
      <c r="B28" t="n">
        <v>9</v>
      </c>
      <c r="C28" t="n">
        <v>3</v>
      </c>
      <c r="D28" t="n">
        <v>1</v>
      </c>
      <c r="E28" t="inlineStr">
        <is>
          <t>R1, R2 y R4 dado que por R3 no circula corriente</t>
        </is>
      </c>
      <c r="F28" t="inlineStr">
        <is>
          <t>¿De qué modo la falta de corriente en R3 modifica la caída de tensión entre los nodos que unen R1, R2 y R4?  
¿Qué implica eso para identificar cuáles resistencias están realmente en la rama activa del circuito?</t>
        </is>
      </c>
      <c r="G28" t="n">
        <v>3</v>
      </c>
      <c r="H28" t="n">
        <v>4</v>
      </c>
      <c r="I28" t="n">
        <v>5</v>
      </c>
      <c r="J28" t="n">
        <v>5</v>
      </c>
      <c r="K28" t="n">
        <v>17</v>
      </c>
      <c r="L28" t="n">
        <v>47.198</v>
      </c>
      <c r="M28" t="n">
        <v>211</v>
      </c>
      <c r="N28" t="n">
        <v>1.27</v>
      </c>
      <c r="O28" t="inlineStr">
        <is>
          <t>AC1</t>
        </is>
      </c>
      <c r="P28" t="inlineStr">
        <is>
          <t>AC1, AC9</t>
        </is>
      </c>
      <c r="Q28" t="n">
        <v>0.5</v>
      </c>
      <c r="R28" t="n">
        <v>1</v>
      </c>
      <c r="S28" t="n">
        <v>0.667</v>
      </c>
      <c r="T28" t="inlineStr"/>
      <c r="U28" t="inlineStr"/>
      <c r="V28" t="inlineStr"/>
      <c r="W28"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29">
      <c r="A29" t="n">
        <v>28</v>
      </c>
      <c r="B29" t="n">
        <v>10</v>
      </c>
      <c r="C29" t="n">
        <v>1</v>
      </c>
      <c r="D29" t="n">
        <v>1</v>
      </c>
      <c r="E29" t="inlineStr">
        <is>
          <t>R1, R2 y R4 dado que por  R5 no circula corriente</t>
        </is>
      </c>
      <c r="F29" t="inlineStr">
        <is>
          <t>¿Qué tienen en común los dos terminales a los que está conectada R5 y cómo eso determina si R5 influye en la diferencia de potencial entre N2 y 0?</t>
        </is>
      </c>
      <c r="G29" t="n">
        <v>3</v>
      </c>
      <c r="H29" t="n">
        <v>2</v>
      </c>
      <c r="I29" t="n">
        <v>3</v>
      </c>
      <c r="J29" t="n">
        <v>5</v>
      </c>
      <c r="K29" t="n">
        <v>13</v>
      </c>
      <c r="L29" t="n">
        <v>48.895</v>
      </c>
      <c r="M29" t="n">
        <v>290</v>
      </c>
      <c r="N29" t="n">
        <v>1.23</v>
      </c>
      <c r="O29" t="inlineStr">
        <is>
          <t>AC6</t>
        </is>
      </c>
      <c r="P29" t="inlineStr">
        <is>
          <t>AC6</t>
        </is>
      </c>
      <c r="Q29" t="n">
        <v>1</v>
      </c>
      <c r="R29" t="n">
        <v>1</v>
      </c>
      <c r="S29" t="n">
        <v>1</v>
      </c>
      <c r="T29" t="inlineStr"/>
      <c r="U29" t="inlineStr"/>
      <c r="V29" t="inlineStr"/>
      <c r="W2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0">
      <c r="A30" t="n">
        <v>29</v>
      </c>
      <c r="B30" t="n">
        <v>10</v>
      </c>
      <c r="C30" t="n">
        <v>2</v>
      </c>
      <c r="D30" t="n">
        <v>1</v>
      </c>
      <c r="E30" t="inlineStr">
        <is>
          <t>R1, R2 y R4 dado que R3 se puede quitar</t>
        </is>
      </c>
      <c r="F30" t="inlineStr">
        <is>
          <t>Si ambos extremos de R3 están conectados al mismo nodo, ¿qué corriente circularía a través de él?</t>
        </is>
      </c>
      <c r="G30" t="n">
        <v>3</v>
      </c>
      <c r="H30" t="n">
        <v>3</v>
      </c>
      <c r="I30" t="n">
        <v>3</v>
      </c>
      <c r="J30" t="n">
        <v>5</v>
      </c>
      <c r="K30" t="n">
        <v>14</v>
      </c>
      <c r="L30" t="n">
        <v>44.83</v>
      </c>
      <c r="M30" t="n">
        <v>170</v>
      </c>
      <c r="N30" t="n">
        <v>1.34</v>
      </c>
      <c r="O30" t="inlineStr">
        <is>
          <t>AC1</t>
        </is>
      </c>
      <c r="P30" t="inlineStr">
        <is>
          <t>AC1, AC6</t>
        </is>
      </c>
      <c r="Q30" t="n">
        <v>0.5</v>
      </c>
      <c r="R30" t="n">
        <v>1</v>
      </c>
      <c r="S30" t="n">
        <v>0.667</v>
      </c>
      <c r="T30" t="inlineStr"/>
      <c r="U30" t="inlineStr"/>
      <c r="V30" t="inlineStr"/>
      <c r="W3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1">
      <c r="A31" t="n">
        <v>30</v>
      </c>
      <c r="B31" t="n">
        <v>10</v>
      </c>
      <c r="C31" t="n">
        <v>3</v>
      </c>
      <c r="D31" t="n">
        <v>1</v>
      </c>
      <c r="E31" t="inlineStr">
        <is>
          <t>R1, R2 y R4 dado que R5 se puede quitar</t>
        </is>
      </c>
      <c r="F31" t="inlineStr">
        <is>
          <t>¿Qué potenciales presentan los extremos de R5 y qué indica eso sobre la corriente que podría circular por él?</t>
        </is>
      </c>
      <c r="G31" t="n">
        <v>3</v>
      </c>
      <c r="H31" t="n">
        <v>2</v>
      </c>
      <c r="I31" t="n">
        <v>3</v>
      </c>
      <c r="J31" t="n">
        <v>5</v>
      </c>
      <c r="K31" t="n">
        <v>13</v>
      </c>
      <c r="L31" t="n">
        <v>45.793</v>
      </c>
      <c r="M31" t="n">
        <v>238</v>
      </c>
      <c r="N31" t="n">
        <v>1.31</v>
      </c>
      <c r="O31" t="inlineStr">
        <is>
          <t>AC6</t>
        </is>
      </c>
      <c r="P31" t="inlineStr">
        <is>
          <t>AC1</t>
        </is>
      </c>
      <c r="Q31" t="n">
        <v>0</v>
      </c>
      <c r="R31" t="n">
        <v>0</v>
      </c>
      <c r="S31" t="n">
        <v>0</v>
      </c>
      <c r="T31" t="inlineStr"/>
      <c r="U31" t="inlineStr"/>
      <c r="V31" t="inlineStr"/>
      <c r="W3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2">
      <c r="A32" t="n">
        <v>31</v>
      </c>
      <c r="B32" t="n">
        <v>11</v>
      </c>
      <c r="C32" t="n">
        <v>1</v>
      </c>
      <c r="D32" t="n">
        <v>1</v>
      </c>
      <c r="E32" t="inlineStr">
        <is>
          <t>R1, R2 y R4 dado que R3 no influye para nada en la diferencia de potencial que se pide</t>
        </is>
      </c>
      <c r="F32" t="inlineStr">
        <is>
          <t>Si observas el netlist, ¿qué tienen en común los dos terminales de R5 y cómo afecta eso a la diferencia de potencial entre N2 y tierra?</t>
        </is>
      </c>
      <c r="G32" t="n">
        <v>3</v>
      </c>
      <c r="H32" t="n">
        <v>3</v>
      </c>
      <c r="I32" t="n">
        <v>3</v>
      </c>
      <c r="J32" t="n">
        <v>5</v>
      </c>
      <c r="K32" t="n">
        <v>14</v>
      </c>
      <c r="L32" t="n">
        <v>42.996</v>
      </c>
      <c r="M32" t="n">
        <v>239</v>
      </c>
      <c r="N32" t="n">
        <v>1.4</v>
      </c>
      <c r="O32" t="inlineStr">
        <is>
          <t>AC1</t>
        </is>
      </c>
      <c r="P32" t="inlineStr">
        <is>
          <t>AC6, AC9</t>
        </is>
      </c>
      <c r="Q32" t="n">
        <v>0</v>
      </c>
      <c r="R32" t="n">
        <v>0</v>
      </c>
      <c r="S32" t="n">
        <v>0</v>
      </c>
      <c r="T32" t="inlineStr"/>
      <c r="U32" t="inlineStr"/>
      <c r="V32" t="inlineStr"/>
      <c r="W3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3">
      <c r="A33" t="n">
        <v>32</v>
      </c>
      <c r="B33" t="n">
        <v>11</v>
      </c>
      <c r="C33" t="n">
        <v>2</v>
      </c>
      <c r="D33" t="n">
        <v>1</v>
      </c>
      <c r="E33" t="inlineStr">
        <is>
          <t>R1, R2 y R4 dado que R5 no influye para nada en la diferencia de potencial que se pide</t>
        </is>
      </c>
      <c r="F33" t="inlineStr">
        <is>
          <t>Si R5 está conectado entre dos nodos que ya están al mismo potencial, ¿cómo influye eso en la caída de tensión entre N2 y tierra?</t>
        </is>
      </c>
      <c r="G33" t="n">
        <v>4</v>
      </c>
      <c r="H33" t="n">
        <v>3</v>
      </c>
      <c r="I33" t="n">
        <v>3</v>
      </c>
      <c r="J33" t="n">
        <v>5</v>
      </c>
      <c r="K33" t="n">
        <v>15</v>
      </c>
      <c r="L33" t="n">
        <v>4.878</v>
      </c>
      <c r="M33" t="n">
        <v>154</v>
      </c>
      <c r="N33" t="n">
        <v>12.3</v>
      </c>
      <c r="O33" t="inlineStr">
        <is>
          <t>AC6</t>
        </is>
      </c>
      <c r="P33" t="inlineStr">
        <is>
          <t>AC6, AC9</t>
        </is>
      </c>
      <c r="Q33" t="n">
        <v>0.5</v>
      </c>
      <c r="R33" t="n">
        <v>1</v>
      </c>
      <c r="S33" t="n">
        <v>0.667</v>
      </c>
      <c r="T33" t="inlineStr"/>
      <c r="U33" t="inlineStr"/>
      <c r="V33" t="inlineStr"/>
      <c r="W3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4">
      <c r="A34" t="n">
        <v>33</v>
      </c>
      <c r="B34" t="n">
        <v>11</v>
      </c>
      <c r="C34" t="n">
        <v>3</v>
      </c>
      <c r="D34" t="n">
        <v>1</v>
      </c>
      <c r="E34" t="inlineStr">
        <is>
          <t>No lo sé</t>
        </is>
      </c>
      <c r="F34" t="inlineStr">
        <is>
          <t>¿De qué manera la configuración en serie o paralelo de R1, R2 y R4 determina el potencial del nodo N2 con respecto a tierra?</t>
        </is>
      </c>
      <c r="G34" t="n">
        <v>3</v>
      </c>
      <c r="H34" t="n">
        <v>3</v>
      </c>
      <c r="I34" t="n">
        <v>2</v>
      </c>
      <c r="J34" t="n">
        <v>5</v>
      </c>
      <c r="K34" t="n">
        <v>13</v>
      </c>
      <c r="L34" t="n">
        <v>5.163</v>
      </c>
      <c r="M34" t="n">
        <v>208</v>
      </c>
      <c r="N34" t="n">
        <v>11.62</v>
      </c>
      <c r="O34" t="inlineStr">
        <is>
          <t>AC9</t>
        </is>
      </c>
      <c r="P34" t="inlineStr">
        <is>
          <t>AC9</t>
        </is>
      </c>
      <c r="Q34" t="n">
        <v>1</v>
      </c>
      <c r="R34" t="n">
        <v>1</v>
      </c>
      <c r="S34" t="n">
        <v>1</v>
      </c>
      <c r="T34" t="inlineStr"/>
      <c r="U34" t="inlineStr"/>
      <c r="V34" t="inlineStr"/>
      <c r="W3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5">
      <c r="A35" t="n">
        <v>34</v>
      </c>
      <c r="B35" t="n">
        <v>12</v>
      </c>
      <c r="C35" t="n">
        <v>1</v>
      </c>
      <c r="D35" t="n">
        <v>1</v>
      </c>
      <c r="E35" t="inlineStr">
        <is>
          <t>Todas las resistencias</t>
        </is>
      </c>
      <c r="F35" t="inlineStr">
        <is>
          <t>¿Qué ocurre con la corriente en la rama que contiene el interruptor abierto entre N2 y N3, y cómo afecta eso a la caída de tensión de la resistencia ubicada en esa rama?</t>
        </is>
      </c>
      <c r="G35" t="n">
        <v>4</v>
      </c>
      <c r="H35" t="n">
        <v>3</v>
      </c>
      <c r="I35" t="n">
        <v>2</v>
      </c>
      <c r="J35" t="n">
        <v>5</v>
      </c>
      <c r="K35" t="n">
        <v>14</v>
      </c>
      <c r="L35" t="n">
        <v>2.866</v>
      </c>
      <c r="M35" t="n">
        <v>242</v>
      </c>
      <c r="N35" t="n">
        <v>20.94</v>
      </c>
      <c r="O35" t="inlineStr">
        <is>
          <t>AC9</t>
        </is>
      </c>
      <c r="P35" t="inlineStr">
        <is>
          <t>AC1</t>
        </is>
      </c>
      <c r="Q35" t="n">
        <v>0</v>
      </c>
      <c r="R35" t="n">
        <v>0</v>
      </c>
      <c r="S35" t="n">
        <v>0</v>
      </c>
      <c r="T35" t="inlineStr"/>
      <c r="U35" t="inlineStr"/>
      <c r="V35" t="inlineStr"/>
      <c r="W3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6">
      <c r="A36" t="n">
        <v>35</v>
      </c>
      <c r="B36" t="n">
        <v>12</v>
      </c>
      <c r="C36" t="n">
        <v>2</v>
      </c>
      <c r="D36" t="n">
        <v>1</v>
      </c>
      <c r="E36" t="inlineStr">
        <is>
          <t>R1 y R2</t>
        </is>
      </c>
      <c r="F36" t="inlineStr">
        <is>
          <t>¿En qué nodo o rama del circuito la corriente es nula debido al interruptor abierto, y cómo influye esa condición en la caída de tensión de cada resistencia conectada allí?</t>
        </is>
      </c>
      <c r="G36" t="n">
        <v>3</v>
      </c>
      <c r="H36" t="n">
        <v>3</v>
      </c>
      <c r="I36" t="n">
        <v>2</v>
      </c>
      <c r="J36" t="n">
        <v>5</v>
      </c>
      <c r="K36" t="n">
        <v>13</v>
      </c>
      <c r="L36" t="n">
        <v>26.434</v>
      </c>
      <c r="M36" t="n">
        <v>195</v>
      </c>
      <c r="N36" t="n">
        <v>2.27</v>
      </c>
      <c r="O36" t="inlineStr">
        <is>
          <t>AC9</t>
        </is>
      </c>
      <c r="P36" t="inlineStr">
        <is>
          <t>AC1</t>
        </is>
      </c>
      <c r="Q36" t="n">
        <v>0</v>
      </c>
      <c r="R36" t="n">
        <v>0</v>
      </c>
      <c r="S36" t="n">
        <v>0</v>
      </c>
      <c r="T36" t="inlineStr"/>
      <c r="U36" t="inlineStr"/>
      <c r="V36" t="inlineStr"/>
      <c r="W3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7">
      <c r="A37" t="n">
        <v>36</v>
      </c>
      <c r="B37" t="n">
        <v>12</v>
      </c>
      <c r="C37" t="n">
        <v>3</v>
      </c>
      <c r="D37" t="n">
        <v>1</v>
      </c>
      <c r="E37" t="inlineStr">
        <is>
          <t>R1, R2 y R4</t>
        </is>
      </c>
      <c r="F37" t="inlineStr">
        <is>
          <t>Si el interruptor está abierto, ¿qué ocurre con la corriente en la rama que contiene a R2 y cómo afecta eso a la caída de tensión en cada una de las resistencias de esa rama?</t>
        </is>
      </c>
      <c r="G37" t="n">
        <v>4</v>
      </c>
      <c r="H37" t="n">
        <v>4</v>
      </c>
      <c r="I37" t="n">
        <v>2</v>
      </c>
      <c r="J37" t="n">
        <v>5</v>
      </c>
      <c r="K37" t="n">
        <v>15</v>
      </c>
      <c r="L37" t="n">
        <v>44.362</v>
      </c>
      <c r="M37" t="n">
        <v>101</v>
      </c>
      <c r="N37" t="n">
        <v>1.35</v>
      </c>
      <c r="O37" t="inlineStr"/>
      <c r="P37" t="inlineStr">
        <is>
          <t>AC1, AC9</t>
        </is>
      </c>
      <c r="Q37" t="n">
        <v>0</v>
      </c>
      <c r="R37" t="n">
        <v>1</v>
      </c>
      <c r="S37" t="n">
        <v>0</v>
      </c>
      <c r="T37" t="inlineStr"/>
      <c r="U37" t="inlineStr"/>
      <c r="V37" t="inlineStr"/>
      <c r="W37"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38">
      <c r="A38" t="n">
        <v>37</v>
      </c>
      <c r="B38" t="n">
        <v>13</v>
      </c>
      <c r="C38" t="n">
        <v>1</v>
      </c>
      <c r="D38" t="n">
        <v>1</v>
      </c>
      <c r="E38" t="inlineStr">
        <is>
          <t>R1, R2, R4 y R5</t>
        </is>
      </c>
      <c r="F38" t="inlineStr">
        <is>
          <t>¿Qué observas en el netlist respecto a los nodos a los que están conectados ambos extremos de R5, y cómo influye eso en la caída de potencial a través de ella?</t>
        </is>
      </c>
      <c r="G38" t="n">
        <v>3</v>
      </c>
      <c r="H38" t="n">
        <v>3</v>
      </c>
      <c r="I38" t="n">
        <v>3</v>
      </c>
      <c r="J38" t="n">
        <v>5</v>
      </c>
      <c r="K38" t="n">
        <v>14</v>
      </c>
      <c r="L38" t="n">
        <v>51.74</v>
      </c>
      <c r="M38" t="n">
        <v>238</v>
      </c>
      <c r="N38" t="n">
        <v>1.16</v>
      </c>
      <c r="O38" t="inlineStr">
        <is>
          <t>AC6</t>
        </is>
      </c>
      <c r="P38" t="inlineStr">
        <is>
          <t>AC6</t>
        </is>
      </c>
      <c r="Q38" t="n">
        <v>1</v>
      </c>
      <c r="R38" t="n">
        <v>1</v>
      </c>
      <c r="S38" t="n">
        <v>1</v>
      </c>
      <c r="T38" t="inlineStr"/>
      <c r="U38" t="inlineStr"/>
      <c r="V38" t="inlineStr"/>
      <c r="W3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9">
      <c r="A39" t="n">
        <v>38</v>
      </c>
      <c r="B39" t="n">
        <v>13</v>
      </c>
      <c r="C39" t="n">
        <v>2</v>
      </c>
      <c r="D39" t="n">
        <v>1</v>
      </c>
      <c r="E39" t="inlineStr">
        <is>
          <t>R1, R2, R3 y R4</t>
        </is>
      </c>
      <c r="F39" t="inlineStr">
        <is>
          <t>¿Qué condición debe cumplir un par de resistencias para estar en serie respecto a un nodo, y cómo se aplica esa condición a los componentes que has enumerado?</t>
        </is>
      </c>
      <c r="G39" t="n">
        <v>3</v>
      </c>
      <c r="H39" t="n">
        <v>3</v>
      </c>
      <c r="I39" t="n">
        <v>2</v>
      </c>
      <c r="J39" t="n">
        <v>5</v>
      </c>
      <c r="K39" t="n">
        <v>13</v>
      </c>
      <c r="L39" t="n">
        <v>47.098</v>
      </c>
      <c r="M39" t="n">
        <v>210</v>
      </c>
      <c r="N39" t="n">
        <v>1.27</v>
      </c>
      <c r="O39" t="inlineStr">
        <is>
          <t>AC1</t>
        </is>
      </c>
      <c r="P39" t="inlineStr">
        <is>
          <t>AC9</t>
        </is>
      </c>
      <c r="Q39" t="n">
        <v>0</v>
      </c>
      <c r="R39" t="n">
        <v>0</v>
      </c>
      <c r="S39" t="n">
        <v>0</v>
      </c>
      <c r="T39" t="inlineStr"/>
      <c r="U39" t="inlineStr"/>
      <c r="V39" t="inlineStr"/>
      <c r="W3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0">
      <c r="A40" t="n">
        <v>39</v>
      </c>
      <c r="B40" t="n">
        <v>13</v>
      </c>
      <c r="C40" t="n">
        <v>3</v>
      </c>
      <c r="D40" t="n">
        <v>1</v>
      </c>
      <c r="E40" t="inlineStr">
        <is>
          <t>R1 y R2 y R4 hacen un divisor de corriente</t>
        </is>
      </c>
      <c r="F40" t="inlineStr">
        <is>
          <t>¿Cuáles son los nodos comunes entre R1, R2 y R4 y cómo determina esa conexión si forman un divisor de corriente o no?</t>
        </is>
      </c>
      <c r="G40" t="n">
        <v>3</v>
      </c>
      <c r="H40" t="n">
        <v>3</v>
      </c>
      <c r="I40" t="n">
        <v>5</v>
      </c>
      <c r="J40" t="n">
        <v>5</v>
      </c>
      <c r="K40" t="n">
        <v>16</v>
      </c>
      <c r="L40" t="n">
        <v>40.673</v>
      </c>
      <c r="M40" t="n">
        <v>85</v>
      </c>
      <c r="N40" t="n">
        <v>1.48</v>
      </c>
      <c r="O40" t="inlineStr"/>
      <c r="P40" t="inlineStr">
        <is>
          <t>AC1</t>
        </is>
      </c>
      <c r="Q40" t="n">
        <v>0</v>
      </c>
      <c r="R40" t="n">
        <v>1</v>
      </c>
      <c r="S40" t="n">
        <v>0</v>
      </c>
      <c r="T40" t="inlineStr"/>
      <c r="U40" t="inlineStr"/>
      <c r="V40" t="inlineStr"/>
      <c r="W4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1">
      <c r="A41" t="n">
        <v>40</v>
      </c>
      <c r="B41" t="n">
        <v>14</v>
      </c>
      <c r="C41" t="n">
        <v>1</v>
      </c>
      <c r="D41" t="n">
        <v>1</v>
      </c>
      <c r="E41" t="inlineStr">
        <is>
          <t>R1 y R2 y R4 hacen un divisor de tensión, r3 no cuenta por estar en corto</t>
        </is>
      </c>
      <c r="F41" t="inlineStr">
        <is>
          <t>¿De qué manera influye el interruptor abierto entre los nudos N2 y N3 en la corriente que podría circular por la rama que contiene a R3?</t>
        </is>
      </c>
      <c r="G41" t="n">
        <v>3</v>
      </c>
      <c r="H41" t="n">
        <v>3</v>
      </c>
      <c r="I41" t="n">
        <v>3</v>
      </c>
      <c r="J41" t="n">
        <v>5</v>
      </c>
      <c r="K41" t="n">
        <v>14</v>
      </c>
      <c r="L41" t="n">
        <v>53.581</v>
      </c>
      <c r="M41" t="n">
        <v>291</v>
      </c>
      <c r="N41" t="n">
        <v>1.12</v>
      </c>
      <c r="O41" t="inlineStr">
        <is>
          <t>AC1</t>
        </is>
      </c>
      <c r="P41" t="inlineStr">
        <is>
          <t>AC1</t>
        </is>
      </c>
      <c r="Q41" t="n">
        <v>1</v>
      </c>
      <c r="R41" t="n">
        <v>1</v>
      </c>
      <c r="S41" t="n">
        <v>1</v>
      </c>
      <c r="T41" t="inlineStr"/>
      <c r="U41" t="inlineStr"/>
      <c r="V41" t="inlineStr"/>
      <c r="W4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2">
      <c r="A42" t="n">
        <v>41</v>
      </c>
      <c r="B42" t="n">
        <v>14</v>
      </c>
      <c r="C42" t="n">
        <v>2</v>
      </c>
      <c r="D42" t="n">
        <v>1</v>
      </c>
      <c r="E42" t="inlineStr">
        <is>
          <t>No tengo en cuenta R3 porque el interruptor está cerrado</t>
        </is>
      </c>
      <c r="F42" t="inlineStr">
        <is>
          <t>Si el interruptor está cerrado, ¿qué ocurre con la rama que contiene a R3 y cómo afecta eso al divisor de tensión?</t>
        </is>
      </c>
      <c r="G42" t="n">
        <v>4</v>
      </c>
      <c r="H42" t="n">
        <v>3</v>
      </c>
      <c r="I42" t="n">
        <v>5</v>
      </c>
      <c r="J42" t="n">
        <v>5</v>
      </c>
      <c r="K42" t="n">
        <v>17</v>
      </c>
      <c r="L42" t="n">
        <v>4.747</v>
      </c>
      <c r="M42" t="n">
        <v>163</v>
      </c>
      <c r="N42" t="n">
        <v>12.64</v>
      </c>
      <c r="O42" t="inlineStr">
        <is>
          <t>AC1, AC9</t>
        </is>
      </c>
      <c r="P42" t="inlineStr">
        <is>
          <t>AC1</t>
        </is>
      </c>
      <c r="Q42" t="n">
        <v>1</v>
      </c>
      <c r="R42" t="n">
        <v>0.5</v>
      </c>
      <c r="S42" t="n">
        <v>0.667</v>
      </c>
      <c r="T42" t="inlineStr"/>
      <c r="U42" t="inlineStr"/>
      <c r="V42" t="inlineStr"/>
      <c r="W4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43">
      <c r="A43" t="n">
        <v>42</v>
      </c>
      <c r="B43" t="n">
        <v>14</v>
      </c>
      <c r="C43" t="n">
        <v>3</v>
      </c>
      <c r="D43" t="n">
        <v>1</v>
      </c>
      <c r="E43" t="inlineStr">
        <is>
          <t>No tengo en cuenta R5 porque está en circuito abierto</t>
        </is>
      </c>
      <c r="F43" t="inlineStr">
        <is>
          <t>¿De qué manera el hecho de que R5 esté en circuito abierto modifica el potencial del nodo al que está conectado y, por consiguiente, el comportamiento del resto del divisor de tensión?</t>
        </is>
      </c>
      <c r="G43" t="n">
        <v>3</v>
      </c>
      <c r="H43" t="n">
        <v>3</v>
      </c>
      <c r="I43" t="n">
        <v>5</v>
      </c>
      <c r="J43" t="n">
        <v>5</v>
      </c>
      <c r="K43" t="n">
        <v>16</v>
      </c>
      <c r="L43" t="n">
        <v>7.189</v>
      </c>
      <c r="M43" t="n">
        <v>146</v>
      </c>
      <c r="N43" t="n">
        <v>8.35</v>
      </c>
      <c r="O43" t="inlineStr">
        <is>
          <t>AC6, AC9</t>
        </is>
      </c>
      <c r="P43" t="inlineStr">
        <is>
          <t>AC1</t>
        </is>
      </c>
      <c r="Q43" t="n">
        <v>0</v>
      </c>
      <c r="R43" t="n">
        <v>0</v>
      </c>
      <c r="S43" t="n">
        <v>0</v>
      </c>
      <c r="T43" t="inlineStr"/>
      <c r="U43" t="inlineStr"/>
      <c r="V43" t="inlineStr"/>
      <c r="W4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211</v>
      </c>
      <c r="B2" t="n">
        <v>71</v>
      </c>
      <c r="C2" t="n">
        <v>1</v>
      </c>
      <c r="D2" t="n">
        <v>1</v>
      </c>
      <c r="E2" t="inlineStr">
        <is>
          <t>R1 y R2 dado que las dos resistencia forman un divisor de tensión</t>
        </is>
      </c>
      <c r="F2" t="inlineStr">
        <is>
          <t>¿Qué componente conecta directamente el nudo N2 al nodo 0, además de R1 y R2?</t>
        </is>
      </c>
      <c r="G2" t="n">
        <v>3</v>
      </c>
      <c r="H2" t="n">
        <v>2</v>
      </c>
      <c r="I2" t="n">
        <v>5</v>
      </c>
      <c r="J2" t="n">
        <v>5</v>
      </c>
      <c r="K2" t="n">
        <v>15</v>
      </c>
      <c r="L2" t="n">
        <v>4.274</v>
      </c>
      <c r="M2" t="n">
        <v>188</v>
      </c>
      <c r="N2" t="n">
        <v>14.04</v>
      </c>
      <c r="O2" t="inlineStr">
        <is>
          <t>AC9</t>
        </is>
      </c>
      <c r="P2" t="inlineStr"/>
      <c r="Q2" t="n">
        <v>1</v>
      </c>
      <c r="R2" t="n">
        <v>0</v>
      </c>
      <c r="S2" t="n">
        <v>0</v>
      </c>
      <c r="T2" t="inlineStr"/>
      <c r="U2" t="inlineStr"/>
      <c r="V2" t="inlineStr"/>
      <c r="W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
      <c r="A3" t="n">
        <v>213</v>
      </c>
      <c r="B3" t="n">
        <v>71</v>
      </c>
      <c r="C3" t="n">
        <v>3</v>
      </c>
      <c r="D3" t="n">
        <v>1</v>
      </c>
      <c r="E3" t="inlineStr">
        <is>
          <t>R1 y R2 por identificar un divisor de tensión</t>
        </is>
      </c>
      <c r="F3" t="inlineStr">
        <is>
          <t>¿Cómo se relaciona la tensión en R2 con la tensión de la fuente y la proporción de las resistencias?</t>
        </is>
      </c>
      <c r="G3" t="n">
        <v>3</v>
      </c>
      <c r="H3" t="n">
        <v>3</v>
      </c>
      <c r="I3" t="n">
        <v>4</v>
      </c>
      <c r="J3" t="n">
        <v>5</v>
      </c>
      <c r="K3" t="n">
        <v>15</v>
      </c>
      <c r="L3" t="n">
        <v>2.969</v>
      </c>
      <c r="M3" t="n">
        <v>271</v>
      </c>
      <c r="N3" t="n">
        <v>20.21</v>
      </c>
      <c r="O3" t="inlineStr">
        <is>
          <t>AC9</t>
        </is>
      </c>
      <c r="P3" t="inlineStr">
        <is>
          <t>AC9</t>
        </is>
      </c>
      <c r="Q3" t="n">
        <v>1</v>
      </c>
      <c r="R3" t="n">
        <v>1</v>
      </c>
      <c r="S3" t="n">
        <v>1</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214</v>
      </c>
      <c r="B4" t="n">
        <v>72</v>
      </c>
      <c r="C4" t="n">
        <v>1</v>
      </c>
      <c r="D4" t="n">
        <v>1</v>
      </c>
      <c r="E4" t="inlineStr">
        <is>
          <t>R1 y R2 hacen un divisor de tensión</t>
        </is>
      </c>
      <c r="F4" t="inlineStr">
        <is>
          <t>¿Has considerado la resistencia R4 en el camino desde N2 hasta el nodo 0? ¿Está conectada a través del interruptor abierto entre N2 y N3?</t>
        </is>
      </c>
      <c r="G4" t="n">
        <v>4</v>
      </c>
      <c r="H4" t="n">
        <v>3</v>
      </c>
      <c r="I4" t="n">
        <v>3</v>
      </c>
      <c r="J4" t="n">
        <v>5</v>
      </c>
      <c r="K4" t="n">
        <v>15</v>
      </c>
      <c r="L4" t="n">
        <v>2.848</v>
      </c>
      <c r="M4" t="n">
        <v>260</v>
      </c>
      <c r="N4" t="n">
        <v>21.07</v>
      </c>
      <c r="O4" t="inlineStr">
        <is>
          <t>AC9</t>
        </is>
      </c>
      <c r="P4" t="inlineStr">
        <is>
          <t>AC1, AC9</t>
        </is>
      </c>
      <c r="Q4" t="n">
        <v>0.5</v>
      </c>
      <c r="R4" t="n">
        <v>1</v>
      </c>
      <c r="S4" t="n">
        <v>0.667</v>
      </c>
      <c r="T4" t="inlineStr"/>
      <c r="U4" t="inlineStr"/>
      <c r="V4" t="inlineStr"/>
      <c r="W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5">
      <c r="A5" t="n">
        <v>215</v>
      </c>
      <c r="B5" t="n">
        <v>72</v>
      </c>
      <c r="C5" t="n">
        <v>2</v>
      </c>
      <c r="D5" t="n">
        <v>1</v>
      </c>
      <c r="E5" t="inlineStr">
        <is>
          <t>R1, R2, R3 y R4 porque R5 está cortocircuitada</t>
        </is>
      </c>
      <c r="F5" t="inlineStr">
        <is>
          <t>¿Has considerado cómo el cortocircuito de R5 afecta</t>
        </is>
      </c>
      <c r="G5" t="n">
        <v>1</v>
      </c>
      <c r="H5" t="n">
        <v>2</v>
      </c>
      <c r="I5" t="n">
        <v>3</v>
      </c>
      <c r="J5" t="n">
        <v>5</v>
      </c>
      <c r="K5" t="n">
        <v>11</v>
      </c>
      <c r="L5" t="n">
        <v>4.45</v>
      </c>
      <c r="M5" t="n">
        <v>400</v>
      </c>
      <c r="N5" t="n">
        <v>13.48</v>
      </c>
      <c r="O5" t="inlineStr">
        <is>
          <t>AC1, AC6</t>
        </is>
      </c>
      <c r="P5" t="inlineStr">
        <is>
          <t>AC6</t>
        </is>
      </c>
      <c r="Q5" t="n">
        <v>1</v>
      </c>
      <c r="R5" t="n">
        <v>0.5</v>
      </c>
      <c r="S5" t="n">
        <v>0.667</v>
      </c>
      <c r="T5" t="inlineStr"/>
      <c r="U5" t="inlineStr"/>
      <c r="V5" t="inlineStr"/>
      <c r="W5"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6">
      <c r="A6" t="n">
        <v>216</v>
      </c>
      <c r="B6" t="n">
        <v>72</v>
      </c>
      <c r="C6" t="n">
        <v>3</v>
      </c>
      <c r="D6" t="n">
        <v>1</v>
      </c>
      <c r="E6" t="inlineStr">
        <is>
          <t>R1, R2, R3 y R4 porque por R5 no circula corriente</t>
        </is>
      </c>
      <c r="F6" t="inlineStr">
        <is>
          <t>¿El cortocircuito de R5 crea un camino paralelo que afecta la corriente en R1, R2, R3 y R4?</t>
        </is>
      </c>
      <c r="G6" t="n">
        <v>3</v>
      </c>
      <c r="H6" t="n">
        <v>4</v>
      </c>
      <c r="I6" t="n">
        <v>5</v>
      </c>
      <c r="J6" t="n">
        <v>5</v>
      </c>
      <c r="K6" t="n">
        <v>17</v>
      </c>
      <c r="L6" t="n">
        <v>1.608</v>
      </c>
      <c r="M6" t="n">
        <v>233</v>
      </c>
      <c r="N6" t="n">
        <v>37.31</v>
      </c>
      <c r="O6" t="inlineStr">
        <is>
          <t>AC1, AC6</t>
        </is>
      </c>
      <c r="P6" t="inlineStr">
        <is>
          <t>AC1, AC6, AC9</t>
        </is>
      </c>
      <c r="Q6" t="n">
        <v>0.667</v>
      </c>
      <c r="R6" t="n">
        <v>1</v>
      </c>
      <c r="S6" t="n">
        <v>0.8</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7">
      <c r="A7" t="n">
        <v>217</v>
      </c>
      <c r="B7" t="n">
        <v>73</v>
      </c>
      <c r="C7" t="n">
        <v>1</v>
      </c>
      <c r="D7" t="n">
        <v>1</v>
      </c>
      <c r="E7" t="inlineStr">
        <is>
          <t>R1, R2, R3 y R4 porque R5 se quita</t>
        </is>
      </c>
      <c r="F7" t="inlineStr">
        <is>
          <t>¿La resistencia R3 forma parte del camino desde el nudo N2 hasta el nudo 0?</t>
        </is>
      </c>
      <c r="G7" t="n">
        <v>3</v>
      </c>
      <c r="H7" t="n">
        <v>3</v>
      </c>
      <c r="I7" t="n">
        <v>3</v>
      </c>
      <c r="J7" t="n">
        <v>5</v>
      </c>
      <c r="K7" t="n">
        <v>14</v>
      </c>
      <c r="L7" t="n">
        <v>1.884</v>
      </c>
      <c r="M7" t="n">
        <v>153</v>
      </c>
      <c r="N7" t="n">
        <v>31.85</v>
      </c>
      <c r="O7" t="inlineStr">
        <is>
          <t>AC1, AC6</t>
        </is>
      </c>
      <c r="P7" t="inlineStr">
        <is>
          <t>AC9</t>
        </is>
      </c>
      <c r="Q7" t="n">
        <v>0</v>
      </c>
      <c r="R7" t="n">
        <v>0</v>
      </c>
      <c r="S7" t="n">
        <v>0</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218</v>
      </c>
      <c r="B8" t="n">
        <v>73</v>
      </c>
      <c r="C8" t="n">
        <v>2</v>
      </c>
      <c r="D8" t="n">
        <v>1</v>
      </c>
      <c r="E8" t="inlineStr">
        <is>
          <t>R1, R3 y R4 porque R2 está en paralelo con la fuente y R5 corctocircuitada</t>
        </is>
      </c>
      <c r="F8" t="inlineStr">
        <is>
          <t>¿El cortocircuito en R5 crea una ruta alternativa que excluye a R1, R3 y R4 del circuito principal?</t>
        </is>
      </c>
      <c r="G8" t="n">
        <v>3</v>
      </c>
      <c r="H8" t="n">
        <v>2</v>
      </c>
      <c r="I8" t="n">
        <v>5</v>
      </c>
      <c r="J8" t="n">
        <v>5</v>
      </c>
      <c r="K8" t="n">
        <v>15</v>
      </c>
      <c r="L8" t="n">
        <v>6.409</v>
      </c>
      <c r="M8" t="n">
        <v>300</v>
      </c>
      <c r="N8" t="n">
        <v>9.359999999999999</v>
      </c>
      <c r="O8" t="inlineStr">
        <is>
          <t>AC1, AC6</t>
        </is>
      </c>
      <c r="P8" t="inlineStr">
        <is>
          <t>AC6</t>
        </is>
      </c>
      <c r="Q8" t="n">
        <v>1</v>
      </c>
      <c r="R8" t="n">
        <v>0.5</v>
      </c>
      <c r="S8" t="n">
        <v>0.667</v>
      </c>
      <c r="T8" t="inlineStr"/>
      <c r="U8" t="inlineStr"/>
      <c r="V8" t="inlineStr"/>
      <c r="W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9">
      <c r="A9" t="n">
        <v>219</v>
      </c>
      <c r="B9" t="n">
        <v>73</v>
      </c>
      <c r="C9" t="n">
        <v>3</v>
      </c>
      <c r="D9" t="n">
        <v>1</v>
      </c>
      <c r="E9" t="inlineStr">
        <is>
          <t>R1, R4 y R5 porque R2 se elimina y R3 también</t>
        </is>
      </c>
      <c r="F9" t="inlineStr">
        <is>
          <t>¿La resistencia R3 sigue conectada a un nodo que se desconecta al cortocircuitar R5?</t>
        </is>
      </c>
      <c r="G9" t="n">
        <v>3</v>
      </c>
      <c r="H9" t="n">
        <v>3</v>
      </c>
      <c r="I9" t="n">
        <v>3</v>
      </c>
      <c r="J9" t="n">
        <v>5</v>
      </c>
      <c r="K9" t="n">
        <v>14</v>
      </c>
      <c r="L9" t="n">
        <v>6.75</v>
      </c>
      <c r="M9" t="n">
        <v>338</v>
      </c>
      <c r="N9" t="n">
        <v>8.890000000000001</v>
      </c>
      <c r="O9" t="inlineStr">
        <is>
          <t>AC1, AC6</t>
        </is>
      </c>
      <c r="P9" t="inlineStr"/>
      <c r="Q9" t="n">
        <v>1</v>
      </c>
      <c r="R9" t="n">
        <v>0</v>
      </c>
      <c r="S9" t="n">
        <v>0</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220</v>
      </c>
      <c r="B10" t="n">
        <v>74</v>
      </c>
      <c r="C10" t="n">
        <v>1</v>
      </c>
      <c r="D10" t="n">
        <v>1</v>
      </c>
      <c r="E10" t="inlineStr">
        <is>
          <t>R1 y R4 dado que R2 está en paralelo con la fuente, R3 en circuito abierto y R5 cortocircuitada</t>
        </is>
      </c>
      <c r="F10" t="inlineStr">
        <is>
          <t>¿R2 forma parte del camino desde N2 hasta el tierra, considerando que el interruptor está abierto entre N2 y N3?</t>
        </is>
      </c>
      <c r="G10" t="n">
        <v>3</v>
      </c>
      <c r="H10" t="n">
        <v>3</v>
      </c>
      <c r="I10" t="n">
        <v>3</v>
      </c>
      <c r="J10" t="n">
        <v>5</v>
      </c>
      <c r="K10" t="n">
        <v>14</v>
      </c>
      <c r="L10" t="n">
        <v>6.769</v>
      </c>
      <c r="M10" t="n">
        <v>361</v>
      </c>
      <c r="N10" t="n">
        <v>8.859999999999999</v>
      </c>
      <c r="O10" t="inlineStr">
        <is>
          <t>AC1, AC6</t>
        </is>
      </c>
      <c r="P10" t="inlineStr">
        <is>
          <t>AC1, AC9</t>
        </is>
      </c>
      <c r="Q10" t="n">
        <v>0.5</v>
      </c>
      <c r="R10" t="n">
        <v>0.5</v>
      </c>
      <c r="S10" t="n">
        <v>0.5</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1">
      <c r="A11" t="n">
        <v>221</v>
      </c>
      <c r="B11" t="n">
        <v>74</v>
      </c>
      <c r="C11" t="n">
        <v>2</v>
      </c>
      <c r="D11" t="n">
        <v>1</v>
      </c>
      <c r="E11" t="inlineStr">
        <is>
          <t>R1, R2 y R3 dado que R2 y R3 están en paralelo y forman un divisor de tensión con R1</t>
        </is>
      </c>
      <c r="F11" t="inlineStr">
        <is>
          <t>¿R3 forma parte del camino de corriente desde N1 hasta N2, considerando que está en circuito abierto?</t>
        </is>
      </c>
      <c r="G11" t="n">
        <v>3</v>
      </c>
      <c r="H11" t="n">
        <v>4</v>
      </c>
      <c r="I11" t="n">
        <v>3</v>
      </c>
      <c r="J11" t="n">
        <v>5</v>
      </c>
      <c r="K11" t="n">
        <v>15</v>
      </c>
      <c r="L11" t="n">
        <v>5.74</v>
      </c>
      <c r="M11" t="n">
        <v>319</v>
      </c>
      <c r="N11" t="n">
        <v>10.45</v>
      </c>
      <c r="O11" t="inlineStr">
        <is>
          <t>AC1, AC9</t>
        </is>
      </c>
      <c r="P11" t="inlineStr">
        <is>
          <t>AC1, AC9</t>
        </is>
      </c>
      <c r="Q11" t="n">
        <v>1</v>
      </c>
      <c r="R11" t="n">
        <v>1</v>
      </c>
      <c r="S11" t="n">
        <v>1</v>
      </c>
      <c r="T11" t="inlineStr"/>
      <c r="U11" t="inlineStr"/>
      <c r="V11" t="inlineStr"/>
      <c r="W1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2">
      <c r="A12" t="n">
        <v>223</v>
      </c>
      <c r="B12" t="n">
        <v>75</v>
      </c>
      <c r="C12" t="n">
        <v>1</v>
      </c>
      <c r="D12" t="n">
        <v>1</v>
      </c>
      <c r="E12" t="inlineStr">
        <is>
          <t>R1, R2, R4 y R5 dado que R3 sobra</t>
        </is>
      </c>
      <c r="F12" t="inlineStr">
        <is>
          <t>¿Qué tienen en común los dos terminales de R5 en el netlist?</t>
        </is>
      </c>
      <c r="G12" t="n">
        <v>3</v>
      </c>
      <c r="H12" t="n">
        <v>2</v>
      </c>
      <c r="I12" t="n">
        <v>3</v>
      </c>
      <c r="J12" t="n">
        <v>5</v>
      </c>
      <c r="K12" t="n">
        <v>13</v>
      </c>
      <c r="L12" t="n">
        <v>4.627</v>
      </c>
      <c r="M12" t="n">
        <v>131</v>
      </c>
      <c r="N12" t="n">
        <v>12.97</v>
      </c>
      <c r="O12" t="inlineStr">
        <is>
          <t>AC1, AC6</t>
        </is>
      </c>
      <c r="P12" t="inlineStr">
        <is>
          <t>AC6</t>
        </is>
      </c>
      <c r="Q12" t="n">
        <v>1</v>
      </c>
      <c r="R12" t="n">
        <v>0.5</v>
      </c>
      <c r="S12" t="n">
        <v>0.667</v>
      </c>
      <c r="T12" t="inlineStr"/>
      <c r="U12" t="inlineStr"/>
      <c r="V12" t="inlineStr"/>
      <c r="W1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3">
      <c r="A13" t="n">
        <v>226</v>
      </c>
      <c r="B13" t="n">
        <v>76</v>
      </c>
      <c r="C13" t="n">
        <v>1</v>
      </c>
      <c r="D13" t="n">
        <v>1</v>
      </c>
      <c r="E13" t="inlineStr">
        <is>
          <t>R1, R2 y R4 dado que R2 y R4 están en paralelo y forma un divisor de tensión con R1.</t>
        </is>
      </c>
      <c r="F13" t="inlineStr">
        <is>
          <t>¿Has considerado que el interruptor abierto entre N2 y N3 afecta la conexión de R3?  
¿La resistencia R4 forma parte del camino desde N2 hasta el nodo 0?</t>
        </is>
      </c>
      <c r="G13" t="n">
        <v>3</v>
      </c>
      <c r="H13" t="n">
        <v>5</v>
      </c>
      <c r="I13" t="n">
        <v>3</v>
      </c>
      <c r="J13" t="n">
        <v>5</v>
      </c>
      <c r="K13" t="n">
        <v>16</v>
      </c>
      <c r="L13" t="n">
        <v>5.221</v>
      </c>
      <c r="M13" t="n">
        <v>234</v>
      </c>
      <c r="N13" t="n">
        <v>11.49</v>
      </c>
      <c r="O13" t="inlineStr"/>
      <c r="P13" t="inlineStr">
        <is>
          <t>AC1, AC9</t>
        </is>
      </c>
      <c r="Q13" t="n">
        <v>0</v>
      </c>
      <c r="R13" t="n">
        <v>1</v>
      </c>
      <c r="S13" t="n">
        <v>0</v>
      </c>
      <c r="T13" t="inlineStr"/>
      <c r="U13" t="inlineStr"/>
      <c r="V13" t="inlineStr"/>
      <c r="W13"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14">
      <c r="A14" t="n">
        <v>228</v>
      </c>
      <c r="B14" t="n">
        <v>76</v>
      </c>
      <c r="C14" t="n">
        <v>3</v>
      </c>
      <c r="D14" t="n">
        <v>1</v>
      </c>
      <c r="E14" t="inlineStr">
        <is>
          <t>R1, R2 y R4 dado que solo por estas resistencias circula una corriente diferente de cero</t>
        </is>
      </c>
      <c r="F14" t="inlineStr">
        <is>
          <t>¿El cortocircuito de R5 y la apertura de R3 influyen en la trayectoria de la corriente a través de R1, R2 y R4?</t>
        </is>
      </c>
      <c r="G14" t="n">
        <v>3</v>
      </c>
      <c r="H14" t="n">
        <v>3</v>
      </c>
      <c r="I14" t="n">
        <v>5</v>
      </c>
      <c r="J14" t="n">
        <v>5</v>
      </c>
      <c r="K14" t="n">
        <v>16</v>
      </c>
      <c r="L14" t="n">
        <v>5.079</v>
      </c>
      <c r="M14" t="n">
        <v>189</v>
      </c>
      <c r="N14" t="n">
        <v>11.81</v>
      </c>
      <c r="O14" t="inlineStr"/>
      <c r="P14" t="inlineStr">
        <is>
          <t>AC1, AC6</t>
        </is>
      </c>
      <c r="Q14" t="n">
        <v>0</v>
      </c>
      <c r="R14" t="n">
        <v>1</v>
      </c>
      <c r="S14" t="n">
        <v>0</v>
      </c>
      <c r="T14" t="inlineStr"/>
      <c r="U14" t="inlineStr"/>
      <c r="V14" t="inlineStr"/>
      <c r="W1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5">
      <c r="A15" t="n">
        <v>229</v>
      </c>
      <c r="B15" t="n">
        <v>77</v>
      </c>
      <c r="C15" t="n">
        <v>1</v>
      </c>
      <c r="D15" t="n">
        <v>1</v>
      </c>
      <c r="E15" t="inlineStr">
        <is>
          <t>R1, R2 y R4 dado que por R3 y por R5 no circula corriente</t>
        </is>
      </c>
      <c r="F15" t="inlineStr">
        <is>
          <t>¿Has considerado el camino completo desde N2 hasta tierra, incluyendo R4, para determinar qué resistencias afectan la diferencia de potencial?</t>
        </is>
      </c>
      <c r="G15" t="n">
        <v>4</v>
      </c>
      <c r="H15" t="n">
        <v>3</v>
      </c>
      <c r="I15" t="n">
        <v>3</v>
      </c>
      <c r="J15" t="n">
        <v>5</v>
      </c>
      <c r="K15" t="n">
        <v>15</v>
      </c>
      <c r="L15" t="n">
        <v>9.269</v>
      </c>
      <c r="M15" t="n">
        <v>299</v>
      </c>
      <c r="N15" t="n">
        <v>6.47</v>
      </c>
      <c r="O15" t="inlineStr">
        <is>
          <t>AC1, AC6</t>
        </is>
      </c>
      <c r="P15" t="inlineStr">
        <is>
          <t>AC1, AC9</t>
        </is>
      </c>
      <c r="Q15" t="n">
        <v>0.5</v>
      </c>
      <c r="R15" t="n">
        <v>0.5</v>
      </c>
      <c r="S15" t="n">
        <v>0.5</v>
      </c>
      <c r="T15" t="inlineStr"/>
      <c r="U15" t="inlineStr"/>
      <c r="V15" t="inlineStr"/>
      <c r="W1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6">
      <c r="A16" t="n">
        <v>230</v>
      </c>
      <c r="B16" t="n">
        <v>77</v>
      </c>
      <c r="C16" t="n">
        <v>2</v>
      </c>
      <c r="D16" t="n">
        <v>1</v>
      </c>
      <c r="E16" t="inlineStr">
        <is>
          <t>R1, R2 y R4 dado que R3 y R5 se pueden quitar</t>
        </is>
      </c>
      <c r="F16" t="inlineStr">
        <is>
          <t>¿El nodo N2 está conectado directamente a tierra mediante R4, afectando así la corriente en R1 y R2?</t>
        </is>
      </c>
      <c r="G16" t="n">
        <v>3</v>
      </c>
      <c r="H16" t="n">
        <v>3</v>
      </c>
      <c r="I16" t="n">
        <v>4</v>
      </c>
      <c r="J16" t="n">
        <v>5</v>
      </c>
      <c r="K16" t="n">
        <v>15</v>
      </c>
      <c r="L16" t="n">
        <v>6.828</v>
      </c>
      <c r="M16" t="n">
        <v>340</v>
      </c>
      <c r="N16" t="n">
        <v>8.789999999999999</v>
      </c>
      <c r="O16" t="inlineStr">
        <is>
          <t>AC1, AC6</t>
        </is>
      </c>
      <c r="P16" t="inlineStr">
        <is>
          <t>AC1, AC9</t>
        </is>
      </c>
      <c r="Q16" t="n">
        <v>0.5</v>
      </c>
      <c r="R16" t="n">
        <v>0.5</v>
      </c>
      <c r="S16" t="n">
        <v>0.5</v>
      </c>
      <c r="T16" t="inlineStr"/>
      <c r="U16" t="inlineStr"/>
      <c r="V16" t="inlineStr"/>
      <c r="W1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7">
      <c r="A17" t="n">
        <v>231</v>
      </c>
      <c r="B17" t="n">
        <v>77</v>
      </c>
      <c r="C17" t="n">
        <v>3</v>
      </c>
      <c r="D17" t="n">
        <v>1</v>
      </c>
      <c r="E17" t="inlineStr">
        <is>
          <t>R1, R2 y R4 dado que R3 y R5 no influyen para nada en la diferencia de potencial que se pide</t>
        </is>
      </c>
      <c r="F17" t="inlineStr">
        <is>
          <t>¿El nodo N2 está conectado a tierra solo a través de R4, lo que hace que R1 y R2 estén en el mismo camino de voltaje que R4?</t>
        </is>
      </c>
      <c r="G17" t="n">
        <v>3</v>
      </c>
      <c r="H17" t="n">
        <v>3</v>
      </c>
      <c r="I17" t="n">
        <v>4</v>
      </c>
      <c r="J17" t="n">
        <v>5</v>
      </c>
      <c r="K17" t="n">
        <v>15</v>
      </c>
      <c r="L17" t="n">
        <v>4.629</v>
      </c>
      <c r="M17" t="n">
        <v>238</v>
      </c>
      <c r="N17" t="n">
        <v>12.96</v>
      </c>
      <c r="O17" t="inlineStr">
        <is>
          <t>AC1, AC6</t>
        </is>
      </c>
      <c r="P17" t="inlineStr">
        <is>
          <t>AC6, AC9</t>
        </is>
      </c>
      <c r="Q17" t="n">
        <v>0.5</v>
      </c>
      <c r="R17" t="n">
        <v>0.5</v>
      </c>
      <c r="S17" t="n">
        <v>0.5</v>
      </c>
      <c r="T17" t="inlineStr"/>
      <c r="U17" t="inlineStr"/>
      <c r="V17" t="inlineStr"/>
      <c r="W1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8">
      <c r="A18" t="n">
        <v>232</v>
      </c>
      <c r="B18" t="n">
        <v>78</v>
      </c>
      <c r="C18" t="n">
        <v>1</v>
      </c>
      <c r="D18" t="n">
        <v>1</v>
      </c>
      <c r="E18" t="inlineStr">
        <is>
          <t>R1, R2 y R4 dado que R3 y R5 sobran</t>
        </is>
      </c>
      <c r="F18" t="inlineStr">
        <is>
          <t>¿Cómo afecta el interruptor abierto entre N2 y N3 a la presencia de corriente en la rama que contiene R3?</t>
        </is>
      </c>
      <c r="G18" t="n">
        <v>4</v>
      </c>
      <c r="H18" t="n">
        <v>3</v>
      </c>
      <c r="I18" t="n">
        <v>3</v>
      </c>
      <c r="J18" t="n">
        <v>5</v>
      </c>
      <c r="K18" t="n">
        <v>15</v>
      </c>
      <c r="L18" t="n">
        <v>5.367</v>
      </c>
      <c r="M18" t="n">
        <v>296</v>
      </c>
      <c r="N18" t="n">
        <v>11.18</v>
      </c>
      <c r="O18" t="inlineStr">
        <is>
          <t>AC1, AC6</t>
        </is>
      </c>
      <c r="P18" t="inlineStr">
        <is>
          <t>AC1</t>
        </is>
      </c>
      <c r="Q18" t="n">
        <v>1</v>
      </c>
      <c r="R18" t="n">
        <v>0.5</v>
      </c>
      <c r="S18" t="n">
        <v>0.667</v>
      </c>
      <c r="T18" t="inlineStr"/>
      <c r="U18" t="inlineStr"/>
      <c r="V18" t="inlineStr"/>
      <c r="W1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9">
      <c r="A19" t="n">
        <v>233</v>
      </c>
      <c r="B19" t="n">
        <v>78</v>
      </c>
      <c r="C19" t="n">
        <v>2</v>
      </c>
      <c r="D19" t="n">
        <v>1</v>
      </c>
      <c r="E19" t="inlineStr">
        <is>
          <t>R1, R2 y R4 dado que R3 sobra</t>
        </is>
      </c>
      <c r="F19" t="inlineStr">
        <is>
          <t>¿Por qué R5 no forma parte de la rama que contiene a R3?</t>
        </is>
      </c>
      <c r="G19" t="n">
        <v>3</v>
      </c>
      <c r="H19" t="n">
        <v>2</v>
      </c>
      <c r="I19" t="n">
        <v>3</v>
      </c>
      <c r="J19" t="n">
        <v>5</v>
      </c>
      <c r="K19" t="n">
        <v>13</v>
      </c>
      <c r="L19" t="n">
        <v>4.773</v>
      </c>
      <c r="M19" t="n">
        <v>172</v>
      </c>
      <c r="N19" t="n">
        <v>12.57</v>
      </c>
      <c r="O19" t="inlineStr">
        <is>
          <t>AC1</t>
        </is>
      </c>
      <c r="P19" t="inlineStr"/>
      <c r="Q19" t="n">
        <v>1</v>
      </c>
      <c r="R19" t="n">
        <v>0</v>
      </c>
      <c r="S19" t="n">
        <v>0</v>
      </c>
      <c r="T19" t="inlineStr"/>
      <c r="U19" t="inlineStr"/>
      <c r="V19" t="inlineStr"/>
      <c r="W19"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0">
      <c r="A20" t="n">
        <v>234</v>
      </c>
      <c r="B20" t="n">
        <v>78</v>
      </c>
      <c r="C20" t="n">
        <v>3</v>
      </c>
      <c r="D20" t="n">
        <v>1</v>
      </c>
      <c r="E20" t="inlineStr">
        <is>
          <t>R1, R2 y R4 dado que R5 sobra</t>
        </is>
      </c>
      <c r="F20" t="inlineStr">
        <is>
          <t>¿Por qué R5 no forma parte de la rama principal que incluye a R1, R2 y R4?</t>
        </is>
      </c>
      <c r="G20" t="n">
        <v>3</v>
      </c>
      <c r="H20" t="n">
        <v>2</v>
      </c>
      <c r="I20" t="n">
        <v>5</v>
      </c>
      <c r="J20" t="n">
        <v>5</v>
      </c>
      <c r="K20" t="n">
        <v>15</v>
      </c>
      <c r="L20" t="n">
        <v>4.726</v>
      </c>
      <c r="M20" t="n">
        <v>294</v>
      </c>
      <c r="N20" t="n">
        <v>12.7</v>
      </c>
      <c r="O20" t="inlineStr">
        <is>
          <t>AC6</t>
        </is>
      </c>
      <c r="P20" t="inlineStr"/>
      <c r="Q20" t="n">
        <v>1</v>
      </c>
      <c r="R20" t="n">
        <v>0</v>
      </c>
      <c r="S20" t="n">
        <v>0</v>
      </c>
      <c r="T20" t="inlineStr"/>
      <c r="U20" t="inlineStr"/>
      <c r="V20" t="inlineStr"/>
      <c r="W20"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1">
      <c r="A21" t="n">
        <v>235</v>
      </c>
      <c r="B21" t="n">
        <v>79</v>
      </c>
      <c r="C21" t="n">
        <v>1</v>
      </c>
      <c r="D21" t="n">
        <v>1</v>
      </c>
      <c r="E21" t="inlineStr">
        <is>
          <t>R1, R2 y R4 dado que R3 está en abierto</t>
        </is>
      </c>
      <c r="F21" t="inlineStr">
        <is>
          <t>¿Incluye la resistencia R4 en el camino desde el nudo N2 hasta el nodo 0?</t>
        </is>
      </c>
      <c r="G21" t="n">
        <v>3</v>
      </c>
      <c r="H21" t="n">
        <v>3</v>
      </c>
      <c r="I21" t="n">
        <v>3</v>
      </c>
      <c r="J21" t="n">
        <v>5</v>
      </c>
      <c r="K21" t="n">
        <v>14</v>
      </c>
      <c r="L21" t="n">
        <v>4.75</v>
      </c>
      <c r="M21" t="n">
        <v>261</v>
      </c>
      <c r="N21" t="n">
        <v>12.63</v>
      </c>
      <c r="O21" t="inlineStr">
        <is>
          <t>AC1</t>
        </is>
      </c>
      <c r="P21" t="inlineStr">
        <is>
          <t>AC1, AC9</t>
        </is>
      </c>
      <c r="Q21" t="n">
        <v>0.5</v>
      </c>
      <c r="R21" t="n">
        <v>1</v>
      </c>
      <c r="S21" t="n">
        <v>0.667</v>
      </c>
      <c r="T21" t="inlineStr"/>
      <c r="U21" t="inlineStr"/>
      <c r="V21" t="inlineStr"/>
      <c r="W21"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2">
      <c r="A22" t="n">
        <v>236</v>
      </c>
      <c r="B22" t="n">
        <v>79</v>
      </c>
      <c r="C22" t="n">
        <v>2</v>
      </c>
      <c r="D22" t="n">
        <v>1</v>
      </c>
      <c r="E22" t="inlineStr">
        <is>
          <t>R1, R2 y R4 dado que  R5 cortocircuitada</t>
        </is>
      </c>
      <c r="F22" t="inlineStr">
        <is>
          <t>¿La conexión de R5 como cortocircuito afecta el camino de la corriente en comparación con R3 en abierto?</t>
        </is>
      </c>
      <c r="G22" t="n">
        <v>3</v>
      </c>
      <c r="H22" t="n">
        <v>4</v>
      </c>
      <c r="I22" t="n">
        <v>3</v>
      </c>
      <c r="J22" t="n">
        <v>5</v>
      </c>
      <c r="K22" t="n">
        <v>15</v>
      </c>
      <c r="L22" t="n">
        <v>3.526</v>
      </c>
      <c r="M22" t="n">
        <v>200</v>
      </c>
      <c r="N22" t="n">
        <v>17.01</v>
      </c>
      <c r="O22" t="inlineStr">
        <is>
          <t>AC6</t>
        </is>
      </c>
      <c r="P22" t="inlineStr">
        <is>
          <t>AC1, AC6, AC9</t>
        </is>
      </c>
      <c r="Q22" t="n">
        <v>0.333</v>
      </c>
      <c r="R22" t="n">
        <v>1</v>
      </c>
      <c r="S22" t="n">
        <v>0.5</v>
      </c>
      <c r="T22" t="inlineStr"/>
      <c r="U22" t="inlineStr"/>
      <c r="V22" t="inlineStr"/>
      <c r="W22"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23">
      <c r="A23" t="n">
        <v>237</v>
      </c>
      <c r="B23" t="n">
        <v>79</v>
      </c>
      <c r="C23" t="n">
        <v>3</v>
      </c>
      <c r="D23" t="n">
        <v>1</v>
      </c>
      <c r="E23" t="inlineStr">
        <is>
          <t>R1, R2 y R4 dado que por R3 no circula corriente</t>
        </is>
      </c>
      <c r="F23" t="inlineStr">
        <is>
          <t>¿Incluye la resistencia R4 en el camino desde el nudo N2 hasta el nodo 0?</t>
        </is>
      </c>
      <c r="G23" t="n">
        <v>3</v>
      </c>
      <c r="H23" t="n">
        <v>3</v>
      </c>
      <c r="I23" t="n">
        <v>3</v>
      </c>
      <c r="J23" t="n">
        <v>5</v>
      </c>
      <c r="K23" t="n">
        <v>14</v>
      </c>
      <c r="L23" t="n">
        <v>2.225</v>
      </c>
      <c r="M23" t="n">
        <v>223</v>
      </c>
      <c r="N23" t="n">
        <v>26.96</v>
      </c>
      <c r="O23" t="inlineStr">
        <is>
          <t>AC1</t>
        </is>
      </c>
      <c r="P23" t="inlineStr">
        <is>
          <t>AC1, AC9</t>
        </is>
      </c>
      <c r="Q23" t="n">
        <v>0.5</v>
      </c>
      <c r="R23" t="n">
        <v>1</v>
      </c>
      <c r="S23" t="n">
        <v>0.667</v>
      </c>
      <c r="T23" t="inlineStr"/>
      <c r="U23" t="inlineStr"/>
      <c r="V23" t="inlineStr"/>
      <c r="W2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4">
      <c r="A24" t="n">
        <v>239</v>
      </c>
      <c r="B24" t="n">
        <v>80</v>
      </c>
      <c r="C24" t="n">
        <v>2</v>
      </c>
      <c r="D24" t="n">
        <v>1</v>
      </c>
      <c r="E24" t="inlineStr">
        <is>
          <t>R1, R2 y R4 dado que R3 se puede quitar</t>
        </is>
      </c>
      <c r="F24" t="inlineStr">
        <is>
          <t>¿R5 se encuentra en un nodo diferente al que conecta a R3?</t>
        </is>
      </c>
      <c r="G24" t="n">
        <v>3</v>
      </c>
      <c r="H24" t="n">
        <v>2</v>
      </c>
      <c r="I24" t="n">
        <v>3</v>
      </c>
      <c r="J24" t="n">
        <v>5</v>
      </c>
      <c r="K24" t="n">
        <v>13</v>
      </c>
      <c r="L24" t="n">
        <v>3.198</v>
      </c>
      <c r="M24" t="n">
        <v>338</v>
      </c>
      <c r="N24" t="n">
        <v>18.76</v>
      </c>
      <c r="O24" t="inlineStr">
        <is>
          <t>AC1</t>
        </is>
      </c>
      <c r="P24" t="inlineStr"/>
      <c r="Q24" t="n">
        <v>1</v>
      </c>
      <c r="R24" t="n">
        <v>0</v>
      </c>
      <c r="S24" t="n">
        <v>0</v>
      </c>
      <c r="T24" t="inlineStr"/>
      <c r="U24" t="inlineStr"/>
      <c r="V24" t="inlineStr"/>
      <c r="W2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25">
      <c r="A25" t="n">
        <v>242</v>
      </c>
      <c r="B25" t="n">
        <v>81</v>
      </c>
      <c r="C25" t="n">
        <v>2</v>
      </c>
      <c r="D25" t="n">
        <v>1</v>
      </c>
      <c r="E25" t="inlineStr">
        <is>
          <t>R1, R2 y R4 dado que R5 no influye para nada en la diferencia de potencial que se pide</t>
        </is>
      </c>
      <c r="F25" t="inlineStr">
        <is>
          <t>¿R3 está en un camino que no afecta la diferencia de potencial entre los puntos indicados?</t>
        </is>
      </c>
      <c r="G25" t="n">
        <v>3</v>
      </c>
      <c r="H25" t="n">
        <v>3</v>
      </c>
      <c r="I25" t="n">
        <v>3</v>
      </c>
      <c r="J25" t="n">
        <v>5</v>
      </c>
      <c r="K25" t="n">
        <v>14</v>
      </c>
      <c r="L25" t="n">
        <v>147.671</v>
      </c>
      <c r="M25" t="n">
        <v>256</v>
      </c>
      <c r="N25" t="n">
        <v>0.41</v>
      </c>
      <c r="O25" t="inlineStr">
        <is>
          <t>AC6</t>
        </is>
      </c>
      <c r="P25" t="inlineStr">
        <is>
          <t>AC1, AC9</t>
        </is>
      </c>
      <c r="Q25" t="n">
        <v>0</v>
      </c>
      <c r="R25" t="n">
        <v>0</v>
      </c>
      <c r="S25" t="n">
        <v>0</v>
      </c>
      <c r="T25" t="inlineStr"/>
      <c r="U25" t="inlineStr"/>
      <c r="V25" t="inlineStr"/>
      <c r="W2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6">
      <c r="A26" t="n">
        <v>243</v>
      </c>
      <c r="B26" t="n">
        <v>81</v>
      </c>
      <c r="C26" t="n">
        <v>3</v>
      </c>
      <c r="D26" t="n">
        <v>1</v>
      </c>
      <c r="E26" t="inlineStr">
        <is>
          <t>No lo sé</t>
        </is>
      </c>
      <c r="F26" t="inlineStr">
        <is>
          <t>¿R5 está en un camino que no conecta los puntos donde se mide la diferencia de potencial?</t>
        </is>
      </c>
      <c r="G26" t="n">
        <v>3</v>
      </c>
      <c r="H26" t="n">
        <v>3</v>
      </c>
      <c r="I26" t="n">
        <v>3</v>
      </c>
      <c r="J26" t="n">
        <v>5</v>
      </c>
      <c r="K26" t="n">
        <v>14</v>
      </c>
      <c r="L26" t="n">
        <v>4.063</v>
      </c>
      <c r="M26" t="n">
        <v>237</v>
      </c>
      <c r="N26" t="n">
        <v>14.77</v>
      </c>
      <c r="O26" t="inlineStr">
        <is>
          <t>AC9</t>
        </is>
      </c>
      <c r="P26" t="inlineStr">
        <is>
          <t>AC9</t>
        </is>
      </c>
      <c r="Q26" t="n">
        <v>1</v>
      </c>
      <c r="R26" t="n">
        <v>1</v>
      </c>
      <c r="S26" t="n">
        <v>1</v>
      </c>
      <c r="T26" t="inlineStr"/>
      <c r="U26" t="inlineStr"/>
      <c r="V26" t="inlineStr"/>
      <c r="W2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27">
      <c r="A27" t="n">
        <v>245</v>
      </c>
      <c r="B27" t="n">
        <v>82</v>
      </c>
      <c r="C27" t="n">
        <v>2</v>
      </c>
      <c r="D27" t="n">
        <v>1</v>
      </c>
      <c r="E27" t="inlineStr">
        <is>
          <t>R1 y R2</t>
        </is>
      </c>
      <c r="F27" t="inlineStr">
        <is>
          <t>¿Has considerado todos los componentes en el circuito eléctrico?</t>
        </is>
      </c>
      <c r="G27" t="n">
        <v>3</v>
      </c>
      <c r="H27" t="n">
        <v>2</v>
      </c>
      <c r="I27" t="n">
        <v>3</v>
      </c>
      <c r="J27" t="n">
        <v>5</v>
      </c>
      <c r="K27" t="n">
        <v>13</v>
      </c>
      <c r="L27" t="n">
        <v>2.567</v>
      </c>
      <c r="M27" t="n">
        <v>163</v>
      </c>
      <c r="N27" t="n">
        <v>23.37</v>
      </c>
      <c r="O27" t="inlineStr">
        <is>
          <t>AC9</t>
        </is>
      </c>
      <c r="P27" t="inlineStr"/>
      <c r="Q27" t="n">
        <v>1</v>
      </c>
      <c r="R27" t="n">
        <v>0</v>
      </c>
      <c r="S27" t="n">
        <v>0</v>
      </c>
      <c r="T27" t="inlineStr"/>
      <c r="U27" t="inlineStr"/>
      <c r="V27" t="inlineStr"/>
      <c r="W27"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8">
      <c r="A28" t="n">
        <v>247</v>
      </c>
      <c r="B28" t="n">
        <v>83</v>
      </c>
      <c r="C28" t="n">
        <v>1</v>
      </c>
      <c r="D28" t="n">
        <v>1</v>
      </c>
      <c r="E28" t="inlineStr">
        <is>
          <t>R1, R2, R4 y R5</t>
        </is>
      </c>
      <c r="F28" t="inlineStr">
        <is>
          <t>¿Qué tienen en común los terminales de R5 en el circuito?</t>
        </is>
      </c>
      <c r="G28" t="n">
        <v>3</v>
      </c>
      <c r="H28" t="n">
        <v>2</v>
      </c>
      <c r="I28" t="n">
        <v>3</v>
      </c>
      <c r="J28" t="n">
        <v>5</v>
      </c>
      <c r="K28" t="n">
        <v>13</v>
      </c>
      <c r="L28" t="n">
        <v>3.585</v>
      </c>
      <c r="M28" t="n">
        <v>328</v>
      </c>
      <c r="N28" t="n">
        <v>16.74</v>
      </c>
      <c r="O28" t="inlineStr">
        <is>
          <t>AC6</t>
        </is>
      </c>
      <c r="P28" t="inlineStr">
        <is>
          <t>AC6</t>
        </is>
      </c>
      <c r="Q28" t="n">
        <v>1</v>
      </c>
      <c r="R28" t="n">
        <v>1</v>
      </c>
      <c r="S28" t="n">
        <v>1</v>
      </c>
      <c r="T28" t="inlineStr"/>
      <c r="U28" t="inlineStr"/>
      <c r="V28" t="inlineStr"/>
      <c r="W28"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29">
      <c r="A29" t="n">
        <v>248</v>
      </c>
      <c r="B29" t="n">
        <v>83</v>
      </c>
      <c r="C29" t="n">
        <v>2</v>
      </c>
      <c r="D29" t="n">
        <v>1</v>
      </c>
      <c r="E29" t="inlineStr">
        <is>
          <t>R1, R2, R3 y R4</t>
        </is>
      </c>
      <c r="F29" t="inlineStr">
        <is>
          <t>¿Qué nodo conecta R5 a los demás resistores en el circuito?</t>
        </is>
      </c>
      <c r="G29" t="n">
        <v>3</v>
      </c>
      <c r="H29" t="n">
        <v>2</v>
      </c>
      <c r="I29" t="n">
        <v>3</v>
      </c>
      <c r="J29" t="n">
        <v>5</v>
      </c>
      <c r="K29" t="n">
        <v>13</v>
      </c>
      <c r="L29" t="n">
        <v>6.198</v>
      </c>
      <c r="M29" t="n">
        <v>373</v>
      </c>
      <c r="N29" t="n">
        <v>9.68</v>
      </c>
      <c r="O29" t="inlineStr">
        <is>
          <t>AC1</t>
        </is>
      </c>
      <c r="P29" t="inlineStr"/>
      <c r="Q29" t="n">
        <v>1</v>
      </c>
      <c r="R29" t="n">
        <v>0</v>
      </c>
      <c r="S29" t="n">
        <v>0</v>
      </c>
      <c r="T29" t="inlineStr"/>
      <c r="U29" t="inlineStr"/>
      <c r="V29" t="inlineStr"/>
      <c r="W2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0">
      <c r="A30" t="n">
        <v>249</v>
      </c>
      <c r="B30" t="n">
        <v>83</v>
      </c>
      <c r="C30" t="n">
        <v>3</v>
      </c>
      <c r="D30" t="n">
        <v>1</v>
      </c>
      <c r="E30" t="inlineStr">
        <is>
          <t>R1 y R2 y R4 hacen un divisor de corriente</t>
        </is>
      </c>
      <c r="F30" t="inlineStr">
        <is>
          <t>¿Incluye R3 en el divisor de corriente o está en un camino paralelo?</t>
        </is>
      </c>
      <c r="G30" t="n">
        <v>3</v>
      </c>
      <c r="H30" t="n">
        <v>4</v>
      </c>
      <c r="I30" t="n">
        <v>3</v>
      </c>
      <c r="J30" t="n">
        <v>5</v>
      </c>
      <c r="K30" t="n">
        <v>15</v>
      </c>
      <c r="L30" t="n">
        <v>3.488</v>
      </c>
      <c r="M30" t="n">
        <v>269</v>
      </c>
      <c r="N30" t="n">
        <v>17.2</v>
      </c>
      <c r="O30" t="inlineStr"/>
      <c r="P30" t="inlineStr">
        <is>
          <t>AC1, AC9</t>
        </is>
      </c>
      <c r="Q30" t="n">
        <v>0</v>
      </c>
      <c r="R30" t="n">
        <v>1</v>
      </c>
      <c r="S30" t="n">
        <v>0</v>
      </c>
      <c r="T30" t="inlineStr"/>
      <c r="U30" t="inlineStr"/>
      <c r="V30" t="inlineStr"/>
      <c r="W30"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31">
      <c r="A31" t="n">
        <v>250</v>
      </c>
      <c r="B31" t="n">
        <v>84</v>
      </c>
      <c r="C31" t="n">
        <v>1</v>
      </c>
      <c r="D31" t="n">
        <v>1</v>
      </c>
      <c r="E31" t="inlineStr">
        <is>
          <t>R1 y R2 y R4 hacen un divisor de tensión, r3 no cuenta por estar en corto</t>
        </is>
      </c>
      <c r="F31" t="inlineStr">
        <is>
          <t>¿Qué ocurre con la corriente en la rama interrumpida entre los nudos N2 y N3?</t>
        </is>
      </c>
      <c r="G31" t="n">
        <v>3</v>
      </c>
      <c r="H31" t="n">
        <v>2</v>
      </c>
      <c r="I31" t="n">
        <v>3</v>
      </c>
      <c r="J31" t="n">
        <v>5</v>
      </c>
      <c r="K31" t="n">
        <v>13</v>
      </c>
      <c r="L31" t="n">
        <v>4.678</v>
      </c>
      <c r="M31" t="n">
        <v>289</v>
      </c>
      <c r="N31" t="n">
        <v>12.83</v>
      </c>
      <c r="O31" t="inlineStr">
        <is>
          <t>AC1</t>
        </is>
      </c>
      <c r="P31" t="inlineStr">
        <is>
          <t>AC1</t>
        </is>
      </c>
      <c r="Q31" t="n">
        <v>1</v>
      </c>
      <c r="R31" t="n">
        <v>1</v>
      </c>
      <c r="S31" t="n">
        <v>1</v>
      </c>
      <c r="T31" t="inlineStr"/>
      <c r="U31" t="inlineStr"/>
      <c r="V31" t="inlineStr"/>
      <c r="W3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2">
      <c r="A32" t="n">
        <v>251</v>
      </c>
      <c r="B32" t="n">
        <v>84</v>
      </c>
      <c r="C32" t="n">
        <v>2</v>
      </c>
      <c r="D32" t="n">
        <v>1</v>
      </c>
      <c r="E32" t="inlineStr">
        <is>
          <t>No tengo en cuenta R3 porque el interruptor está cerrado</t>
        </is>
      </c>
      <c r="F32" t="inlineStr">
        <is>
          <t>¿El interruptor está en la rama que incluye R3 o en otra parte del circuito?</t>
        </is>
      </c>
      <c r="G32" t="n">
        <v>3</v>
      </c>
      <c r="H32" t="n">
        <v>2</v>
      </c>
      <c r="I32" t="n">
        <v>5</v>
      </c>
      <c r="J32" t="n">
        <v>5</v>
      </c>
      <c r="K32" t="n">
        <v>15</v>
      </c>
      <c r="L32" t="n">
        <v>2.506</v>
      </c>
      <c r="M32" t="n">
        <v>154</v>
      </c>
      <c r="N32" t="n">
        <v>23.95</v>
      </c>
      <c r="O32" t="inlineStr">
        <is>
          <t>AC1, AC9</t>
        </is>
      </c>
      <c r="P32" t="inlineStr">
        <is>
          <t>AC1, AC9</t>
        </is>
      </c>
      <c r="Q32" t="n">
        <v>1</v>
      </c>
      <c r="R32" t="n">
        <v>1</v>
      </c>
      <c r="S32" t="n">
        <v>1</v>
      </c>
      <c r="T32" t="inlineStr"/>
      <c r="U32" t="inlineStr"/>
      <c r="V32" t="inlineStr"/>
      <c r="W32"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33">
      <c r="A33" t="n">
        <v>252</v>
      </c>
      <c r="B33" t="n">
        <v>84</v>
      </c>
      <c r="C33" t="n">
        <v>3</v>
      </c>
      <c r="D33" t="n">
        <v>1</v>
      </c>
      <c r="E33" t="inlineStr">
        <is>
          <t>No tengo en cuenta R5 porque está en circuito abierto</t>
        </is>
      </c>
      <c r="F33" t="inlineStr">
        <is>
          <t>¿Cómo afecta el circuito abierto a la corriente que pasa por R5?</t>
        </is>
      </c>
      <c r="G33" t="n">
        <v>4</v>
      </c>
      <c r="H33" t="n">
        <v>3</v>
      </c>
      <c r="I33" t="n">
        <v>5</v>
      </c>
      <c r="J33" t="n">
        <v>5</v>
      </c>
      <c r="K33" t="n">
        <v>17</v>
      </c>
      <c r="L33" t="n">
        <v>2.726</v>
      </c>
      <c r="M33" t="n">
        <v>207</v>
      </c>
      <c r="N33" t="n">
        <v>22.01</v>
      </c>
      <c r="O33" t="inlineStr">
        <is>
          <t>AC6, AC9</t>
        </is>
      </c>
      <c r="P33" t="inlineStr">
        <is>
          <t>AC1</t>
        </is>
      </c>
      <c r="Q33" t="n">
        <v>0</v>
      </c>
      <c r="R33" t="n">
        <v>0</v>
      </c>
      <c r="S33" t="n">
        <v>0</v>
      </c>
      <c r="T33" t="inlineStr"/>
      <c r="U33" t="inlineStr"/>
      <c r="V33" t="inlineStr"/>
      <c r="W3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Campo</t>
        </is>
      </c>
      <c r="B1" t="inlineStr">
        <is>
          <t>Valor</t>
        </is>
      </c>
    </row>
    <row r="2">
      <c r="A2" t="inlineStr">
        <is>
          <t>Fecha generación</t>
        </is>
      </c>
      <c r="B2" t="inlineStr">
        <is>
          <t>2026-05-20T19:39:18.669791</t>
        </is>
      </c>
    </row>
    <row r="3">
      <c r="A3" t="inlineStr">
        <is>
          <t>Método</t>
        </is>
      </c>
      <c r="B3" t="inlineStr">
        <is>
          <t>RAG</t>
        </is>
      </c>
    </row>
    <row r="4">
      <c r="A4" t="inlineStr">
        <is>
          <t>Modelos evaluados</t>
        </is>
      </c>
      <c r="B4" t="inlineStr">
        <is>
          <t>Tutor_EDA, deepseek-r1:7b, gemma, gemma3:27b, gemma3:4b, llama-mini, llama3.1:8b, llama3.2:3b, phi4-mini:3.8b, poligpt, qwen3:4b</t>
        </is>
      </c>
    </row>
    <row r="5">
      <c r="A5" t="inlineStr">
        <is>
          <t>Ejercicios cubiertos</t>
        </is>
      </c>
      <c r="B5" t="inlineStr">
        <is>
          <t>1</t>
        </is>
      </c>
    </row>
    <row r="6">
      <c r="A6" t="inlineStr">
        <is>
          <t>Total evaluaciones</t>
        </is>
      </c>
      <c r="B6" t="n">
        <v>439</v>
      </c>
    </row>
    <row r="7">
      <c r="A7" t="inlineStr">
        <is>
          <t>UPV Ollama URL</t>
        </is>
      </c>
      <c r="B7" t="inlineStr">
        <is>
          <t>https://ollama.gti-ia.upv.es:443</t>
        </is>
      </c>
    </row>
    <row r="8">
      <c r="A8" t="inlineStr">
        <is>
          <t>PoliGPT URL</t>
        </is>
      </c>
      <c r="B8" t="inlineStr">
        <is>
          <t>https://api.poligpt.upv.es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t="inlineStr">
        <is>
          <t>Ranking</t>
        </is>
      </c>
      <c r="B1" t="inlineStr">
        <is>
          <t>Modelo</t>
        </is>
      </c>
      <c r="C1" t="inlineStr">
        <is>
          <t>muestras</t>
        </is>
      </c>
      <c r="D1" t="inlineStr">
        <is>
          <t>latencia_media</t>
        </is>
      </c>
      <c r="E1" t="inlineStr">
        <is>
          <t>latencia_p95</t>
        </is>
      </c>
      <c r="F1" t="inlineStr">
        <is>
          <t>throughput</t>
        </is>
      </c>
      <c r="G1" t="inlineStr">
        <is>
          <t>tokens_medio</t>
        </is>
      </c>
      <c r="H1" t="inlineStr">
        <is>
          <t>formato_socratico</t>
        </is>
      </c>
      <c r="I1" t="inlineStr">
        <is>
          <t>correccion_conceptual</t>
        </is>
      </c>
      <c r="J1" t="inlineStr">
        <is>
          <t>adaptabilidad</t>
        </is>
      </c>
      <c r="K1" t="inlineStr">
        <is>
          <t>generacion_reflexion</t>
        </is>
      </c>
      <c r="L1" t="inlineStr">
        <is>
          <t>score_total</t>
        </is>
      </c>
      <c r="M1" t="inlineStr">
        <is>
          <t>pct_socratico</t>
        </is>
      </c>
      <c r="N1" t="inlineStr">
        <is>
          <t>pct_score_15</t>
        </is>
      </c>
      <c r="O1" t="inlineStr">
        <is>
          <t>faithfulness</t>
        </is>
      </c>
      <c r="P1" t="inlineStr">
        <is>
          <t>relevance</t>
        </is>
      </c>
      <c r="Q1" t="inlineStr">
        <is>
          <t>pct_cot</t>
        </is>
      </c>
    </row>
    <row r="2">
      <c r="A2" t="n">
        <v>1</v>
      </c>
      <c r="B2" t="inlineStr">
        <is>
          <t>gemma3:4b</t>
        </is>
      </c>
      <c r="C2">
        <f>COUNTA('Resultados_gemma3_4b'!A2:A10000)</f>
        <v/>
      </c>
      <c r="D2">
        <f>IFERROR(AVERAGE('Resultados_gemma3_4b'!L2:L10000),"")</f>
        <v/>
      </c>
      <c r="E2">
        <f>IFERROR(PERCENTILE('Resultados_gemma3_4b'!L2:L10000,0.95),"")</f>
        <v/>
      </c>
      <c r="F2">
        <f>IFERROR(IF(AVERAGE('Resultados_gemma3_4b'!L2:L10000)&gt;0,60/AVERAGE('Resultados_gemma3_4b'!L2:L10000),0),"")</f>
        <v/>
      </c>
      <c r="G2">
        <f>IFERROR(AVERAGE('Resultados_gemma3_4b'!M2:M10000),"")</f>
        <v/>
      </c>
      <c r="H2">
        <f>IFERROR(AVERAGE('Resultados_gemma3_4b'!G2:G10000),"")</f>
        <v/>
      </c>
      <c r="I2">
        <f>IFERROR(AVERAGE('Resultados_gemma3_4b'!H2:H10000),"")</f>
        <v/>
      </c>
      <c r="J2">
        <f>IFERROR(AVERAGE('Resultados_gemma3_4b'!I2:I10000),"")</f>
        <v/>
      </c>
      <c r="K2">
        <f>IFERROR(AVERAGE('Resultados_gemma3_4b'!J2:J10000),"")</f>
        <v/>
      </c>
      <c r="L2">
        <f>IFERROR(AVERAGE('Resultados_gemma3_4b'!K2:K10000),"")</f>
        <v/>
      </c>
      <c r="M2">
        <f>IFERROR(COUNTIF('Resultados_gemma3_4b'!G2:G10000,"&gt;=4")/COUNTA('Resultados_gemma3_4b'!G2:G10000)*100,"")</f>
        <v/>
      </c>
      <c r="N2">
        <f>IFERROR(COUNTIF('Resultados_gemma3_4b'!K2:K10000,"&gt;=15")/COUNTA('Resultados_gemma3_4b'!K2:K10000)*100,"")</f>
        <v/>
      </c>
      <c r="O2">
        <f>IFERROR(AVERAGE('Resultados_gemma3_4b'!T2:T10000),"")</f>
        <v/>
      </c>
      <c r="P2">
        <f>IFERROR(AVERAGE('Resultados_gemma3_4b'!U2:U10000),"")</f>
        <v/>
      </c>
      <c r="Q2">
        <f>IFERROR(COUNTIF('Resultados_gemma3_4b'!V2:V10000,"&lt;&gt;")/COUNTA('Resultados_gemma3_4b'!A2:A10000)*100,"")</f>
        <v/>
      </c>
    </row>
    <row r="3">
      <c r="A3" t="n">
        <v>2</v>
      </c>
      <c r="B3" t="inlineStr">
        <is>
          <t>poligpt</t>
        </is>
      </c>
      <c r="C3">
        <f>COUNTA('Resultados_poligpt'!A2:A10000)</f>
        <v/>
      </c>
      <c r="D3">
        <f>IFERROR(AVERAGE('Resultados_poligpt'!L2:L10000),"")</f>
        <v/>
      </c>
      <c r="E3">
        <f>IFERROR(PERCENTILE('Resultados_poligpt'!L2:L10000,0.95),"")</f>
        <v/>
      </c>
      <c r="F3">
        <f>IFERROR(IF(AVERAGE('Resultados_poligpt'!L2:L10000)&gt;0,60/AVERAGE('Resultados_poligpt'!L2:L10000),0),"")</f>
        <v/>
      </c>
      <c r="G3">
        <f>IFERROR(AVERAGE('Resultados_poligpt'!M2:M10000),"")</f>
        <v/>
      </c>
      <c r="H3">
        <f>IFERROR(AVERAGE('Resultados_poligpt'!G2:G10000),"")</f>
        <v/>
      </c>
      <c r="I3">
        <f>IFERROR(AVERAGE('Resultados_poligpt'!H2:H10000),"")</f>
        <v/>
      </c>
      <c r="J3">
        <f>IFERROR(AVERAGE('Resultados_poligpt'!I2:I10000),"")</f>
        <v/>
      </c>
      <c r="K3">
        <f>IFERROR(AVERAGE('Resultados_poligpt'!J2:J10000),"")</f>
        <v/>
      </c>
      <c r="L3">
        <f>IFERROR(AVERAGE('Resultados_poligpt'!K2:K10000),"")</f>
        <v/>
      </c>
      <c r="M3">
        <f>IFERROR(COUNTIF('Resultados_poligpt'!G2:G10000,"&gt;=4")/COUNTA('Resultados_poligpt'!G2:G10000)*100,"")</f>
        <v/>
      </c>
      <c r="N3">
        <f>IFERROR(COUNTIF('Resultados_poligpt'!K2:K10000,"&gt;=15")/COUNTA('Resultados_poligpt'!K2:K10000)*100,"")</f>
        <v/>
      </c>
      <c r="O3">
        <f>IFERROR(AVERAGE('Resultados_poligpt'!T2:T10000),"")</f>
        <v/>
      </c>
      <c r="P3">
        <f>IFERROR(AVERAGE('Resultados_poligpt'!U2:U10000),"")</f>
        <v/>
      </c>
      <c r="Q3">
        <f>IFERROR(COUNTIF('Resultados_poligpt'!V2:V10000,"&lt;&gt;")/COUNTA('Resultados_poligpt'!A2:A10000)*100,"")</f>
        <v/>
      </c>
    </row>
    <row r="4">
      <c r="A4" t="n">
        <v>3</v>
      </c>
      <c r="B4" t="inlineStr">
        <is>
          <t>phi4-mini:3.8b</t>
        </is>
      </c>
      <c r="C4">
        <f>COUNTA('Resultados_phi4-mini_3.8b'!A2:A10000)</f>
        <v/>
      </c>
      <c r="D4">
        <f>IFERROR(AVERAGE('Resultados_phi4-mini_3.8b'!L2:L10000),"")</f>
        <v/>
      </c>
      <c r="E4">
        <f>IFERROR(PERCENTILE('Resultados_phi4-mini_3.8b'!L2:L10000,0.95),"")</f>
        <v/>
      </c>
      <c r="F4">
        <f>IFERROR(IF(AVERAGE('Resultados_phi4-mini_3.8b'!L2:L10000)&gt;0,60/AVERAGE('Resultados_phi4-mini_3.8b'!L2:L10000),0),"")</f>
        <v/>
      </c>
      <c r="G4">
        <f>IFERROR(AVERAGE('Resultados_phi4-mini_3.8b'!M2:M10000),"")</f>
        <v/>
      </c>
      <c r="H4">
        <f>IFERROR(AVERAGE('Resultados_phi4-mini_3.8b'!G2:G10000),"")</f>
        <v/>
      </c>
      <c r="I4">
        <f>IFERROR(AVERAGE('Resultados_phi4-mini_3.8b'!H2:H10000),"")</f>
        <v/>
      </c>
      <c r="J4">
        <f>IFERROR(AVERAGE('Resultados_phi4-mini_3.8b'!I2:I10000),"")</f>
        <v/>
      </c>
      <c r="K4">
        <f>IFERROR(AVERAGE('Resultados_phi4-mini_3.8b'!J2:J10000),"")</f>
        <v/>
      </c>
      <c r="L4">
        <f>IFERROR(AVERAGE('Resultados_phi4-mini_3.8b'!K2:K10000),"")</f>
        <v/>
      </c>
      <c r="M4">
        <f>IFERROR(COUNTIF('Resultados_phi4-mini_3.8b'!G2:G10000,"&gt;=4")/COUNTA('Resultados_phi4-mini_3.8b'!G2:G10000)*100,"")</f>
        <v/>
      </c>
      <c r="N4">
        <f>IFERROR(COUNTIF('Resultados_phi4-mini_3.8b'!K2:K10000,"&gt;=15")/COUNTA('Resultados_phi4-mini_3.8b'!K2:K10000)*100,"")</f>
        <v/>
      </c>
      <c r="O4">
        <f>IFERROR(AVERAGE('Resultados_phi4-mini_3.8b'!T2:T10000),"")</f>
        <v/>
      </c>
      <c r="P4">
        <f>IFERROR(AVERAGE('Resultados_phi4-mini_3.8b'!U2:U10000),"")</f>
        <v/>
      </c>
      <c r="Q4">
        <f>IFERROR(COUNTIF('Resultados_phi4-mini_3.8b'!V2:V10000,"&lt;&gt;")/COUNTA('Resultados_phi4-mini_3.8b'!A2:A10000)*100,"")</f>
        <v/>
      </c>
    </row>
    <row r="5">
      <c r="A5" t="n">
        <v>4</v>
      </c>
      <c r="B5" t="inlineStr">
        <is>
          <t>gemma</t>
        </is>
      </c>
      <c r="C5">
        <f>COUNTA('Resultados_gemma'!A2:A10000)</f>
        <v/>
      </c>
      <c r="D5">
        <f>IFERROR(AVERAGE('Resultados_gemma'!L2:L10000),"")</f>
        <v/>
      </c>
      <c r="E5">
        <f>IFERROR(PERCENTILE('Resultados_gemma'!L2:L10000,0.95),"")</f>
        <v/>
      </c>
      <c r="F5">
        <f>IFERROR(IF(AVERAGE('Resultados_gemma'!L2:L10000)&gt;0,60/AVERAGE('Resultados_gemma'!L2:L10000),0),"")</f>
        <v/>
      </c>
      <c r="G5">
        <f>IFERROR(AVERAGE('Resultados_gemma'!M2:M10000),"")</f>
        <v/>
      </c>
      <c r="H5">
        <f>IFERROR(AVERAGE('Resultados_gemma'!G2:G10000),"")</f>
        <v/>
      </c>
      <c r="I5">
        <f>IFERROR(AVERAGE('Resultados_gemma'!H2:H10000),"")</f>
        <v/>
      </c>
      <c r="J5">
        <f>IFERROR(AVERAGE('Resultados_gemma'!I2:I10000),"")</f>
        <v/>
      </c>
      <c r="K5">
        <f>IFERROR(AVERAGE('Resultados_gemma'!J2:J10000),"")</f>
        <v/>
      </c>
      <c r="L5">
        <f>IFERROR(AVERAGE('Resultados_gemma'!K2:K10000),"")</f>
        <v/>
      </c>
      <c r="M5">
        <f>IFERROR(COUNTIF('Resultados_gemma'!G2:G10000,"&gt;=4")/COUNTA('Resultados_gemma'!G2:G10000)*100,"")</f>
        <v/>
      </c>
      <c r="N5">
        <f>IFERROR(COUNTIF('Resultados_gemma'!K2:K10000,"&gt;=15")/COUNTA('Resultados_gemma'!K2:K10000)*100,"")</f>
        <v/>
      </c>
      <c r="O5">
        <f>IFERROR(AVERAGE('Resultados_gemma'!T2:T10000),"")</f>
        <v/>
      </c>
      <c r="P5">
        <f>IFERROR(AVERAGE('Resultados_gemma'!U2:U10000),"")</f>
        <v/>
      </c>
      <c r="Q5">
        <f>IFERROR(COUNTIF('Resultados_gemma'!V2:V10000,"&lt;&gt;")/COUNTA('Resultados_gemma'!A2:A10000)*100,"")</f>
        <v/>
      </c>
    </row>
    <row r="6">
      <c r="A6" t="n">
        <v>5</v>
      </c>
      <c r="B6" t="inlineStr">
        <is>
          <t>gemma3:27b</t>
        </is>
      </c>
      <c r="C6">
        <f>COUNTA('Resultados_gemma3_27b'!A2:A10000)</f>
        <v/>
      </c>
      <c r="D6">
        <f>IFERROR(AVERAGE('Resultados_gemma3_27b'!L2:L10000),"")</f>
        <v/>
      </c>
      <c r="E6">
        <f>IFERROR(PERCENTILE('Resultados_gemma3_27b'!L2:L10000,0.95),"")</f>
        <v/>
      </c>
      <c r="F6">
        <f>IFERROR(IF(AVERAGE('Resultados_gemma3_27b'!L2:L10000)&gt;0,60/AVERAGE('Resultados_gemma3_27b'!L2:L10000),0),"")</f>
        <v/>
      </c>
      <c r="G6">
        <f>IFERROR(AVERAGE('Resultados_gemma3_27b'!M2:M10000),"")</f>
        <v/>
      </c>
      <c r="H6">
        <f>IFERROR(AVERAGE('Resultados_gemma3_27b'!G2:G10000),"")</f>
        <v/>
      </c>
      <c r="I6">
        <f>IFERROR(AVERAGE('Resultados_gemma3_27b'!H2:H10000),"")</f>
        <v/>
      </c>
      <c r="J6">
        <f>IFERROR(AVERAGE('Resultados_gemma3_27b'!I2:I10000),"")</f>
        <v/>
      </c>
      <c r="K6">
        <f>IFERROR(AVERAGE('Resultados_gemma3_27b'!J2:J10000),"")</f>
        <v/>
      </c>
      <c r="L6">
        <f>IFERROR(AVERAGE('Resultados_gemma3_27b'!K2:K10000),"")</f>
        <v/>
      </c>
      <c r="M6">
        <f>IFERROR(COUNTIF('Resultados_gemma3_27b'!G2:G10000,"&gt;=4")/COUNTA('Resultados_gemma3_27b'!G2:G10000)*100,"")</f>
        <v/>
      </c>
      <c r="N6">
        <f>IFERROR(COUNTIF('Resultados_gemma3_27b'!K2:K10000,"&gt;=15")/COUNTA('Resultados_gemma3_27b'!K2:K10000)*100,"")</f>
        <v/>
      </c>
      <c r="O6">
        <f>IFERROR(AVERAGE('Resultados_gemma3_27b'!T2:T10000),"")</f>
        <v/>
      </c>
      <c r="P6">
        <f>IFERROR(AVERAGE('Resultados_gemma3_27b'!U2:U10000),"")</f>
        <v/>
      </c>
      <c r="Q6">
        <f>IFERROR(COUNTIF('Resultados_gemma3_27b'!V2:V10000,"&lt;&gt;")/COUNTA('Resultados_gemma3_27b'!A2:A10000)*100,"")</f>
        <v/>
      </c>
    </row>
    <row r="7">
      <c r="A7" t="n">
        <v>6</v>
      </c>
      <c r="B7" t="inlineStr">
        <is>
          <t>deepseek-r1:7b</t>
        </is>
      </c>
      <c r="C7">
        <f>COUNTA('Resultados_deepseek-r1_7b'!A2:A10000)</f>
        <v/>
      </c>
      <c r="D7">
        <f>IFERROR(AVERAGE('Resultados_deepseek-r1_7b'!L2:L10000),"")</f>
        <v/>
      </c>
      <c r="E7">
        <f>IFERROR(PERCENTILE('Resultados_deepseek-r1_7b'!L2:L10000,0.95),"")</f>
        <v/>
      </c>
      <c r="F7">
        <f>IFERROR(IF(AVERAGE('Resultados_deepseek-r1_7b'!L2:L10000)&gt;0,60/AVERAGE('Resultados_deepseek-r1_7b'!L2:L10000),0),"")</f>
        <v/>
      </c>
      <c r="G7">
        <f>IFERROR(AVERAGE('Resultados_deepseek-r1_7b'!M2:M10000),"")</f>
        <v/>
      </c>
      <c r="H7">
        <f>IFERROR(AVERAGE('Resultados_deepseek-r1_7b'!G2:G10000),"")</f>
        <v/>
      </c>
      <c r="I7">
        <f>IFERROR(AVERAGE('Resultados_deepseek-r1_7b'!H2:H10000),"")</f>
        <v/>
      </c>
      <c r="J7">
        <f>IFERROR(AVERAGE('Resultados_deepseek-r1_7b'!I2:I10000),"")</f>
        <v/>
      </c>
      <c r="K7">
        <f>IFERROR(AVERAGE('Resultados_deepseek-r1_7b'!J2:J10000),"")</f>
        <v/>
      </c>
      <c r="L7">
        <f>IFERROR(AVERAGE('Resultados_deepseek-r1_7b'!K2:K10000),"")</f>
        <v/>
      </c>
      <c r="M7">
        <f>IFERROR(COUNTIF('Resultados_deepseek-r1_7b'!G2:G10000,"&gt;=4")/COUNTA('Resultados_deepseek-r1_7b'!G2:G10000)*100,"")</f>
        <v/>
      </c>
      <c r="N7">
        <f>IFERROR(COUNTIF('Resultados_deepseek-r1_7b'!K2:K10000,"&gt;=15")/COUNTA('Resultados_deepseek-r1_7b'!K2:K10000)*100,"")</f>
        <v/>
      </c>
      <c r="O7">
        <f>IFERROR(AVERAGE('Resultados_deepseek-r1_7b'!T2:T10000),"")</f>
        <v/>
      </c>
      <c r="P7">
        <f>IFERROR(AVERAGE('Resultados_deepseek-r1_7b'!U2:U10000),"")</f>
        <v/>
      </c>
      <c r="Q7">
        <f>IFERROR(COUNTIF('Resultados_deepseek-r1_7b'!V2:V10000,"&lt;&gt;")/COUNTA('Resultados_deepseek-r1_7b'!A2:A10000)*100,"")</f>
        <v/>
      </c>
    </row>
    <row r="8">
      <c r="A8" t="n">
        <v>7</v>
      </c>
      <c r="B8" t="inlineStr">
        <is>
          <t>qwen3:4b</t>
        </is>
      </c>
      <c r="C8">
        <f>COUNTA('Resultados_qwen3_4b'!A2:A10000)</f>
        <v/>
      </c>
      <c r="D8">
        <f>IFERROR(AVERAGE('Resultados_qwen3_4b'!L2:L10000),"")</f>
        <v/>
      </c>
      <c r="E8">
        <f>IFERROR(PERCENTILE('Resultados_qwen3_4b'!L2:L10000,0.95),"")</f>
        <v/>
      </c>
      <c r="F8">
        <f>IFERROR(IF(AVERAGE('Resultados_qwen3_4b'!L2:L10000)&gt;0,60/AVERAGE('Resultados_qwen3_4b'!L2:L10000),0),"")</f>
        <v/>
      </c>
      <c r="G8">
        <f>IFERROR(AVERAGE('Resultados_qwen3_4b'!M2:M10000),"")</f>
        <v/>
      </c>
      <c r="H8">
        <f>IFERROR(AVERAGE('Resultados_qwen3_4b'!G2:G10000),"")</f>
        <v/>
      </c>
      <c r="I8">
        <f>IFERROR(AVERAGE('Resultados_qwen3_4b'!H2:H10000),"")</f>
        <v/>
      </c>
      <c r="J8">
        <f>IFERROR(AVERAGE('Resultados_qwen3_4b'!I2:I10000),"")</f>
        <v/>
      </c>
      <c r="K8">
        <f>IFERROR(AVERAGE('Resultados_qwen3_4b'!J2:J10000),"")</f>
        <v/>
      </c>
      <c r="L8">
        <f>IFERROR(AVERAGE('Resultados_qwen3_4b'!K2:K10000),"")</f>
        <v/>
      </c>
      <c r="M8">
        <f>IFERROR(COUNTIF('Resultados_qwen3_4b'!G2:G10000,"&gt;=4")/COUNTA('Resultados_qwen3_4b'!G2:G10000)*100,"")</f>
        <v/>
      </c>
      <c r="N8">
        <f>IFERROR(COUNTIF('Resultados_qwen3_4b'!K2:K10000,"&gt;=15")/COUNTA('Resultados_qwen3_4b'!K2:K10000)*100,"")</f>
        <v/>
      </c>
      <c r="O8">
        <f>IFERROR(AVERAGE('Resultados_qwen3_4b'!T2:T10000),"")</f>
        <v/>
      </c>
      <c r="P8">
        <f>IFERROR(AVERAGE('Resultados_qwen3_4b'!U2:U10000),"")</f>
        <v/>
      </c>
      <c r="Q8">
        <f>IFERROR(COUNTIF('Resultados_qwen3_4b'!V2:V10000,"&lt;&gt;")/COUNTA('Resultados_qwen3_4b'!A2:A10000)*100,"")</f>
        <v/>
      </c>
    </row>
    <row r="9">
      <c r="A9" t="n">
        <v>8</v>
      </c>
      <c r="B9" t="inlineStr">
        <is>
          <t>llama3.2:3b</t>
        </is>
      </c>
      <c r="C9">
        <f>COUNTA('Resultados_llama3.2_3b'!A2:A10000)</f>
        <v/>
      </c>
      <c r="D9">
        <f>IFERROR(AVERAGE('Resultados_llama3.2_3b'!L2:L10000),"")</f>
        <v/>
      </c>
      <c r="E9">
        <f>IFERROR(PERCENTILE('Resultados_llama3.2_3b'!L2:L10000,0.95),"")</f>
        <v/>
      </c>
      <c r="F9">
        <f>IFERROR(IF(AVERAGE('Resultados_llama3.2_3b'!L2:L10000)&gt;0,60/AVERAGE('Resultados_llama3.2_3b'!L2:L10000),0),"")</f>
        <v/>
      </c>
      <c r="G9">
        <f>IFERROR(AVERAGE('Resultados_llama3.2_3b'!M2:M10000),"")</f>
        <v/>
      </c>
      <c r="H9">
        <f>IFERROR(AVERAGE('Resultados_llama3.2_3b'!G2:G10000),"")</f>
        <v/>
      </c>
      <c r="I9">
        <f>IFERROR(AVERAGE('Resultados_llama3.2_3b'!H2:H10000),"")</f>
        <v/>
      </c>
      <c r="J9">
        <f>IFERROR(AVERAGE('Resultados_llama3.2_3b'!I2:I10000),"")</f>
        <v/>
      </c>
      <c r="K9">
        <f>IFERROR(AVERAGE('Resultados_llama3.2_3b'!J2:J10000),"")</f>
        <v/>
      </c>
      <c r="L9">
        <f>IFERROR(AVERAGE('Resultados_llama3.2_3b'!K2:K10000),"")</f>
        <v/>
      </c>
      <c r="M9">
        <f>IFERROR(COUNTIF('Resultados_llama3.2_3b'!G2:G10000,"&gt;=4")/COUNTA('Resultados_llama3.2_3b'!G2:G10000)*100,"")</f>
        <v/>
      </c>
      <c r="N9">
        <f>IFERROR(COUNTIF('Resultados_llama3.2_3b'!K2:K10000,"&gt;=15")/COUNTA('Resultados_llama3.2_3b'!K2:K10000)*100,"")</f>
        <v/>
      </c>
      <c r="O9">
        <f>IFERROR(AVERAGE('Resultados_llama3.2_3b'!T2:T10000),"")</f>
        <v/>
      </c>
      <c r="P9">
        <f>IFERROR(AVERAGE('Resultados_llama3.2_3b'!U2:U10000),"")</f>
        <v/>
      </c>
      <c r="Q9">
        <f>IFERROR(COUNTIF('Resultados_llama3.2_3b'!V2:V10000,"&lt;&gt;")/COUNTA('Resultados_llama3.2_3b'!A2:A10000)*100,"")</f>
        <v/>
      </c>
    </row>
    <row r="10">
      <c r="A10" t="n">
        <v>9</v>
      </c>
      <c r="B10" t="inlineStr">
        <is>
          <t>Tutor_EDA</t>
        </is>
      </c>
      <c r="C10">
        <f>COUNTA('Resultados_Tutor_EDA'!A2:A10000)</f>
        <v/>
      </c>
      <c r="D10">
        <f>IFERROR(AVERAGE('Resultados_Tutor_EDA'!L2:L10000),"")</f>
        <v/>
      </c>
      <c r="E10">
        <f>IFERROR(PERCENTILE('Resultados_Tutor_EDA'!L2:L10000,0.95),"")</f>
        <v/>
      </c>
      <c r="F10">
        <f>IFERROR(IF(AVERAGE('Resultados_Tutor_EDA'!L2:L10000)&gt;0,60/AVERAGE('Resultados_Tutor_EDA'!L2:L10000),0),"")</f>
        <v/>
      </c>
      <c r="G10">
        <f>IFERROR(AVERAGE('Resultados_Tutor_EDA'!M2:M10000),"")</f>
        <v/>
      </c>
      <c r="H10">
        <f>IFERROR(AVERAGE('Resultados_Tutor_EDA'!G2:G10000),"")</f>
        <v/>
      </c>
      <c r="I10">
        <f>IFERROR(AVERAGE('Resultados_Tutor_EDA'!H2:H10000),"")</f>
        <v/>
      </c>
      <c r="J10">
        <f>IFERROR(AVERAGE('Resultados_Tutor_EDA'!I2:I10000),"")</f>
        <v/>
      </c>
      <c r="K10">
        <f>IFERROR(AVERAGE('Resultados_Tutor_EDA'!J2:J10000),"")</f>
        <v/>
      </c>
      <c r="L10">
        <f>IFERROR(AVERAGE('Resultados_Tutor_EDA'!K2:K10000),"")</f>
        <v/>
      </c>
      <c r="M10">
        <f>IFERROR(COUNTIF('Resultados_Tutor_EDA'!G2:G10000,"&gt;=4")/COUNTA('Resultados_Tutor_EDA'!G2:G10000)*100,"")</f>
        <v/>
      </c>
      <c r="N10">
        <f>IFERROR(COUNTIF('Resultados_Tutor_EDA'!K2:K10000,"&gt;=15")/COUNTA('Resultados_Tutor_EDA'!K2:K10000)*100,"")</f>
        <v/>
      </c>
      <c r="O10">
        <f>IFERROR(AVERAGE('Resultados_Tutor_EDA'!T2:T10000),"")</f>
        <v/>
      </c>
      <c r="P10">
        <f>IFERROR(AVERAGE('Resultados_Tutor_EDA'!U2:U10000),"")</f>
        <v/>
      </c>
      <c r="Q10">
        <f>IFERROR(COUNTIF('Resultados_Tutor_EDA'!V2:V10000,"&lt;&gt;")/COUNTA('Resultados_Tutor_EDA'!A2:A10000)*100,"")</f>
        <v/>
      </c>
    </row>
    <row r="11">
      <c r="A11" t="n">
        <v>10</v>
      </c>
      <c r="B11" t="inlineStr">
        <is>
          <t>llama-mini</t>
        </is>
      </c>
      <c r="C11">
        <f>COUNTA('Resultados_llama-mini'!A2:A10000)</f>
        <v/>
      </c>
      <c r="D11">
        <f>IFERROR(AVERAGE('Resultados_llama-mini'!L2:L10000),"")</f>
        <v/>
      </c>
      <c r="E11">
        <f>IFERROR(PERCENTILE('Resultados_llama-mini'!L2:L10000,0.95),"")</f>
        <v/>
      </c>
      <c r="F11">
        <f>IFERROR(IF(AVERAGE('Resultados_llama-mini'!L2:L10000)&gt;0,60/AVERAGE('Resultados_llama-mini'!L2:L10000),0),"")</f>
        <v/>
      </c>
      <c r="G11">
        <f>IFERROR(AVERAGE('Resultados_llama-mini'!M2:M10000),"")</f>
        <v/>
      </c>
      <c r="H11">
        <f>IFERROR(AVERAGE('Resultados_llama-mini'!G2:G10000),"")</f>
        <v/>
      </c>
      <c r="I11">
        <f>IFERROR(AVERAGE('Resultados_llama-mini'!H2:H10000),"")</f>
        <v/>
      </c>
      <c r="J11">
        <f>IFERROR(AVERAGE('Resultados_llama-mini'!I2:I10000),"")</f>
        <v/>
      </c>
      <c r="K11">
        <f>IFERROR(AVERAGE('Resultados_llama-mini'!J2:J10000),"")</f>
        <v/>
      </c>
      <c r="L11">
        <f>IFERROR(AVERAGE('Resultados_llama-mini'!K2:K10000),"")</f>
        <v/>
      </c>
      <c r="M11">
        <f>IFERROR(COUNTIF('Resultados_llama-mini'!G2:G10000,"&gt;=4")/COUNTA('Resultados_llama-mini'!G2:G10000)*100,"")</f>
        <v/>
      </c>
      <c r="N11">
        <f>IFERROR(COUNTIF('Resultados_llama-mini'!K2:K10000,"&gt;=15")/COUNTA('Resultados_llama-mini'!K2:K10000)*100,"")</f>
        <v/>
      </c>
      <c r="O11">
        <f>IFERROR(AVERAGE('Resultados_llama-mini'!T2:T10000),"")</f>
        <v/>
      </c>
      <c r="P11">
        <f>IFERROR(AVERAGE('Resultados_llama-mini'!U2:U10000),"")</f>
        <v/>
      </c>
      <c r="Q11">
        <f>IFERROR(COUNTIF('Resultados_llama-mini'!V2:V10000,"&lt;&gt;")/COUNTA('Resultados_llama-mini'!A2:A10000)*100,"")</f>
        <v/>
      </c>
    </row>
    <row r="12">
      <c r="A12" t="n">
        <v>11</v>
      </c>
      <c r="B12" t="inlineStr">
        <is>
          <t>llama3.1:8b</t>
        </is>
      </c>
      <c r="C12">
        <f>COUNTA('Resultados_llama3.1_8b'!A2:A10000)</f>
        <v/>
      </c>
      <c r="D12">
        <f>IFERROR(AVERAGE('Resultados_llama3.1_8b'!L2:L10000),"")</f>
        <v/>
      </c>
      <c r="E12">
        <f>IFERROR(PERCENTILE('Resultados_llama3.1_8b'!L2:L10000,0.95),"")</f>
        <v/>
      </c>
      <c r="F12">
        <f>IFERROR(IF(AVERAGE('Resultados_llama3.1_8b'!L2:L10000)&gt;0,60/AVERAGE('Resultados_llama3.1_8b'!L2:L10000),0),"")</f>
        <v/>
      </c>
      <c r="G12">
        <f>IFERROR(AVERAGE('Resultados_llama3.1_8b'!M2:M10000),"")</f>
        <v/>
      </c>
      <c r="H12">
        <f>IFERROR(AVERAGE('Resultados_llama3.1_8b'!G2:G10000),"")</f>
        <v/>
      </c>
      <c r="I12">
        <f>IFERROR(AVERAGE('Resultados_llama3.1_8b'!H2:H10000),"")</f>
        <v/>
      </c>
      <c r="J12">
        <f>IFERROR(AVERAGE('Resultados_llama3.1_8b'!I2:I10000),"")</f>
        <v/>
      </c>
      <c r="K12">
        <f>IFERROR(AVERAGE('Resultados_llama3.1_8b'!J2:J10000),"")</f>
        <v/>
      </c>
      <c r="L12">
        <f>IFERROR(AVERAGE('Resultados_llama3.1_8b'!K2:K10000),"")</f>
        <v/>
      </c>
      <c r="M12">
        <f>IFERROR(COUNTIF('Resultados_llama3.1_8b'!G2:G10000,"&gt;=4")/COUNTA('Resultados_llama3.1_8b'!G2:G10000)*100,"")</f>
        <v/>
      </c>
      <c r="N12">
        <f>IFERROR(COUNTIF('Resultados_llama3.1_8b'!K2:K10000,"&gt;=15")/COUNTA('Resultados_llama3.1_8b'!K2:K10000)*100,"")</f>
        <v/>
      </c>
      <c r="O12">
        <f>IFERROR(AVERAGE('Resultados_llama3.1_8b'!T2:T10000),"")</f>
        <v/>
      </c>
      <c r="P12">
        <f>IFERROR(AVERAGE('Resultados_llama3.1_8b'!U2:U10000),"")</f>
        <v/>
      </c>
      <c r="Q12">
        <f>IFERROR(COUNTIF('Resultados_llama3.1_8b'!V2:V10000,"&lt;&gt;")/COUNTA('Resultados_llama3.1_8b'!A2:A10000)*100,"")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Model</t>
        </is>
      </c>
      <c r="B1" t="inlineStr">
        <is>
          <t>Arch.</t>
        </is>
      </c>
      <c r="C1" t="inlineStr">
        <is>
          <t>muestras</t>
        </is>
      </c>
      <c r="D1" t="inlineStr">
        <is>
          <t>latencia_media (s)</t>
        </is>
      </c>
      <c r="E1" t="inlineStr">
        <is>
          <t>tokens_medio</t>
        </is>
      </c>
      <c r="F1" t="inlineStr">
        <is>
          <t>socraticity (0-5)</t>
        </is>
      </c>
      <c r="G1" t="inlineStr">
        <is>
          <t>conceptual correctness (0-5)</t>
        </is>
      </c>
      <c r="H1" t="inlineStr">
        <is>
          <t>consistency (0-5)</t>
        </is>
      </c>
      <c r="I1" t="inlineStr">
        <is>
          <t>hallucination rate (0-5)</t>
        </is>
      </c>
      <c r="J1" t="inlineStr">
        <is>
          <t>temperature</t>
        </is>
      </c>
    </row>
    <row r="2">
      <c r="A2" t="inlineStr">
        <is>
          <t>gemma3:4b</t>
        </is>
      </c>
      <c r="B2" t="inlineStr">
        <is>
          <t>RAG</t>
        </is>
      </c>
      <c r="C2">
        <f>COUNTA('Resultados_gemma3_4b'!A2:A10000)</f>
        <v/>
      </c>
      <c r="D2">
        <f>IFERROR(AVERAGE('Resultados_gemma3_4b'!L2:L10000),"")</f>
        <v/>
      </c>
      <c r="E2">
        <f>IFERROR(AVERAGE('Resultados_gemma3_4b'!M2:M10000),"")</f>
        <v/>
      </c>
      <c r="F2">
        <f>IFERROR(AVERAGE('Resultados_gemma3_4b'!G2:G10000),"")</f>
        <v/>
      </c>
      <c r="G2">
        <f>IFERROR(AVERAGE('Resultados_gemma3_4b'!H2:H10000),"")</f>
        <v/>
      </c>
      <c r="H2">
        <f>IFERROR(AVERAGE('Resultados_gemma3_4b'!I2:I10000),"")</f>
        <v/>
      </c>
      <c r="I2">
        <f>IFERROR(AVERAGE('Resultados_gemma3_4b'!J2:J10000),"")</f>
        <v/>
      </c>
      <c r="J2" t="n">
        <v>0.7</v>
      </c>
    </row>
    <row r="3">
      <c r="A3" t="inlineStr">
        <is>
          <t>poligpt</t>
        </is>
      </c>
      <c r="B3" t="inlineStr">
        <is>
          <t>RAG</t>
        </is>
      </c>
      <c r="C3">
        <f>COUNTA('Resultados_poligpt'!A2:A10000)</f>
        <v/>
      </c>
      <c r="D3">
        <f>IFERROR(AVERAGE('Resultados_poligpt'!L2:L10000),"")</f>
        <v/>
      </c>
      <c r="E3">
        <f>IFERROR(AVERAGE('Resultados_poligpt'!M2:M10000),"")</f>
        <v/>
      </c>
      <c r="F3">
        <f>IFERROR(AVERAGE('Resultados_poligpt'!G2:G10000),"")</f>
        <v/>
      </c>
      <c r="G3">
        <f>IFERROR(AVERAGE('Resultados_poligpt'!H2:H10000),"")</f>
        <v/>
      </c>
      <c r="H3">
        <f>IFERROR(AVERAGE('Resultados_poligpt'!I2:I10000),"")</f>
        <v/>
      </c>
      <c r="I3">
        <f>IFERROR(AVERAGE('Resultados_poligpt'!J2:J10000),"")</f>
        <v/>
      </c>
      <c r="J3" t="n">
        <v>0.7</v>
      </c>
    </row>
    <row r="4">
      <c r="A4" t="inlineStr">
        <is>
          <t>phi4-mini:3.8b</t>
        </is>
      </c>
      <c r="B4" t="inlineStr">
        <is>
          <t>RAG</t>
        </is>
      </c>
      <c r="C4">
        <f>COUNTA('Resultados_phi4-mini_3.8b'!A2:A10000)</f>
        <v/>
      </c>
      <c r="D4">
        <f>IFERROR(AVERAGE('Resultados_phi4-mini_3.8b'!L2:L10000),"")</f>
        <v/>
      </c>
      <c r="E4">
        <f>IFERROR(AVERAGE('Resultados_phi4-mini_3.8b'!M2:M10000),"")</f>
        <v/>
      </c>
      <c r="F4">
        <f>IFERROR(AVERAGE('Resultados_phi4-mini_3.8b'!G2:G10000),"")</f>
        <v/>
      </c>
      <c r="G4">
        <f>IFERROR(AVERAGE('Resultados_phi4-mini_3.8b'!H2:H10000),"")</f>
        <v/>
      </c>
      <c r="H4">
        <f>IFERROR(AVERAGE('Resultados_phi4-mini_3.8b'!I2:I10000),"")</f>
        <v/>
      </c>
      <c r="I4">
        <f>IFERROR(AVERAGE('Resultados_phi4-mini_3.8b'!J2:J10000),"")</f>
        <v/>
      </c>
      <c r="J4" t="n">
        <v>0.7</v>
      </c>
    </row>
    <row r="5">
      <c r="A5" t="inlineStr">
        <is>
          <t>gemma</t>
        </is>
      </c>
      <c r="B5" t="inlineStr">
        <is>
          <t>RAG</t>
        </is>
      </c>
      <c r="C5">
        <f>COUNTA('Resultados_gemma'!A2:A10000)</f>
        <v/>
      </c>
      <c r="D5">
        <f>IFERROR(AVERAGE('Resultados_gemma'!L2:L10000),"")</f>
        <v/>
      </c>
      <c r="E5">
        <f>IFERROR(AVERAGE('Resultados_gemma'!M2:M10000),"")</f>
        <v/>
      </c>
      <c r="F5">
        <f>IFERROR(AVERAGE('Resultados_gemma'!G2:G10000),"")</f>
        <v/>
      </c>
      <c r="G5">
        <f>IFERROR(AVERAGE('Resultados_gemma'!H2:H10000),"")</f>
        <v/>
      </c>
      <c r="H5">
        <f>IFERROR(AVERAGE('Resultados_gemma'!I2:I10000),"")</f>
        <v/>
      </c>
      <c r="I5">
        <f>IFERROR(AVERAGE('Resultados_gemma'!J2:J10000),"")</f>
        <v/>
      </c>
      <c r="J5" t="n">
        <v>0.7</v>
      </c>
    </row>
    <row r="6">
      <c r="A6" t="inlineStr">
        <is>
          <t>gemma3:27b</t>
        </is>
      </c>
      <c r="B6" t="inlineStr">
        <is>
          <t>RAG</t>
        </is>
      </c>
      <c r="C6">
        <f>COUNTA('Resultados_gemma3_27b'!A2:A10000)</f>
        <v/>
      </c>
      <c r="D6">
        <f>IFERROR(AVERAGE('Resultados_gemma3_27b'!L2:L10000),"")</f>
        <v/>
      </c>
      <c r="E6">
        <f>IFERROR(AVERAGE('Resultados_gemma3_27b'!M2:M10000),"")</f>
        <v/>
      </c>
      <c r="F6">
        <f>IFERROR(AVERAGE('Resultados_gemma3_27b'!G2:G10000),"")</f>
        <v/>
      </c>
      <c r="G6">
        <f>IFERROR(AVERAGE('Resultados_gemma3_27b'!H2:H10000),"")</f>
        <v/>
      </c>
      <c r="H6">
        <f>IFERROR(AVERAGE('Resultados_gemma3_27b'!I2:I10000),"")</f>
        <v/>
      </c>
      <c r="I6">
        <f>IFERROR(AVERAGE('Resultados_gemma3_27b'!J2:J10000),"")</f>
        <v/>
      </c>
      <c r="J6" t="n">
        <v>0.7</v>
      </c>
    </row>
    <row r="7">
      <c r="A7" t="inlineStr">
        <is>
          <t>deepseek-r1:7b</t>
        </is>
      </c>
      <c r="B7" t="inlineStr">
        <is>
          <t>RAG</t>
        </is>
      </c>
      <c r="C7">
        <f>COUNTA('Resultados_deepseek-r1_7b'!A2:A10000)</f>
        <v/>
      </c>
      <c r="D7">
        <f>IFERROR(AVERAGE('Resultados_deepseek-r1_7b'!L2:L10000),"")</f>
        <v/>
      </c>
      <c r="E7">
        <f>IFERROR(AVERAGE('Resultados_deepseek-r1_7b'!M2:M10000),"")</f>
        <v/>
      </c>
      <c r="F7">
        <f>IFERROR(AVERAGE('Resultados_deepseek-r1_7b'!G2:G10000),"")</f>
        <v/>
      </c>
      <c r="G7">
        <f>IFERROR(AVERAGE('Resultados_deepseek-r1_7b'!H2:H10000),"")</f>
        <v/>
      </c>
      <c r="H7">
        <f>IFERROR(AVERAGE('Resultados_deepseek-r1_7b'!I2:I10000),"")</f>
        <v/>
      </c>
      <c r="I7">
        <f>IFERROR(AVERAGE('Resultados_deepseek-r1_7b'!J2:J10000),"")</f>
        <v/>
      </c>
      <c r="J7" t="n">
        <v>0.7</v>
      </c>
    </row>
    <row r="8">
      <c r="A8" t="inlineStr">
        <is>
          <t>qwen3:4b</t>
        </is>
      </c>
      <c r="B8" t="inlineStr">
        <is>
          <t>RAG</t>
        </is>
      </c>
      <c r="C8">
        <f>COUNTA('Resultados_qwen3_4b'!A2:A10000)</f>
        <v/>
      </c>
      <c r="D8">
        <f>IFERROR(AVERAGE('Resultados_qwen3_4b'!L2:L10000),"")</f>
        <v/>
      </c>
      <c r="E8">
        <f>IFERROR(AVERAGE('Resultados_qwen3_4b'!M2:M10000),"")</f>
        <v/>
      </c>
      <c r="F8">
        <f>IFERROR(AVERAGE('Resultados_qwen3_4b'!G2:G10000),"")</f>
        <v/>
      </c>
      <c r="G8">
        <f>IFERROR(AVERAGE('Resultados_qwen3_4b'!H2:H10000),"")</f>
        <v/>
      </c>
      <c r="H8">
        <f>IFERROR(AVERAGE('Resultados_qwen3_4b'!I2:I10000),"")</f>
        <v/>
      </c>
      <c r="I8">
        <f>IFERROR(AVERAGE('Resultados_qwen3_4b'!J2:J10000),"")</f>
        <v/>
      </c>
      <c r="J8" t="n">
        <v>0.7</v>
      </c>
    </row>
    <row r="9">
      <c r="A9" t="inlineStr">
        <is>
          <t>llama3.2:3b</t>
        </is>
      </c>
      <c r="B9" t="inlineStr">
        <is>
          <t>RAG</t>
        </is>
      </c>
      <c r="C9">
        <f>COUNTA('Resultados_llama3.2_3b'!A2:A10000)</f>
        <v/>
      </c>
      <c r="D9">
        <f>IFERROR(AVERAGE('Resultados_llama3.2_3b'!L2:L10000),"")</f>
        <v/>
      </c>
      <c r="E9">
        <f>IFERROR(AVERAGE('Resultados_llama3.2_3b'!M2:M10000),"")</f>
        <v/>
      </c>
      <c r="F9">
        <f>IFERROR(AVERAGE('Resultados_llama3.2_3b'!G2:G10000),"")</f>
        <v/>
      </c>
      <c r="G9">
        <f>IFERROR(AVERAGE('Resultados_llama3.2_3b'!H2:H10000),"")</f>
        <v/>
      </c>
      <c r="H9">
        <f>IFERROR(AVERAGE('Resultados_llama3.2_3b'!I2:I10000),"")</f>
        <v/>
      </c>
      <c r="I9">
        <f>IFERROR(AVERAGE('Resultados_llama3.2_3b'!J2:J10000),"")</f>
        <v/>
      </c>
      <c r="J9" t="n">
        <v>0.7</v>
      </c>
    </row>
    <row r="10">
      <c r="A10" t="inlineStr">
        <is>
          <t>Tutor_EDA</t>
        </is>
      </c>
      <c r="B10" t="inlineStr">
        <is>
          <t>RAG</t>
        </is>
      </c>
      <c r="C10">
        <f>COUNTA('Resultados_Tutor_EDA'!A2:A10000)</f>
        <v/>
      </c>
      <c r="D10">
        <f>IFERROR(AVERAGE('Resultados_Tutor_EDA'!L2:L10000),"")</f>
        <v/>
      </c>
      <c r="E10">
        <f>IFERROR(AVERAGE('Resultados_Tutor_EDA'!M2:M10000),"")</f>
        <v/>
      </c>
      <c r="F10">
        <f>IFERROR(AVERAGE('Resultados_Tutor_EDA'!G2:G10000),"")</f>
        <v/>
      </c>
      <c r="G10">
        <f>IFERROR(AVERAGE('Resultados_Tutor_EDA'!H2:H10000),"")</f>
        <v/>
      </c>
      <c r="H10">
        <f>IFERROR(AVERAGE('Resultados_Tutor_EDA'!I2:I10000),"")</f>
        <v/>
      </c>
      <c r="I10">
        <f>IFERROR(AVERAGE('Resultados_Tutor_EDA'!J2:J10000),"")</f>
        <v/>
      </c>
      <c r="J10" t="n">
        <v>0.7</v>
      </c>
    </row>
    <row r="11">
      <c r="A11" t="inlineStr">
        <is>
          <t>llama-mini</t>
        </is>
      </c>
      <c r="B11" t="inlineStr">
        <is>
          <t>RAG</t>
        </is>
      </c>
      <c r="C11">
        <f>COUNTA('Resultados_llama-mini'!A2:A10000)</f>
        <v/>
      </c>
      <c r="D11">
        <f>IFERROR(AVERAGE('Resultados_llama-mini'!L2:L10000),"")</f>
        <v/>
      </c>
      <c r="E11">
        <f>IFERROR(AVERAGE('Resultados_llama-mini'!M2:M10000),"")</f>
        <v/>
      </c>
      <c r="F11">
        <f>IFERROR(AVERAGE('Resultados_llama-mini'!G2:G10000),"")</f>
        <v/>
      </c>
      <c r="G11">
        <f>IFERROR(AVERAGE('Resultados_llama-mini'!H2:H10000),"")</f>
        <v/>
      </c>
      <c r="H11">
        <f>IFERROR(AVERAGE('Resultados_llama-mini'!I2:I10000),"")</f>
        <v/>
      </c>
      <c r="I11">
        <f>IFERROR(AVERAGE('Resultados_llama-mini'!J2:J10000),"")</f>
        <v/>
      </c>
      <c r="J11" t="n">
        <v>0.7</v>
      </c>
    </row>
    <row r="12">
      <c r="A12" t="inlineStr">
        <is>
          <t>llama3.1:8b</t>
        </is>
      </c>
      <c r="B12" t="inlineStr">
        <is>
          <t>RAG</t>
        </is>
      </c>
      <c r="C12">
        <f>COUNTA('Resultados_llama3.1_8b'!A2:A10000)</f>
        <v/>
      </c>
      <c r="D12">
        <f>IFERROR(AVERAGE('Resultados_llama3.1_8b'!L2:L10000),"")</f>
        <v/>
      </c>
      <c r="E12">
        <f>IFERROR(AVERAGE('Resultados_llama3.1_8b'!M2:M10000),"")</f>
        <v/>
      </c>
      <c r="F12">
        <f>IFERROR(AVERAGE('Resultados_llama3.1_8b'!G2:G10000),"")</f>
        <v/>
      </c>
      <c r="G12">
        <f>IFERROR(AVERAGE('Resultados_llama3.1_8b'!H2:H10000),"")</f>
        <v/>
      </c>
      <c r="H12">
        <f>IFERROR(AVERAGE('Resultados_llama3.1_8b'!I2:I10000),"")</f>
        <v/>
      </c>
      <c r="I12">
        <f>IFERROR(AVERAGE('Resultados_llama3.1_8b'!J2:J10000),"")</f>
        <v/>
      </c>
      <c r="J12" t="n">
        <v>0.7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Modelo</t>
        </is>
      </c>
      <c r="B1" t="inlineStr">
        <is>
          <t>latencia_media</t>
        </is>
      </c>
      <c r="C1" t="inlineStr">
        <is>
          <t>latencia_p95</t>
        </is>
      </c>
      <c r="D1" t="inlineStr">
        <is>
          <t>throughput</t>
        </is>
      </c>
      <c r="E1" t="inlineStr">
        <is>
          <t>tokens_medio</t>
        </is>
      </c>
    </row>
    <row r="2">
      <c r="A2" t="inlineStr">
        <is>
          <t>gemma3:4b</t>
        </is>
      </c>
      <c r="B2">
        <f>IFERROR(AVERAGE('Resultados_gemma3_4b'!L2:L10000),"")</f>
        <v/>
      </c>
      <c r="C2">
        <f>IFERROR(PERCENTILE('Resultados_gemma3_4b'!L2:L10000,0.95),"")</f>
        <v/>
      </c>
      <c r="D2">
        <f>IFERROR(IF(AVERAGE('Resultados_gemma3_4b'!L2:L10000)&gt;0,60/AVERAGE('Resultados_gemma3_4b'!L2:L10000),0),"")</f>
        <v/>
      </c>
      <c r="E2">
        <f>IFERROR(AVERAGE('Resultados_gemma3_4b'!M2:M10000),"")</f>
        <v/>
      </c>
    </row>
    <row r="3">
      <c r="A3" t="inlineStr">
        <is>
          <t>poligpt</t>
        </is>
      </c>
      <c r="B3">
        <f>IFERROR(AVERAGE('Resultados_poligpt'!L2:L10000),"")</f>
        <v/>
      </c>
      <c r="C3">
        <f>IFERROR(PERCENTILE('Resultados_poligpt'!L2:L10000,0.95),"")</f>
        <v/>
      </c>
      <c r="D3">
        <f>IFERROR(IF(AVERAGE('Resultados_poligpt'!L2:L10000)&gt;0,60/AVERAGE('Resultados_poligpt'!L2:L10000),0),"")</f>
        <v/>
      </c>
      <c r="E3">
        <f>IFERROR(AVERAGE('Resultados_poligpt'!M2:M10000),"")</f>
        <v/>
      </c>
    </row>
    <row r="4">
      <c r="A4" t="inlineStr">
        <is>
          <t>phi4-mini:3.8b</t>
        </is>
      </c>
      <c r="B4">
        <f>IFERROR(AVERAGE('Resultados_phi4-mini_3.8b'!L2:L10000),"")</f>
        <v/>
      </c>
      <c r="C4">
        <f>IFERROR(PERCENTILE('Resultados_phi4-mini_3.8b'!L2:L10000,0.95),"")</f>
        <v/>
      </c>
      <c r="D4">
        <f>IFERROR(IF(AVERAGE('Resultados_phi4-mini_3.8b'!L2:L10000)&gt;0,60/AVERAGE('Resultados_phi4-mini_3.8b'!L2:L10000),0),"")</f>
        <v/>
      </c>
      <c r="E4">
        <f>IFERROR(AVERAGE('Resultados_phi4-mini_3.8b'!M2:M10000),"")</f>
        <v/>
      </c>
    </row>
    <row r="5">
      <c r="A5" t="inlineStr">
        <is>
          <t>gemma</t>
        </is>
      </c>
      <c r="B5">
        <f>IFERROR(AVERAGE('Resultados_gemma'!L2:L10000),"")</f>
        <v/>
      </c>
      <c r="C5">
        <f>IFERROR(PERCENTILE('Resultados_gemma'!L2:L10000,0.95),"")</f>
        <v/>
      </c>
      <c r="D5">
        <f>IFERROR(IF(AVERAGE('Resultados_gemma'!L2:L10000)&gt;0,60/AVERAGE('Resultados_gemma'!L2:L10000),0),"")</f>
        <v/>
      </c>
      <c r="E5">
        <f>IFERROR(AVERAGE('Resultados_gemma'!M2:M10000),"")</f>
        <v/>
      </c>
    </row>
    <row r="6">
      <c r="A6" t="inlineStr">
        <is>
          <t>gemma3:27b</t>
        </is>
      </c>
      <c r="B6">
        <f>IFERROR(AVERAGE('Resultados_gemma3_27b'!L2:L10000),"")</f>
        <v/>
      </c>
      <c r="C6">
        <f>IFERROR(PERCENTILE('Resultados_gemma3_27b'!L2:L10000,0.95),"")</f>
        <v/>
      </c>
      <c r="D6">
        <f>IFERROR(IF(AVERAGE('Resultados_gemma3_27b'!L2:L10000)&gt;0,60/AVERAGE('Resultados_gemma3_27b'!L2:L10000),0),"")</f>
        <v/>
      </c>
      <c r="E6">
        <f>IFERROR(AVERAGE('Resultados_gemma3_27b'!M2:M10000),"")</f>
        <v/>
      </c>
    </row>
    <row r="7">
      <c r="A7" t="inlineStr">
        <is>
          <t>deepseek-r1:7b</t>
        </is>
      </c>
      <c r="B7">
        <f>IFERROR(AVERAGE('Resultados_deepseek-r1_7b'!L2:L10000),"")</f>
        <v/>
      </c>
      <c r="C7">
        <f>IFERROR(PERCENTILE('Resultados_deepseek-r1_7b'!L2:L10000,0.95),"")</f>
        <v/>
      </c>
      <c r="D7">
        <f>IFERROR(IF(AVERAGE('Resultados_deepseek-r1_7b'!L2:L10000)&gt;0,60/AVERAGE('Resultados_deepseek-r1_7b'!L2:L10000),0),"")</f>
        <v/>
      </c>
      <c r="E7">
        <f>IFERROR(AVERAGE('Resultados_deepseek-r1_7b'!M2:M10000),"")</f>
        <v/>
      </c>
    </row>
    <row r="8">
      <c r="A8" t="inlineStr">
        <is>
          <t>qwen3:4b</t>
        </is>
      </c>
      <c r="B8">
        <f>IFERROR(AVERAGE('Resultados_qwen3_4b'!L2:L10000),"")</f>
        <v/>
      </c>
      <c r="C8">
        <f>IFERROR(PERCENTILE('Resultados_qwen3_4b'!L2:L10000,0.95),"")</f>
        <v/>
      </c>
      <c r="D8">
        <f>IFERROR(IF(AVERAGE('Resultados_qwen3_4b'!L2:L10000)&gt;0,60/AVERAGE('Resultados_qwen3_4b'!L2:L10000),0),"")</f>
        <v/>
      </c>
      <c r="E8">
        <f>IFERROR(AVERAGE('Resultados_qwen3_4b'!M2:M10000),"")</f>
        <v/>
      </c>
    </row>
    <row r="9">
      <c r="A9" t="inlineStr">
        <is>
          <t>llama3.2:3b</t>
        </is>
      </c>
      <c r="B9">
        <f>IFERROR(AVERAGE('Resultados_llama3.2_3b'!L2:L10000),"")</f>
        <v/>
      </c>
      <c r="C9">
        <f>IFERROR(PERCENTILE('Resultados_llama3.2_3b'!L2:L10000,0.95),"")</f>
        <v/>
      </c>
      <c r="D9">
        <f>IFERROR(IF(AVERAGE('Resultados_llama3.2_3b'!L2:L10000)&gt;0,60/AVERAGE('Resultados_llama3.2_3b'!L2:L10000),0),"")</f>
        <v/>
      </c>
      <c r="E9">
        <f>IFERROR(AVERAGE('Resultados_llama3.2_3b'!M2:M10000),"")</f>
        <v/>
      </c>
    </row>
    <row r="10">
      <c r="A10" t="inlineStr">
        <is>
          <t>Tutor_EDA</t>
        </is>
      </c>
      <c r="B10">
        <f>IFERROR(AVERAGE('Resultados_Tutor_EDA'!L2:L10000),"")</f>
        <v/>
      </c>
      <c r="C10">
        <f>IFERROR(PERCENTILE('Resultados_Tutor_EDA'!L2:L10000,0.95),"")</f>
        <v/>
      </c>
      <c r="D10">
        <f>IFERROR(IF(AVERAGE('Resultados_Tutor_EDA'!L2:L10000)&gt;0,60/AVERAGE('Resultados_Tutor_EDA'!L2:L10000),0),"")</f>
        <v/>
      </c>
      <c r="E10">
        <f>IFERROR(AVERAGE('Resultados_Tutor_EDA'!M2:M10000),"")</f>
        <v/>
      </c>
    </row>
    <row r="11">
      <c r="A11" t="inlineStr">
        <is>
          <t>llama-mini</t>
        </is>
      </c>
      <c r="B11">
        <f>IFERROR(AVERAGE('Resultados_llama-mini'!L2:L10000),"")</f>
        <v/>
      </c>
      <c r="C11">
        <f>IFERROR(PERCENTILE('Resultados_llama-mini'!L2:L10000,0.95),"")</f>
        <v/>
      </c>
      <c r="D11">
        <f>IFERROR(IF(AVERAGE('Resultados_llama-mini'!L2:L10000)&gt;0,60/AVERAGE('Resultados_llama-mini'!L2:L10000),0),"")</f>
        <v/>
      </c>
      <c r="E11">
        <f>IFERROR(AVERAGE('Resultados_llama-mini'!M2:M10000),"")</f>
        <v/>
      </c>
    </row>
    <row r="12">
      <c r="A12" t="inlineStr">
        <is>
          <t>llama3.1:8b</t>
        </is>
      </c>
      <c r="B12">
        <f>IFERROR(AVERAGE('Resultados_llama3.1_8b'!L2:L10000),"")</f>
        <v/>
      </c>
      <c r="C12">
        <f>IFERROR(PERCENTILE('Resultados_llama3.1_8b'!L2:L10000,0.95),"")</f>
        <v/>
      </c>
      <c r="D12">
        <f>IFERROR(IF(AVERAGE('Resultados_llama3.1_8b'!L2:L10000)&gt;0,60/AVERAGE('Resultados_llama3.1_8b'!L2:L10000),0),"")</f>
        <v/>
      </c>
      <c r="E12">
        <f>IFERROR(AVERAGE('Resultados_llama3.1_8b'!M2:M10000),"")</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Modelo</t>
        </is>
      </c>
      <c r="B1" t="inlineStr">
        <is>
          <t>faithfulness</t>
        </is>
      </c>
      <c r="C1" t="inlineStr">
        <is>
          <t>relevance</t>
        </is>
      </c>
      <c r="D1" t="inlineStr">
        <is>
          <t>pct_cot</t>
        </is>
      </c>
    </row>
    <row r="2">
      <c r="A2" t="inlineStr">
        <is>
          <t>gemma3:4b</t>
        </is>
      </c>
      <c r="B2">
        <f>IFERROR(AVERAGE('Resultados_gemma3_4b'!T2:T10000),"")</f>
        <v/>
      </c>
      <c r="C2">
        <f>IFERROR(AVERAGE('Resultados_gemma3_4b'!U2:U10000),"")</f>
        <v/>
      </c>
      <c r="D2">
        <f>IFERROR(COUNTIF('Resultados_gemma3_4b'!V2:V10000,"&lt;&gt;")/COUNTA('Resultados_gemma3_4b'!A2:A10000)*100,"")</f>
        <v/>
      </c>
    </row>
    <row r="3">
      <c r="A3" t="inlineStr">
        <is>
          <t>poligpt</t>
        </is>
      </c>
      <c r="B3">
        <f>IFERROR(AVERAGE('Resultados_poligpt'!T2:T10000),"")</f>
        <v/>
      </c>
      <c r="C3">
        <f>IFERROR(AVERAGE('Resultados_poligpt'!U2:U10000),"")</f>
        <v/>
      </c>
      <c r="D3">
        <f>IFERROR(COUNTIF('Resultados_poligpt'!V2:V10000,"&lt;&gt;")/COUNTA('Resultados_poligpt'!A2:A10000)*100,"")</f>
        <v/>
      </c>
    </row>
    <row r="4">
      <c r="A4" t="inlineStr">
        <is>
          <t>phi4-mini:3.8b</t>
        </is>
      </c>
      <c r="B4">
        <f>IFERROR(AVERAGE('Resultados_phi4-mini_3.8b'!T2:T10000),"")</f>
        <v/>
      </c>
      <c r="C4">
        <f>IFERROR(AVERAGE('Resultados_phi4-mini_3.8b'!U2:U10000),"")</f>
        <v/>
      </c>
      <c r="D4">
        <f>IFERROR(COUNTIF('Resultados_phi4-mini_3.8b'!V2:V10000,"&lt;&gt;")/COUNTA('Resultados_phi4-mini_3.8b'!A2:A10000)*100,"")</f>
        <v/>
      </c>
    </row>
    <row r="5">
      <c r="A5" t="inlineStr">
        <is>
          <t>gemma</t>
        </is>
      </c>
      <c r="B5">
        <f>IFERROR(AVERAGE('Resultados_gemma'!T2:T10000),"")</f>
        <v/>
      </c>
      <c r="C5">
        <f>IFERROR(AVERAGE('Resultados_gemma'!U2:U10000),"")</f>
        <v/>
      </c>
      <c r="D5">
        <f>IFERROR(COUNTIF('Resultados_gemma'!V2:V10000,"&lt;&gt;")/COUNTA('Resultados_gemma'!A2:A10000)*100,"")</f>
        <v/>
      </c>
    </row>
    <row r="6">
      <c r="A6" t="inlineStr">
        <is>
          <t>gemma3:27b</t>
        </is>
      </c>
      <c r="B6">
        <f>IFERROR(AVERAGE('Resultados_gemma3_27b'!T2:T10000),"")</f>
        <v/>
      </c>
      <c r="C6">
        <f>IFERROR(AVERAGE('Resultados_gemma3_27b'!U2:U10000),"")</f>
        <v/>
      </c>
      <c r="D6">
        <f>IFERROR(COUNTIF('Resultados_gemma3_27b'!V2:V10000,"&lt;&gt;")/COUNTA('Resultados_gemma3_27b'!A2:A10000)*100,"")</f>
        <v/>
      </c>
    </row>
    <row r="7">
      <c r="A7" t="inlineStr">
        <is>
          <t>deepseek-r1:7b</t>
        </is>
      </c>
      <c r="B7">
        <f>IFERROR(AVERAGE('Resultados_deepseek-r1_7b'!T2:T10000),"")</f>
        <v/>
      </c>
      <c r="C7">
        <f>IFERROR(AVERAGE('Resultados_deepseek-r1_7b'!U2:U10000),"")</f>
        <v/>
      </c>
      <c r="D7">
        <f>IFERROR(COUNTIF('Resultados_deepseek-r1_7b'!V2:V10000,"&lt;&gt;")/COUNTA('Resultados_deepseek-r1_7b'!A2:A10000)*100,"")</f>
        <v/>
      </c>
    </row>
    <row r="8">
      <c r="A8" t="inlineStr">
        <is>
          <t>qwen3:4b</t>
        </is>
      </c>
      <c r="B8">
        <f>IFERROR(AVERAGE('Resultados_qwen3_4b'!T2:T10000),"")</f>
        <v/>
      </c>
      <c r="C8">
        <f>IFERROR(AVERAGE('Resultados_qwen3_4b'!U2:U10000),"")</f>
        <v/>
      </c>
      <c r="D8">
        <f>IFERROR(COUNTIF('Resultados_qwen3_4b'!V2:V10000,"&lt;&gt;")/COUNTA('Resultados_qwen3_4b'!A2:A10000)*100,"")</f>
        <v/>
      </c>
    </row>
    <row r="9">
      <c r="A9" t="inlineStr">
        <is>
          <t>llama3.2:3b</t>
        </is>
      </c>
      <c r="B9">
        <f>IFERROR(AVERAGE('Resultados_llama3.2_3b'!T2:T10000),"")</f>
        <v/>
      </c>
      <c r="C9">
        <f>IFERROR(AVERAGE('Resultados_llama3.2_3b'!U2:U10000),"")</f>
        <v/>
      </c>
      <c r="D9">
        <f>IFERROR(COUNTIF('Resultados_llama3.2_3b'!V2:V10000,"&lt;&gt;")/COUNTA('Resultados_llama3.2_3b'!A2:A10000)*100,"")</f>
        <v/>
      </c>
    </row>
    <row r="10">
      <c r="A10" t="inlineStr">
        <is>
          <t>Tutor_EDA</t>
        </is>
      </c>
      <c r="B10">
        <f>IFERROR(AVERAGE('Resultados_Tutor_EDA'!T2:T10000),"")</f>
        <v/>
      </c>
      <c r="C10">
        <f>IFERROR(AVERAGE('Resultados_Tutor_EDA'!U2:U10000),"")</f>
        <v/>
      </c>
      <c r="D10">
        <f>IFERROR(COUNTIF('Resultados_Tutor_EDA'!V2:V10000,"&lt;&gt;")/COUNTA('Resultados_Tutor_EDA'!A2:A10000)*100,"")</f>
        <v/>
      </c>
    </row>
    <row r="11">
      <c r="A11" t="inlineStr">
        <is>
          <t>llama-mini</t>
        </is>
      </c>
      <c r="B11">
        <f>IFERROR(AVERAGE('Resultados_llama-mini'!T2:T10000),"")</f>
        <v/>
      </c>
      <c r="C11">
        <f>IFERROR(AVERAGE('Resultados_llama-mini'!U2:U10000),"")</f>
        <v/>
      </c>
      <c r="D11">
        <f>IFERROR(COUNTIF('Resultados_llama-mini'!V2:V10000,"&lt;&gt;")/COUNTA('Resultados_llama-mini'!A2:A10000)*100,"")</f>
        <v/>
      </c>
    </row>
    <row r="12">
      <c r="A12" t="inlineStr">
        <is>
          <t>llama3.1:8b</t>
        </is>
      </c>
      <c r="B12">
        <f>IFERROR(AVERAGE('Resultados_llama3.1_8b'!T2:T10000),"")</f>
        <v/>
      </c>
      <c r="C12">
        <f>IFERROR(AVERAGE('Resultados_llama3.1_8b'!U2:U10000),"")</f>
        <v/>
      </c>
      <c r="D12">
        <f>IFERROR(COUNTIF('Resultados_llama3.1_8b'!V2:V10000,"&lt;&gt;")/COUNTA('Resultados_llama3.1_8b'!A2:A10000)*100,"")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2026-05-20T17:39:18Z</dcterms:created>
  <dcterms:modified xmlns:dcterms="http://purl.org/dc/terms/" xmlns:xsi="http://www.w3.org/2001/XMLSchema-instance" xsi:type="dcterms:W3CDTF">2026-05-20T17:39:18Z</dcterms:modified>
</cp:coreProperties>
</file>