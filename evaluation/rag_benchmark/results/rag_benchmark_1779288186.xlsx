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_llama" sheetId="1" state="visible" r:id="rId1"/>
    <sheet xmlns:r="http://schemas.openxmlformats.org/officeDocument/2006/relationships" name="Resultados_phi4" sheetId="2" state="visible" r:id="rId2"/>
    <sheet xmlns:r="http://schemas.openxmlformats.org/officeDocument/2006/relationships" name="Metadata" sheetId="3" state="visible" r:id="rId3"/>
    <sheet xmlns:r="http://schemas.openxmlformats.org/officeDocument/2006/relationships" name="Ranking" sheetId="4" state="visible" r:id="rId4"/>
    <sheet xmlns:r="http://schemas.openxmlformats.org/officeDocument/2006/relationships" name="Resultados_Articulo" sheetId="5" state="visible" r:id="rId5"/>
    <sheet xmlns:r="http://schemas.openxmlformats.org/officeDocument/2006/relationships" name="Eficiencia" sheetId="6" state="visible" r:id="rId6"/>
    <sheet xmlns:r="http://schemas.openxmlformats.org/officeDocument/2006/relationships" name="Análisis C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v>
      </c>
      <c r="B2" t="n">
        <v>1</v>
      </c>
      <c r="C2" t="n">
        <v>1</v>
      </c>
      <c r="D2" t="n">
        <v>1</v>
      </c>
      <c r="E2" t="inlineStr">
        <is>
          <t>R1 y R2 dado que las dos resistencia forman un divisor de tensión</t>
        </is>
      </c>
      <c r="F2" t="inlineStr">
        <is>
          <t>¿Estás considerando solo el camino directo entre N2 y el divisor de tensión formado por R1 y R2, o has analizado también las posibles corrientes que puedan fluir a través de otros componentes hacia tierra?</t>
        </is>
      </c>
      <c r="G2" t="n">
        <v>3</v>
      </c>
      <c r="H2" t="n">
        <v>3</v>
      </c>
      <c r="I2" t="n">
        <v>5</v>
      </c>
      <c r="J2" t="n">
        <v>5</v>
      </c>
      <c r="K2" t="n">
        <v>16</v>
      </c>
      <c r="L2" t="n">
        <v>8.26</v>
      </c>
      <c r="M2" t="n">
        <v>55</v>
      </c>
      <c r="N2" t="n">
        <v>7.26</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2</v>
      </c>
      <c r="B3" t="n">
        <v>1</v>
      </c>
      <c r="C3" t="n">
        <v>2</v>
      </c>
      <c r="D3" t="n">
        <v>1</v>
      </c>
      <c r="E3" t="inlineStr">
        <is>
          <t>R1 y R2 dado que se pide la tensión en R2</t>
        </is>
      </c>
      <c r="F3" t="inlineStr">
        <is>
          <t>¿Estás asumiendo que la tensión en R2 es independiente de la corriente que fluye a través de ella y de la relación de división de tensión que establecen R1 y R2 en el circuito?</t>
        </is>
      </c>
      <c r="G3" t="n">
        <v>3</v>
      </c>
      <c r="H3" t="n">
        <v>3</v>
      </c>
      <c r="I3" t="n">
        <v>5</v>
      </c>
      <c r="J3" t="n">
        <v>5</v>
      </c>
      <c r="K3" t="n">
        <v>16</v>
      </c>
      <c r="L3" t="n">
        <v>3.666</v>
      </c>
      <c r="M3" t="n">
        <v>52</v>
      </c>
      <c r="N3" t="n">
        <v>16.37</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3</v>
      </c>
      <c r="B4" t="n">
        <v>1</v>
      </c>
      <c r="C4" t="n">
        <v>3</v>
      </c>
      <c r="D4" t="n">
        <v>1</v>
      </c>
      <c r="E4" t="inlineStr">
        <is>
          <t>R1 y R2 por identificar un divisor de tensión</t>
        </is>
      </c>
      <c r="F4" t="inlineStr">
        <is>
          <t>¿Estás considerando la fórmula específica para calcular la tensión en R2 en un divisor de tensión, que involucra la relación entre las resistencias R1 y R2?</t>
        </is>
      </c>
      <c r="G4" t="n">
        <v>3</v>
      </c>
      <c r="H4" t="n">
        <v>3</v>
      </c>
      <c r="I4" t="n">
        <v>5</v>
      </c>
      <c r="J4" t="n">
        <v>5</v>
      </c>
      <c r="K4" t="n">
        <v>16</v>
      </c>
      <c r="L4" t="n">
        <v>3.281</v>
      </c>
      <c r="M4" t="n">
        <v>44</v>
      </c>
      <c r="N4" t="n">
        <v>18.29</v>
      </c>
      <c r="O4" t="inlineStr">
        <is>
          <t>AC9</t>
        </is>
      </c>
      <c r="P4" t="inlineStr">
        <is>
          <t>AC9</t>
        </is>
      </c>
      <c r="Q4" t="n">
        <v>1</v>
      </c>
      <c r="R4" t="n">
        <v>1</v>
      </c>
      <c r="S4" t="n">
        <v>1</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4</v>
      </c>
      <c r="B5" t="n">
        <v>2</v>
      </c>
      <c r="C5" t="n">
        <v>1</v>
      </c>
      <c r="D5" t="n">
        <v>1</v>
      </c>
      <c r="E5" t="inlineStr">
        <is>
          <t>R1 y R2 hacen un divisor de tensión</t>
        </is>
      </c>
      <c r="F5" t="inlineStr">
        <is>
          <t>¿Qué sucede con la corriente en una rama del circuito cuando hay un interruptor abierto, y cómo afecta esto a la diferencia de potencial entre N2 y 0?</t>
        </is>
      </c>
      <c r="G5" t="n">
        <v>4</v>
      </c>
      <c r="H5" t="n">
        <v>3</v>
      </c>
      <c r="I5" t="n">
        <v>3</v>
      </c>
      <c r="J5" t="n">
        <v>5</v>
      </c>
      <c r="K5" t="n">
        <v>15</v>
      </c>
      <c r="L5" t="n">
        <v>2.651</v>
      </c>
      <c r="M5" t="n">
        <v>43</v>
      </c>
      <c r="N5" t="n">
        <v>22.63</v>
      </c>
      <c r="O5" t="inlineStr">
        <is>
          <t>AC9</t>
        </is>
      </c>
      <c r="P5" t="inlineStr">
        <is>
          <t>AC1, AC9</t>
        </is>
      </c>
      <c r="Q5" t="n">
        <v>0.5</v>
      </c>
      <c r="R5" t="n">
        <v>1</v>
      </c>
      <c r="S5" t="n">
        <v>0.667</v>
      </c>
      <c r="T5" t="inlineStr"/>
      <c r="U5" t="inlineStr"/>
      <c r="V5" t="inlineStr"/>
      <c r="W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6">
      <c r="A6" t="n">
        <v>5</v>
      </c>
      <c r="B6" t="n">
        <v>2</v>
      </c>
      <c r="C6" t="n">
        <v>2</v>
      </c>
      <c r="D6" t="n">
        <v>1</v>
      </c>
      <c r="E6" t="inlineStr">
        <is>
          <t>R1, R2, R3 y R4 porque R5 está cortocircuitada</t>
        </is>
      </c>
      <c r="F6" t="inlineStr">
        <is>
          <t>¿Estás considerando el efecto del cortocircuito en el nodo donde se encuentra R5, y cómo esto podría influir en la corriente que fluye a través de los demás resistores?</t>
        </is>
      </c>
      <c r="G6" t="n">
        <v>3</v>
      </c>
      <c r="H6" t="n">
        <v>4</v>
      </c>
      <c r="I6" t="n">
        <v>3</v>
      </c>
      <c r="J6" t="n">
        <v>5</v>
      </c>
      <c r="K6" t="n">
        <v>15</v>
      </c>
      <c r="L6" t="n">
        <v>3.262</v>
      </c>
      <c r="M6" t="n">
        <v>46</v>
      </c>
      <c r="N6" t="n">
        <v>18.39</v>
      </c>
      <c r="O6" t="inlineStr">
        <is>
          <t>AC1, AC6</t>
        </is>
      </c>
      <c r="P6" t="inlineStr">
        <is>
          <t>AC1, AC6</t>
        </is>
      </c>
      <c r="Q6" t="n">
        <v>1</v>
      </c>
      <c r="R6" t="n">
        <v>1</v>
      </c>
      <c r="S6" t="n">
        <v>1</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6</v>
      </c>
      <c r="B7" t="n">
        <v>2</v>
      </c>
      <c r="C7" t="n">
        <v>3</v>
      </c>
      <c r="D7" t="n">
        <v>1</v>
      </c>
      <c r="E7" t="inlineStr">
        <is>
          <t>R1, R2, R3 y R4 porque por R5 no circula corriente</t>
        </is>
      </c>
      <c r="F7" t="inlineStr">
        <is>
          <t>¿Qué sucede con el potencial en los extremos de R5 cuando está cortocircuitada, y cómo afecta esto a la distribución de corriente en el circuito?</t>
        </is>
      </c>
      <c r="G7" t="n">
        <v>4</v>
      </c>
      <c r="H7" t="n">
        <v>2</v>
      </c>
      <c r="I7" t="n">
        <v>3</v>
      </c>
      <c r="J7" t="n">
        <v>5</v>
      </c>
      <c r="K7" t="n">
        <v>14</v>
      </c>
      <c r="L7" t="n">
        <v>3.202</v>
      </c>
      <c r="M7" t="n">
        <v>41</v>
      </c>
      <c r="N7" t="n">
        <v>18.74</v>
      </c>
      <c r="O7" t="inlineStr">
        <is>
          <t>AC1, AC6</t>
        </is>
      </c>
      <c r="P7" t="inlineStr">
        <is>
          <t>AC1</t>
        </is>
      </c>
      <c r="Q7" t="n">
        <v>1</v>
      </c>
      <c r="R7" t="n">
        <v>0.5</v>
      </c>
      <c r="S7" t="n">
        <v>0.667</v>
      </c>
      <c r="T7" t="inlineStr"/>
      <c r="U7" t="inlineStr"/>
      <c r="V7" t="inlineStr"/>
      <c r="W7"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8">
      <c r="A8" t="n">
        <v>7</v>
      </c>
      <c r="B8" t="n">
        <v>3</v>
      </c>
      <c r="C8" t="n">
        <v>1</v>
      </c>
      <c r="D8" t="n">
        <v>1</v>
      </c>
      <c r="E8" t="inlineStr">
        <is>
          <t>R1, R2, R3 y R4 porque R5 se quita</t>
        </is>
      </c>
      <c r="F8" t="inlineStr">
        <is>
          <t>¿Qué sucede con la corriente en una rama del circuito cuando hay un interruptor abierto en ella, y cómo afecta esto a la contribución de las resistencias a la diferencia de potencial entre dos nudos?</t>
        </is>
      </c>
      <c r="G8" t="n">
        <v>4</v>
      </c>
      <c r="H8" t="n">
        <v>4</v>
      </c>
      <c r="I8" t="n">
        <v>3</v>
      </c>
      <c r="J8" t="n">
        <v>5</v>
      </c>
      <c r="K8" t="n">
        <v>16</v>
      </c>
      <c r="L8" t="n">
        <v>3.089</v>
      </c>
      <c r="M8" t="n">
        <v>51</v>
      </c>
      <c r="N8" t="n">
        <v>19.42</v>
      </c>
      <c r="O8" t="inlineStr">
        <is>
          <t>AC1, AC6</t>
        </is>
      </c>
      <c r="P8" t="inlineStr">
        <is>
          <t>AC1, AC9</t>
        </is>
      </c>
      <c r="Q8" t="n">
        <v>0.5</v>
      </c>
      <c r="R8" t="n">
        <v>0.5</v>
      </c>
      <c r="S8" t="n">
        <v>0.5</v>
      </c>
      <c r="T8" t="inlineStr"/>
      <c r="U8" t="inlineStr"/>
      <c r="V8" t="inlineStr"/>
      <c r="W8"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9">
      <c r="A9" t="n">
        <v>8</v>
      </c>
      <c r="B9" t="n">
        <v>3</v>
      </c>
      <c r="C9" t="n">
        <v>2</v>
      </c>
      <c r="D9" t="n">
        <v>1</v>
      </c>
      <c r="E9" t="inlineStr">
        <is>
          <t>R1, R3 y R4 porque R2 está en paralelo con la fuente y R5 corctocircuitada</t>
        </is>
      </c>
      <c r="F9" t="inlineStr">
        <is>
          <t>¿Cómo afecta la conexión en paralelo de R2 con la fuente a su contribución a la resistencia total del circuito, y qué sucede con la corriente a través de R5 cuando se encuentra en cortocircuito?</t>
        </is>
      </c>
      <c r="G9" t="n">
        <v>4</v>
      </c>
      <c r="H9" t="n">
        <v>4</v>
      </c>
      <c r="I9" t="n">
        <v>3</v>
      </c>
      <c r="J9" t="n">
        <v>5</v>
      </c>
      <c r="K9" t="n">
        <v>16</v>
      </c>
      <c r="L9" t="n">
        <v>3.912</v>
      </c>
      <c r="M9" t="n">
        <v>54</v>
      </c>
      <c r="N9" t="n">
        <v>15.34</v>
      </c>
      <c r="O9" t="inlineStr">
        <is>
          <t>AC1, AC6</t>
        </is>
      </c>
      <c r="P9" t="inlineStr">
        <is>
          <t>AC1, AC6</t>
        </is>
      </c>
      <c r="Q9" t="n">
        <v>1</v>
      </c>
      <c r="R9" t="n">
        <v>1</v>
      </c>
      <c r="S9" t="n">
        <v>1</v>
      </c>
      <c r="T9" t="inlineStr"/>
      <c r="U9" t="inlineStr"/>
      <c r="V9" t="inlineStr"/>
      <c r="W9"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10">
      <c r="A10" t="n">
        <v>9</v>
      </c>
      <c r="B10" t="n">
        <v>3</v>
      </c>
      <c r="C10" t="n">
        <v>3</v>
      </c>
      <c r="D10" t="n">
        <v>1</v>
      </c>
      <c r="E10" t="inlineStr">
        <is>
          <t>R1, R4 y R5 porque R2 se elimina y R3 también</t>
        </is>
      </c>
      <c r="F10" t="inlineStr">
        <is>
          <t>¿Por qué crees que R3 se elimina si no hay un interruptor abierto o un cortocircuito que lo afecte directamente, y cómo puede influir su posición en el circuito en la corriente que fluye a través de él?</t>
        </is>
      </c>
      <c r="G10" t="n">
        <v>4</v>
      </c>
      <c r="H10" t="n">
        <v>4</v>
      </c>
      <c r="I10" t="n">
        <v>3</v>
      </c>
      <c r="J10" t="n">
        <v>5</v>
      </c>
      <c r="K10" t="n">
        <v>16</v>
      </c>
      <c r="L10" t="n">
        <v>4.147</v>
      </c>
      <c r="M10" t="n">
        <v>57</v>
      </c>
      <c r="N10" t="n">
        <v>14.47</v>
      </c>
      <c r="O10" t="inlineStr">
        <is>
          <t>AC1, AC6</t>
        </is>
      </c>
      <c r="P10" t="inlineStr">
        <is>
          <t>AC1, AC6</t>
        </is>
      </c>
      <c r="Q10" t="n">
        <v>1</v>
      </c>
      <c r="R10" t="n">
        <v>1</v>
      </c>
      <c r="S10" t="n">
        <v>1</v>
      </c>
      <c r="T10" t="inlineStr"/>
      <c r="U10" t="inlineStr"/>
      <c r="V10" t="inlineStr"/>
      <c r="W10"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11">
      <c r="A11" t="n">
        <v>10</v>
      </c>
      <c r="B11" t="n">
        <v>4</v>
      </c>
      <c r="C11" t="n">
        <v>1</v>
      </c>
      <c r="D11" t="n">
        <v>1</v>
      </c>
      <c r="E11" t="inlineStr">
        <is>
          <t>R1 y R4 dado que R2 está en paralelo con la fuente, R3 en circuito abierto y R5 cortocircuitada</t>
        </is>
      </c>
      <c r="F11" t="inlineStr">
        <is>
          <t>¿Qué relación hay entre la resistencia R2 y el camino que sigue la corriente desde el nodo N2 hasta tierra, considerando que R2 está conectada en serie con otras resistencias en el camino hacia la fuente?</t>
        </is>
      </c>
      <c r="G11" t="n">
        <v>3</v>
      </c>
      <c r="H11" t="n">
        <v>3</v>
      </c>
      <c r="I11" t="n">
        <v>3</v>
      </c>
      <c r="J11" t="n">
        <v>5</v>
      </c>
      <c r="K11" t="n">
        <v>14</v>
      </c>
      <c r="L11" t="n">
        <v>3.223</v>
      </c>
      <c r="M11" t="n">
        <v>51</v>
      </c>
      <c r="N11" t="n">
        <v>18.61</v>
      </c>
      <c r="O11" t="inlineStr">
        <is>
          <t>AC1, AC6</t>
        </is>
      </c>
      <c r="P11" t="inlineStr">
        <is>
          <t>AC1, AC9</t>
        </is>
      </c>
      <c r="Q11" t="n">
        <v>0.5</v>
      </c>
      <c r="R11" t="n">
        <v>0.5</v>
      </c>
      <c r="S11" t="n">
        <v>0.5</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11</v>
      </c>
      <c r="B12" t="n">
        <v>4</v>
      </c>
      <c r="C12" t="n">
        <v>2</v>
      </c>
      <c r="D12" t="n">
        <v>1</v>
      </c>
      <c r="E12" t="inlineStr">
        <is>
          <t>R1, R2 y R3 dado que R2 y R3 están en paralelo y forman un divisor de tensión con R1</t>
        </is>
      </c>
      <c r="F12" t="inlineStr">
        <is>
          <t>¿No se ha considerado el estado de R5 como cortocircuitada, lo que podría afectar el comportamiento del circuito y la relación entre R1, R2 y R3 en este contexto?</t>
        </is>
      </c>
      <c r="G12" t="n">
        <v>3</v>
      </c>
      <c r="H12" t="n">
        <v>2</v>
      </c>
      <c r="I12" t="n">
        <v>5</v>
      </c>
      <c r="J12" t="n">
        <v>5</v>
      </c>
      <c r="K12" t="n">
        <v>15</v>
      </c>
      <c r="L12" t="n">
        <v>3.507</v>
      </c>
      <c r="M12" t="n">
        <v>45</v>
      </c>
      <c r="N12" t="n">
        <v>17.11</v>
      </c>
      <c r="O12" t="inlineStr">
        <is>
          <t>AC1, AC9</t>
        </is>
      </c>
      <c r="P12" t="inlineStr">
        <is>
          <t>AC9</t>
        </is>
      </c>
      <c r="Q12" t="n">
        <v>1</v>
      </c>
      <c r="R12" t="n">
        <v>0.5</v>
      </c>
      <c r="S12" t="n">
        <v>0.667</v>
      </c>
      <c r="T12" t="inlineStr"/>
      <c r="U12" t="inlineStr"/>
      <c r="V12" t="inlineStr"/>
      <c r="W12"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3">
      <c r="A13" t="n">
        <v>12</v>
      </c>
      <c r="B13" t="n">
        <v>4</v>
      </c>
      <c r="C13" t="n">
        <v>3</v>
      </c>
      <c r="D13" t="n">
        <v>1</v>
      </c>
      <c r="E13" t="inlineStr">
        <is>
          <t>R1, R2, R4 y R5 dado que R3 está en circuito abierto</t>
        </is>
      </c>
      <c r="F13" t="inlineStr">
        <is>
          <t>¿Cómo afecta el estado de R3 en circuito abierto a la corriente que fluye a través de R4 y R5, considerando el camino que sigue la corriente en el circuito?</t>
        </is>
      </c>
      <c r="G13" t="n">
        <v>4</v>
      </c>
      <c r="H13" t="n">
        <v>4</v>
      </c>
      <c r="I13" t="n">
        <v>4</v>
      </c>
      <c r="J13" t="n">
        <v>5</v>
      </c>
      <c r="K13" t="n">
        <v>17</v>
      </c>
      <c r="L13" t="n">
        <v>3.661</v>
      </c>
      <c r="M13" t="n">
        <v>47</v>
      </c>
      <c r="N13" t="n">
        <v>16.39</v>
      </c>
      <c r="O13" t="inlineStr">
        <is>
          <t>AC1, AC6</t>
        </is>
      </c>
      <c r="P13" t="inlineStr">
        <is>
          <t>AC1, AC9</t>
        </is>
      </c>
      <c r="Q13" t="n">
        <v>0.5</v>
      </c>
      <c r="R13" t="n">
        <v>0.5</v>
      </c>
      <c r="S13" t="n">
        <v>0.5</v>
      </c>
      <c r="T13" t="inlineStr"/>
      <c r="U13" t="inlineStr"/>
      <c r="V13" t="inlineStr"/>
      <c r="W13"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14">
      <c r="A14" t="n">
        <v>13</v>
      </c>
      <c r="B14" t="n">
        <v>5</v>
      </c>
      <c r="C14" t="n">
        <v>1</v>
      </c>
      <c r="D14" t="n">
        <v>1</v>
      </c>
      <c r="E14" t="inlineStr">
        <is>
          <t>R1, R2, R4 y R5 dado que R3 sobra</t>
        </is>
      </c>
      <c r="F14" t="inlineStr">
        <is>
          <t>¿Qué sucede con la corriente en una rama del circuito cuando hay un interruptor abierto en ella, y cómo afecta esto a la contribución de las resistencias en la diferencia de potencial entre N2 y 0?</t>
        </is>
      </c>
      <c r="G14" t="n">
        <v>4</v>
      </c>
      <c r="H14" t="n">
        <v>4</v>
      </c>
      <c r="I14" t="n">
        <v>3</v>
      </c>
      <c r="J14" t="n">
        <v>5</v>
      </c>
      <c r="K14" t="n">
        <v>16</v>
      </c>
      <c r="L14" t="n">
        <v>3.182</v>
      </c>
      <c r="M14" t="n">
        <v>53</v>
      </c>
      <c r="N14" t="n">
        <v>18.86</v>
      </c>
      <c r="O14" t="inlineStr">
        <is>
          <t>AC1, AC6</t>
        </is>
      </c>
      <c r="P14" t="inlineStr">
        <is>
          <t>AC1, AC9</t>
        </is>
      </c>
      <c r="Q14" t="n">
        <v>0.5</v>
      </c>
      <c r="R14" t="n">
        <v>0.5</v>
      </c>
      <c r="S14" t="n">
        <v>0.5</v>
      </c>
      <c r="T14" t="inlineStr"/>
      <c r="U14" t="inlineStr"/>
      <c r="V14" t="inlineStr"/>
      <c r="W14"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15">
      <c r="A15" t="n">
        <v>14</v>
      </c>
      <c r="B15" t="n">
        <v>5</v>
      </c>
      <c r="C15" t="n">
        <v>2</v>
      </c>
      <c r="D15" t="n">
        <v>1</v>
      </c>
      <c r="E15" t="inlineStr">
        <is>
          <t>R1, R2, R4 y R5 dado que R3 no hace nada</t>
        </is>
      </c>
      <c r="F15" t="inlineStr">
        <is>
          <t>¿No podría R3 influir en la corriente que fluye a través de otras resistencias si estuviera conectada en serie o en paralelo con ellas, cambiando así la distribución de corrientes en el circuito?</t>
        </is>
      </c>
      <c r="G15" t="n">
        <v>3</v>
      </c>
      <c r="H15" t="n">
        <v>3</v>
      </c>
      <c r="I15" t="n">
        <v>3</v>
      </c>
      <c r="J15" t="n">
        <v>5</v>
      </c>
      <c r="K15" t="n">
        <v>14</v>
      </c>
      <c r="L15" t="n">
        <v>3.8</v>
      </c>
      <c r="M15" t="n">
        <v>53</v>
      </c>
      <c r="N15" t="n">
        <v>15.79</v>
      </c>
      <c r="O15" t="inlineStr">
        <is>
          <t>AC1, AC6</t>
        </is>
      </c>
      <c r="P15" t="inlineStr">
        <is>
          <t>AC1, AC9</t>
        </is>
      </c>
      <c r="Q15" t="n">
        <v>0.5</v>
      </c>
      <c r="R15" t="n">
        <v>0.5</v>
      </c>
      <c r="S15" t="n">
        <v>0.5</v>
      </c>
      <c r="T15" t="inlineStr"/>
      <c r="U15" t="inlineStr"/>
      <c r="V15" t="inlineStr"/>
      <c r="W1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6">
      <c r="A16" t="n">
        <v>15</v>
      </c>
      <c r="B16" t="n">
        <v>5</v>
      </c>
      <c r="C16" t="n">
        <v>3</v>
      </c>
      <c r="D16" t="n">
        <v>1</v>
      </c>
      <c r="E16" t="inlineStr">
        <is>
          <t>R1, R2 y R4 dado que son las resistencias que forman parte del circuito.</t>
        </is>
      </c>
      <c r="F16" t="inlineStr">
        <is>
          <t>¿Qué papel juega R5 en el circuito si está conectada en paralelo con R4, y cómo afecta esto a la contribución de R5 a la resistencia total del circuito?</t>
        </is>
      </c>
      <c r="G16" t="n">
        <v>3</v>
      </c>
      <c r="H16" t="n">
        <v>3</v>
      </c>
      <c r="I16" t="n">
        <v>3</v>
      </c>
      <c r="J16" t="n">
        <v>5</v>
      </c>
      <c r="K16" t="n">
        <v>14</v>
      </c>
      <c r="L16" t="n">
        <v>3.449</v>
      </c>
      <c r="M16" t="n">
        <v>45</v>
      </c>
      <c r="N16" t="n">
        <v>17.4</v>
      </c>
      <c r="O16" t="inlineStr"/>
      <c r="P16" t="inlineStr"/>
      <c r="Q16" t="n">
        <v>1</v>
      </c>
      <c r="R16" t="n">
        <v>1</v>
      </c>
      <c r="S16" t="n">
        <v>1</v>
      </c>
      <c r="T16" t="inlineStr"/>
      <c r="U16" t="inlineStr"/>
      <c r="V16" t="inlineStr"/>
      <c r="W1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7">
      <c r="A17" t="n">
        <v>16</v>
      </c>
      <c r="B17" t="n">
        <v>6</v>
      </c>
      <c r="C17" t="n">
        <v>1</v>
      </c>
      <c r="D17" t="n">
        <v>1</v>
      </c>
      <c r="E17" t="inlineStr">
        <is>
          <t>R1, R2 y R4 dado que R2 y R4 están en paralelo y forma un divisor de tensión con R1.</t>
        </is>
      </c>
      <c r="F17" t="inlineStr">
        <is>
          <t>¿Qué sucede con la corriente en una rama del circuito cuando hay un interruptor abierto, como el que está entre los nudos N2 y N3, y cómo afecta esto a la contribución de las resistencias a la diferencia de potencial entre N2 y 0?</t>
        </is>
      </c>
      <c r="G17" t="n">
        <v>4</v>
      </c>
      <c r="H17" t="n">
        <v>4</v>
      </c>
      <c r="I17" t="n">
        <v>3</v>
      </c>
      <c r="J17" t="n">
        <v>5</v>
      </c>
      <c r="K17" t="n">
        <v>16</v>
      </c>
      <c r="L17" t="n">
        <v>4.025</v>
      </c>
      <c r="M17" t="n">
        <v>65</v>
      </c>
      <c r="N17" t="n">
        <v>14.91</v>
      </c>
      <c r="O17" t="inlineStr"/>
      <c r="P17" t="inlineStr">
        <is>
          <t>AC1, AC9</t>
        </is>
      </c>
      <c r="Q17" t="n">
        <v>0</v>
      </c>
      <c r="R17" t="n">
        <v>1</v>
      </c>
      <c r="S17" t="n">
        <v>0</v>
      </c>
      <c r="T17" t="inlineStr"/>
      <c r="U17" t="inlineStr"/>
      <c r="V17" t="inlineStr"/>
      <c r="W17"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18">
      <c r="A18" t="n">
        <v>17</v>
      </c>
      <c r="B18" t="n">
        <v>6</v>
      </c>
      <c r="C18" t="n">
        <v>2</v>
      </c>
      <c r="D18" t="n">
        <v>1</v>
      </c>
      <c r="E18" t="inlineStr">
        <is>
          <t>R1, R2 y R4 dado que R3 está en abierto y R5 cortocircuitada</t>
        </is>
      </c>
      <c r="F18" t="inlineStr">
        <is>
          <t>¿Cómo se comportan las resistencias R2 y R4 cuando están en paralelo y se conectan en serie con R1, considerando que R3 está abierto y no permite el flujo de corriente a través de él?</t>
        </is>
      </c>
      <c r="G18" t="n">
        <v>3</v>
      </c>
      <c r="H18" t="n">
        <v>3</v>
      </c>
      <c r="I18" t="n">
        <v>5</v>
      </c>
      <c r="J18" t="n">
        <v>5</v>
      </c>
      <c r="K18" t="n">
        <v>16</v>
      </c>
      <c r="L18" t="n">
        <v>4.281</v>
      </c>
      <c r="M18" t="n">
        <v>53</v>
      </c>
      <c r="N18" t="n">
        <v>14.02</v>
      </c>
      <c r="O18" t="inlineStr">
        <is>
          <t>AC1, AC6</t>
        </is>
      </c>
      <c r="P18" t="inlineStr">
        <is>
          <t>AC1, AC9</t>
        </is>
      </c>
      <c r="Q18" t="n">
        <v>0.5</v>
      </c>
      <c r="R18" t="n">
        <v>0.5</v>
      </c>
      <c r="S18" t="n">
        <v>0.5</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18</v>
      </c>
      <c r="B19" t="n">
        <v>6</v>
      </c>
      <c r="C19" t="n">
        <v>3</v>
      </c>
      <c r="D19" t="n">
        <v>1</v>
      </c>
      <c r="E19" t="inlineStr">
        <is>
          <t>R1, R2 y R4 dado que solo por estas resistencias circula una corriente diferente de cero</t>
        </is>
      </c>
      <c r="F19" t="inlineStr">
        <is>
          <t>¿Qué efecto tiene el cortocircuito de R5 en la distribución de la corriente a través de R2 y R4, considerando que R3 está abierto?</t>
        </is>
      </c>
      <c r="G19" t="n">
        <v>3</v>
      </c>
      <c r="H19" t="n">
        <v>3</v>
      </c>
      <c r="I19" t="n">
        <v>4</v>
      </c>
      <c r="J19" t="n">
        <v>5</v>
      </c>
      <c r="K19" t="n">
        <v>15</v>
      </c>
      <c r="L19" t="n">
        <v>3.286</v>
      </c>
      <c r="M19" t="n">
        <v>41</v>
      </c>
      <c r="N19" t="n">
        <v>18.26</v>
      </c>
      <c r="O19" t="inlineStr"/>
      <c r="P19" t="inlineStr">
        <is>
          <t>AC1, AC6</t>
        </is>
      </c>
      <c r="Q19" t="n">
        <v>0</v>
      </c>
      <c r="R19" t="n">
        <v>1</v>
      </c>
      <c r="S19" t="n">
        <v>0</v>
      </c>
      <c r="T19" t="inlineStr"/>
      <c r="U19" t="inlineStr"/>
      <c r="V19" t="inlineStr"/>
      <c r="W1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0">
      <c r="A20" t="n">
        <v>19</v>
      </c>
      <c r="B20" t="n">
        <v>7</v>
      </c>
      <c r="C20" t="n">
        <v>1</v>
      </c>
      <c r="D20" t="n">
        <v>1</v>
      </c>
      <c r="E20" t="inlineStr">
        <is>
          <t>R1, R2 y R4 dado que por R3 y por R5 no circula corriente</t>
        </is>
      </c>
      <c r="F20" t="inlineStr">
        <is>
          <t>¿Estás seguro de que has considerado todos los posibles caminos que la corriente puede tomar desde el nodo N2 hasta tierra, incluyendo todos los componentes que se encuentran en ese camino? ¿Has analizado cada una de las resistencias en relación con su conexión a N2 y a tierra?</t>
        </is>
      </c>
      <c r="G20" t="n">
        <v>3</v>
      </c>
      <c r="H20" t="n">
        <v>3</v>
      </c>
      <c r="I20" t="n">
        <v>3</v>
      </c>
      <c r="J20" t="n">
        <v>5</v>
      </c>
      <c r="K20" t="n">
        <v>14</v>
      </c>
      <c r="L20" t="n">
        <v>3.984</v>
      </c>
      <c r="M20" t="n">
        <v>70</v>
      </c>
      <c r="N20" t="n">
        <v>15.06</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20</v>
      </c>
      <c r="B21" t="n">
        <v>7</v>
      </c>
      <c r="C21" t="n">
        <v>2</v>
      </c>
      <c r="D21" t="n">
        <v>1</v>
      </c>
      <c r="E21" t="inlineStr">
        <is>
          <t>R1, R2 y R4 dado que R3 y R5 se pueden quitar</t>
        </is>
      </c>
      <c r="F21" t="inlineStr">
        <is>
          <t>¿Qué sucedería con el flujo de corriente si R3 y R5 se conectaran en paralelo con otras resistencias en lugar de estar en serie, afectando así su contribución a la red eléctrica? ¿Cómo影响aría esto tu análisis inicial sobre las resistencias que no contribuyen a la circulación de corriente?</t>
        </is>
      </c>
      <c r="G21" t="n">
        <v>3</v>
      </c>
      <c r="H21" t="n">
        <v>3</v>
      </c>
      <c r="I21" t="n">
        <v>3</v>
      </c>
      <c r="J21" t="n">
        <v>5</v>
      </c>
      <c r="K21" t="n">
        <v>14</v>
      </c>
      <c r="L21" t="n">
        <v>5.256</v>
      </c>
      <c r="M21" t="n">
        <v>79</v>
      </c>
      <c r="N21" t="n">
        <v>11.42</v>
      </c>
      <c r="O21" t="inlineStr">
        <is>
          <t>AC1, AC6</t>
        </is>
      </c>
      <c r="P21" t="inlineStr">
        <is>
          <t>AC1, AC9</t>
        </is>
      </c>
      <c r="Q21" t="n">
        <v>0.5</v>
      </c>
      <c r="R21" t="n">
        <v>0.5</v>
      </c>
      <c r="S21" t="n">
        <v>0.5</v>
      </c>
      <c r="T21" t="inlineStr"/>
      <c r="U21" t="inlineStr"/>
      <c r="V21" t="inlineStr"/>
      <c r="W2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2">
      <c r="A22" t="n">
        <v>21</v>
      </c>
      <c r="B22" t="n">
        <v>7</v>
      </c>
      <c r="C22" t="n">
        <v>3</v>
      </c>
      <c r="D22" t="n">
        <v>1</v>
      </c>
      <c r="E22" t="inlineStr">
        <is>
          <t>R1, R2 y R4 dado que R3 y R5 no influyen para nada en la diferencia de potencial que se pide</t>
        </is>
      </c>
      <c r="F22" t="inlineStr">
        <is>
          <t>¿Estás considerando que la presencia de R3 y R5 podría afectar la distribución de corriente en el circuito, incluso si no están directamente en el camino del nodo de interés? ¿Cómo justificarías que su eliminación no tenga efecto en la diferencia de potencial que se busca calcular?</t>
        </is>
      </c>
      <c r="G22" t="n">
        <v>3</v>
      </c>
      <c r="H22" t="n">
        <v>3</v>
      </c>
      <c r="I22" t="n">
        <v>3</v>
      </c>
      <c r="J22" t="n">
        <v>5</v>
      </c>
      <c r="K22" t="n">
        <v>14</v>
      </c>
      <c r="L22" t="n">
        <v>5.012</v>
      </c>
      <c r="M22" t="n">
        <v>70</v>
      </c>
      <c r="N22" t="n">
        <v>11.97</v>
      </c>
      <c r="O22" t="inlineStr">
        <is>
          <t>AC1, AC6</t>
        </is>
      </c>
      <c r="P22" t="inlineStr">
        <is>
          <t>AC1, AC9</t>
        </is>
      </c>
      <c r="Q22" t="n">
        <v>0.5</v>
      </c>
      <c r="R22" t="n">
        <v>0.5</v>
      </c>
      <c r="S22" t="n">
        <v>0.5</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22</v>
      </c>
      <c r="B23" t="n">
        <v>8</v>
      </c>
      <c r="C23" t="n">
        <v>1</v>
      </c>
      <c r="D23" t="n">
        <v>1</v>
      </c>
      <c r="E23" t="inlineStr">
        <is>
          <t>R1, R2 y R4 dado que R3 y R5 sobran</t>
        </is>
      </c>
      <c r="F23" t="inlineStr">
        <is>
          <t>¿Qué sucede con la corriente en una rama del circuito cuando se encuentra interrumpida por un interruptor abierto, y cómo afecta esto a las resistencias involucradas en esa rama?</t>
        </is>
      </c>
      <c r="G23" t="n">
        <v>4</v>
      </c>
      <c r="H23" t="n">
        <v>4</v>
      </c>
      <c r="I23" t="n">
        <v>3</v>
      </c>
      <c r="J23" t="n">
        <v>5</v>
      </c>
      <c r="K23" t="n">
        <v>16</v>
      </c>
      <c r="L23" t="n">
        <v>3.051</v>
      </c>
      <c r="M23" t="n">
        <v>49</v>
      </c>
      <c r="N23" t="n">
        <v>19.67</v>
      </c>
      <c r="O23" t="inlineStr">
        <is>
          <t>AC1, AC6</t>
        </is>
      </c>
      <c r="P23" t="inlineStr">
        <is>
          <t>AC1, AC9</t>
        </is>
      </c>
      <c r="Q23" t="n">
        <v>0.5</v>
      </c>
      <c r="R23" t="n">
        <v>0.5</v>
      </c>
      <c r="S23" t="n">
        <v>0.5</v>
      </c>
      <c r="T23" t="inlineStr"/>
      <c r="U23" t="inlineStr"/>
      <c r="V23" t="inlineStr"/>
      <c r="W23"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4">
      <c r="A24" t="n">
        <v>23</v>
      </c>
      <c r="B24" t="n">
        <v>8</v>
      </c>
      <c r="C24" t="n">
        <v>2</v>
      </c>
      <c r="D24" t="n">
        <v>1</v>
      </c>
      <c r="E24" t="inlineStr">
        <is>
          <t>R1, R2 y R4 dado que R3 sobra</t>
        </is>
      </c>
      <c r="F24" t="inlineStr">
        <is>
          <t>¿Consideraste la posibilidad de que R5 pueda estar en serie o en paralelo con alguna de las resistencias que mencionaste, y cómo podría afectar su inclusión o exclusión en el circuito?</t>
        </is>
      </c>
      <c r="G24" t="n">
        <v>3</v>
      </c>
      <c r="H24" t="n">
        <v>3</v>
      </c>
      <c r="I24" t="n">
        <v>3</v>
      </c>
      <c r="J24" t="n">
        <v>5</v>
      </c>
      <c r="K24" t="n">
        <v>14</v>
      </c>
      <c r="L24" t="n">
        <v>3.586</v>
      </c>
      <c r="M24" t="n">
        <v>47</v>
      </c>
      <c r="N24" t="n">
        <v>16.73</v>
      </c>
      <c r="O24" t="inlineStr">
        <is>
          <t>AC1</t>
        </is>
      </c>
      <c r="P24" t="inlineStr">
        <is>
          <t>AC9</t>
        </is>
      </c>
      <c r="Q24" t="n">
        <v>0</v>
      </c>
      <c r="R24" t="n">
        <v>0</v>
      </c>
      <c r="S24" t="n">
        <v>0</v>
      </c>
      <c r="T24" t="inlineStr"/>
      <c r="U24" t="inlineStr"/>
      <c r="V24" t="inlineStr"/>
      <c r="W2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5">
      <c r="A25" t="n">
        <v>24</v>
      </c>
      <c r="B25" t="n">
        <v>8</v>
      </c>
      <c r="C25" t="n">
        <v>3</v>
      </c>
      <c r="D25" t="n">
        <v>1</v>
      </c>
      <c r="E25" t="inlineStr">
        <is>
          <t>R1, R2 y R4 dado que R5 sobra</t>
        </is>
      </c>
      <c r="F25" t="inlineStr">
        <is>
          <t>¿Qué pasaría si R3 y R5 estuvieran conectadas en paralelo, y cómo afectaría esto a la configuración del circuito y a las resistencias involucradas?</t>
        </is>
      </c>
      <c r="G25" t="n">
        <v>3</v>
      </c>
      <c r="H25" t="n">
        <v>3</v>
      </c>
      <c r="I25" t="n">
        <v>3</v>
      </c>
      <c r="J25" t="n">
        <v>5</v>
      </c>
      <c r="K25" t="n">
        <v>14</v>
      </c>
      <c r="L25" t="n">
        <v>3.463</v>
      </c>
      <c r="M25" t="n">
        <v>43</v>
      </c>
      <c r="N25" t="n">
        <v>17.33</v>
      </c>
      <c r="O25" t="inlineStr">
        <is>
          <t>AC6</t>
        </is>
      </c>
      <c r="P25" t="inlineStr">
        <is>
          <t>AC9</t>
        </is>
      </c>
      <c r="Q25" t="n">
        <v>0</v>
      </c>
      <c r="R25" t="n">
        <v>0</v>
      </c>
      <c r="S25" t="n">
        <v>0</v>
      </c>
      <c r="T25" t="inlineStr"/>
      <c r="U25" t="inlineStr"/>
      <c r="V25" t="inlineStr"/>
      <c r="W2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6">
      <c r="A26" t="n">
        <v>25</v>
      </c>
      <c r="B26" t="n">
        <v>9</v>
      </c>
      <c r="C26" t="n">
        <v>1</v>
      </c>
      <c r="D26" t="n">
        <v>1</v>
      </c>
      <c r="E26" t="inlineStr">
        <is>
          <t>R1, R2 y R4 dado que R3 está en abierto</t>
        </is>
      </c>
      <c r="F26" t="inlineStr">
        <is>
          <t>¿Qué sucede con la corriente en una rama cuando hay un interruptor abierto en el camino, y cómo afecta esto a la contribución de las resistencias en la diferencia de potencial entre dos nudos?</t>
        </is>
      </c>
      <c r="G26" t="n">
        <v>4</v>
      </c>
      <c r="H26" t="n">
        <v>4</v>
      </c>
      <c r="I26" t="n">
        <v>3</v>
      </c>
      <c r="J26" t="n">
        <v>5</v>
      </c>
      <c r="K26" t="n">
        <v>16</v>
      </c>
      <c r="L26" t="n">
        <v>2.889</v>
      </c>
      <c r="M26" t="n">
        <v>49</v>
      </c>
      <c r="N26" t="n">
        <v>20.77</v>
      </c>
      <c r="O26" t="inlineStr">
        <is>
          <t>AC1</t>
        </is>
      </c>
      <c r="P26" t="inlineStr">
        <is>
          <t>AC1, AC9</t>
        </is>
      </c>
      <c r="Q26" t="n">
        <v>0.5</v>
      </c>
      <c r="R26" t="n">
        <v>1</v>
      </c>
      <c r="S26" t="n">
        <v>0.667</v>
      </c>
      <c r="T26" t="inlineStr"/>
      <c r="U26" t="inlineStr"/>
      <c r="V26" t="inlineStr"/>
      <c r="W26"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7">
      <c r="A27" t="n">
        <v>26</v>
      </c>
      <c r="B27" t="n">
        <v>9</v>
      </c>
      <c r="C27" t="n">
        <v>2</v>
      </c>
      <c r="D27" t="n">
        <v>1</v>
      </c>
      <c r="E27" t="inlineStr">
        <is>
          <t>R1, R2 y R4 dado que  R5 cortocircuitada</t>
        </is>
      </c>
      <c r="F27" t="inlineStr">
        <is>
          <t>¿Cómo cambia el flujo de corriente y la relación entre las resistencias cuando una de ellas, como R5, se encuentra cortocircuitada, y qué efecto tiene esto en la equivalencia de resistencias en el circuito?</t>
        </is>
      </c>
      <c r="G27" t="n">
        <v>4</v>
      </c>
      <c r="H27" t="n">
        <v>3</v>
      </c>
      <c r="I27" t="n">
        <v>3</v>
      </c>
      <c r="J27" t="n">
        <v>5</v>
      </c>
      <c r="K27" t="n">
        <v>15</v>
      </c>
      <c r="L27" t="n">
        <v>3.871</v>
      </c>
      <c r="M27" t="n">
        <v>53</v>
      </c>
      <c r="N27" t="n">
        <v>15.5</v>
      </c>
      <c r="O27" t="inlineStr">
        <is>
          <t>AC6</t>
        </is>
      </c>
      <c r="P27" t="inlineStr">
        <is>
          <t>AC1, AC9</t>
        </is>
      </c>
      <c r="Q27" t="n">
        <v>0</v>
      </c>
      <c r="R27" t="n">
        <v>0</v>
      </c>
      <c r="S27" t="n">
        <v>0</v>
      </c>
      <c r="T27" t="inlineStr"/>
      <c r="U27" t="inlineStr"/>
      <c r="V27" t="inlineStr"/>
      <c r="W27"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28">
      <c r="A28" t="n">
        <v>27</v>
      </c>
      <c r="B28" t="n">
        <v>9</v>
      </c>
      <c r="C28" t="n">
        <v>3</v>
      </c>
      <c r="D28" t="n">
        <v>1</v>
      </c>
      <c r="E28" t="inlineStr">
        <is>
          <t>R1, R2 y R4 dado que por R3 no circula corriente</t>
        </is>
      </c>
      <c r="F28" t="inlineStr">
        <is>
          <t>¿La ausencia de corriente en R3 implica que no hay voltaje a través de ella, y cómo afecta esto a la configuración equivalente del circuito con R1, R2 y R4?</t>
        </is>
      </c>
      <c r="G28" t="n">
        <v>3</v>
      </c>
      <c r="H28" t="n">
        <v>3</v>
      </c>
      <c r="I28" t="n">
        <v>5</v>
      </c>
      <c r="J28" t="n">
        <v>5</v>
      </c>
      <c r="K28" t="n">
        <v>16</v>
      </c>
      <c r="L28" t="n">
        <v>3.693</v>
      </c>
      <c r="M28" t="n">
        <v>48</v>
      </c>
      <c r="N28" t="n">
        <v>16.25</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28</v>
      </c>
      <c r="B29" t="n">
        <v>10</v>
      </c>
      <c r="C29" t="n">
        <v>1</v>
      </c>
      <c r="D29" t="n">
        <v>1</v>
      </c>
      <c r="E29" t="inlineStr">
        <is>
          <t>R1, R2 y R4 dado que por  R5 no circula corriente</t>
        </is>
      </c>
      <c r="F29" t="inlineStr">
        <is>
          <t>¿Qué sucede con la corriente en una rama del circuito cuando hay un interruptor abierto, como el que está entre los nudos N2 y N3? ¿Cómo afecta esto a la contribución de las resistencias en esa rama a la diferencia de potencial entre N2 y 0?</t>
        </is>
      </c>
      <c r="G29" t="n">
        <v>4</v>
      </c>
      <c r="H29" t="n">
        <v>3</v>
      </c>
      <c r="I29" t="n">
        <v>2</v>
      </c>
      <c r="J29" t="n">
        <v>5</v>
      </c>
      <c r="K29" t="n">
        <v>14</v>
      </c>
      <c r="L29" t="n">
        <v>3.872</v>
      </c>
      <c r="M29" t="n">
        <v>69</v>
      </c>
      <c r="N29" t="n">
        <v>15.5</v>
      </c>
      <c r="O29" t="inlineStr">
        <is>
          <t>AC6</t>
        </is>
      </c>
      <c r="P29" t="inlineStr">
        <is>
          <t>AC1, AC9</t>
        </is>
      </c>
      <c r="Q29" t="n">
        <v>0</v>
      </c>
      <c r="R29" t="n">
        <v>0</v>
      </c>
      <c r="S29" t="n">
        <v>0</v>
      </c>
      <c r="T29" t="inlineStr"/>
      <c r="U29" t="inlineStr"/>
      <c r="V29" t="inlineStr"/>
      <c r="W2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0">
      <c r="A30" t="n">
        <v>29</v>
      </c>
      <c r="B30" t="n">
        <v>10</v>
      </c>
      <c r="C30" t="n">
        <v>2</v>
      </c>
      <c r="D30" t="n">
        <v>1</v>
      </c>
      <c r="E30" t="inlineStr">
        <is>
          <t>R1, R2 y R4 dado que R3 se puede quitar</t>
        </is>
      </c>
      <c r="F30" t="inlineStr">
        <is>
          <t>¿La eliminación de R3 se debe a que está en serie o en paralelo con otras resistencias en el circuito? ¿Cómo afecta la configuración de las resistencias en el circuito a la circulación de corriente a través de cada una de ellas?</t>
        </is>
      </c>
      <c r="G30" t="n">
        <v>4</v>
      </c>
      <c r="H30" t="n">
        <v>3</v>
      </c>
      <c r="I30" t="n">
        <v>3</v>
      </c>
      <c r="J30" t="n">
        <v>5</v>
      </c>
      <c r="K30" t="n">
        <v>15</v>
      </c>
      <c r="L30" t="n">
        <v>4.241</v>
      </c>
      <c r="M30" t="n">
        <v>61</v>
      </c>
      <c r="N30" t="n">
        <v>14.15</v>
      </c>
      <c r="O30" t="inlineStr">
        <is>
          <t>AC1</t>
        </is>
      </c>
      <c r="P30" t="inlineStr">
        <is>
          <t>AC1, AC9</t>
        </is>
      </c>
      <c r="Q30" t="n">
        <v>0.5</v>
      </c>
      <c r="R30" t="n">
        <v>1</v>
      </c>
      <c r="S30" t="n">
        <v>0.667</v>
      </c>
      <c r="T30" t="inlineStr"/>
      <c r="U30" t="inlineStr"/>
      <c r="V30" t="inlineStr"/>
      <c r="W30"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1">
      <c r="A31" t="n">
        <v>30</v>
      </c>
      <c r="B31" t="n">
        <v>10</v>
      </c>
      <c r="C31" t="n">
        <v>3</v>
      </c>
      <c r="D31" t="n">
        <v>1</v>
      </c>
      <c r="E31" t="inlineStr">
        <is>
          <t>R1, R2 y R4 dado que R5 se puede quitar</t>
        </is>
      </c>
      <c r="F31" t="inlineStr">
        <is>
          <t>¿La resistencia R5 se puede quitar porque no forma parte de un camino crítico para la corriente en el circuito? ¿Qué condiciones deben cumplirse para que una resistencia en un circuito pueda considerarse no esencial para el flujo de corriente?</t>
        </is>
      </c>
      <c r="G31" t="n">
        <v>3</v>
      </c>
      <c r="H31" t="n">
        <v>3</v>
      </c>
      <c r="I31" t="n">
        <v>3</v>
      </c>
      <c r="J31" t="n">
        <v>5</v>
      </c>
      <c r="K31" t="n">
        <v>14</v>
      </c>
      <c r="L31" t="n">
        <v>4.151</v>
      </c>
      <c r="M31" t="n">
        <v>61</v>
      </c>
      <c r="N31" t="n">
        <v>14.45</v>
      </c>
      <c r="O31" t="inlineStr">
        <is>
          <t>AC6</t>
        </is>
      </c>
      <c r="P31" t="inlineStr">
        <is>
          <t>AC1, AC9</t>
        </is>
      </c>
      <c r="Q31" t="n">
        <v>0</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31</v>
      </c>
      <c r="B32" t="n">
        <v>11</v>
      </c>
      <c r="C32" t="n">
        <v>1</v>
      </c>
      <c r="D32" t="n">
        <v>1</v>
      </c>
      <c r="E32" t="inlineStr">
        <is>
          <t>R1, R2 y R4 dado que R3 no influye para nada en la diferencia de potencial que se pide</t>
        </is>
      </c>
      <c r="F32" t="inlineStr">
        <is>
          <t>¿Consideraste que el interruptor abierto entre N2 y N3 podría estar afectando la corriente en alguna rama del circuito, y si eso podría influir en las resistencias que contribuyen a la diferencia de potencial entre N2 y 0?</t>
        </is>
      </c>
      <c r="G32" t="n">
        <v>3</v>
      </c>
      <c r="H32" t="n">
        <v>4</v>
      </c>
      <c r="I32" t="n">
        <v>3</v>
      </c>
      <c r="J32" t="n">
        <v>5</v>
      </c>
      <c r="K32" t="n">
        <v>15</v>
      </c>
      <c r="L32" t="n">
        <v>3.394</v>
      </c>
      <c r="M32" t="n">
        <v>58</v>
      </c>
      <c r="N32" t="n">
        <v>17.68</v>
      </c>
      <c r="O32" t="inlineStr">
        <is>
          <t>AC1</t>
        </is>
      </c>
      <c r="P32" t="inlineStr">
        <is>
          <t>AC1, AC9</t>
        </is>
      </c>
      <c r="Q32" t="n">
        <v>0.5</v>
      </c>
      <c r="R32" t="n">
        <v>1</v>
      </c>
      <c r="S32" t="n">
        <v>0.667</v>
      </c>
      <c r="T32" t="inlineStr"/>
      <c r="U32" t="inlineStr"/>
      <c r="V32" t="inlineStr"/>
      <c r="W32"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3">
      <c r="A33" t="n">
        <v>32</v>
      </c>
      <c r="B33" t="n">
        <v>11</v>
      </c>
      <c r="C33" t="n">
        <v>2</v>
      </c>
      <c r="D33" t="n">
        <v>1</v>
      </c>
      <c r="E33" t="inlineStr">
        <is>
          <t>R1, R2 y R4 dado que R5 no influye para nada en la diferencia de potencial que se pide</t>
        </is>
      </c>
      <c r="F33" t="inlineStr">
        <is>
          <t>¿Estás seguro de que la resistencia R5 no juega ningún papel en la ruta de corriente que afecta la diferencia de potencial entre los puntos de interés, considerando el camino que toma la corriente a través del circuito?</t>
        </is>
      </c>
      <c r="G33" t="n">
        <v>3</v>
      </c>
      <c r="H33" t="n">
        <v>3</v>
      </c>
      <c r="I33" t="n">
        <v>3</v>
      </c>
      <c r="J33" t="n">
        <v>5</v>
      </c>
      <c r="K33" t="n">
        <v>14</v>
      </c>
      <c r="L33" t="n">
        <v>4.102</v>
      </c>
      <c r="M33" t="n">
        <v>56</v>
      </c>
      <c r="N33" t="n">
        <v>14.63</v>
      </c>
      <c r="O33" t="inlineStr">
        <is>
          <t>AC6</t>
        </is>
      </c>
      <c r="P33" t="inlineStr">
        <is>
          <t>AC1, AC9</t>
        </is>
      </c>
      <c r="Q33" t="n">
        <v>0</v>
      </c>
      <c r="R33" t="n">
        <v>0</v>
      </c>
      <c r="S33" t="n">
        <v>0</v>
      </c>
      <c r="T33" t="inlineStr"/>
      <c r="U33" t="inlineStr"/>
      <c r="V33" t="inlineStr"/>
      <c r="W3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4">
      <c r="A34" t="n">
        <v>33</v>
      </c>
      <c r="B34" t="n">
        <v>11</v>
      </c>
      <c r="C34" t="n">
        <v>3</v>
      </c>
      <c r="D34" t="n">
        <v>1</v>
      </c>
      <c r="E34" t="inlineStr">
        <is>
          <t>No lo sé</t>
        </is>
      </c>
      <c r="F34" t="inlineStr">
        <is>
          <t>¿Qué sucedería con la corriente y el voltaje en el circuito si R5 estuviera en serie con R4, en lugar de estar en una rama separada?</t>
        </is>
      </c>
      <c r="G34" t="n">
        <v>3</v>
      </c>
      <c r="H34" t="n">
        <v>3</v>
      </c>
      <c r="I34" t="n">
        <v>2</v>
      </c>
      <c r="J34" t="n">
        <v>5</v>
      </c>
      <c r="K34" t="n">
        <v>13</v>
      </c>
      <c r="L34" t="n">
        <v>3.388</v>
      </c>
      <c r="M34" t="n">
        <v>43</v>
      </c>
      <c r="N34" t="n">
        <v>17.71</v>
      </c>
      <c r="O34" t="inlineStr">
        <is>
          <t>AC9</t>
        </is>
      </c>
      <c r="P34" t="inlineStr">
        <is>
          <t>AC1</t>
        </is>
      </c>
      <c r="Q34" t="n">
        <v>0</v>
      </c>
      <c r="R34" t="n">
        <v>0</v>
      </c>
      <c r="S34" t="n">
        <v>0</v>
      </c>
      <c r="T34" t="inlineStr"/>
      <c r="U34" t="inlineStr"/>
      <c r="V34" t="inlineStr"/>
      <c r="W3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5">
      <c r="A35" t="n">
        <v>34</v>
      </c>
      <c r="B35" t="n">
        <v>12</v>
      </c>
      <c r="C35" t="n">
        <v>1</v>
      </c>
      <c r="D35" t="n">
        <v>1</v>
      </c>
      <c r="E35" t="inlineStr">
        <is>
          <t>Todas las resistencias</t>
        </is>
      </c>
      <c r="F35" t="inlineStr">
        <is>
          <t>¿Qué sucede con la corriente en una rama del circuito cuando hay un interruptor abierto, y cómo afecta esto a las resistencias que contribuyen a la diferencia de potencial entre dos nudos?</t>
        </is>
      </c>
      <c r="G35" t="n">
        <v>4</v>
      </c>
      <c r="H35" t="n">
        <v>3</v>
      </c>
      <c r="I35" t="n">
        <v>2</v>
      </c>
      <c r="J35" t="n">
        <v>5</v>
      </c>
      <c r="K35" t="n">
        <v>14</v>
      </c>
      <c r="L35" t="n">
        <v>2.953</v>
      </c>
      <c r="M35" t="n">
        <v>48</v>
      </c>
      <c r="N35" t="n">
        <v>20.32</v>
      </c>
      <c r="O35" t="inlineStr">
        <is>
          <t>AC9</t>
        </is>
      </c>
      <c r="P35" t="inlineStr">
        <is>
          <t>AC1, AC9</t>
        </is>
      </c>
      <c r="Q35" t="n">
        <v>0.5</v>
      </c>
      <c r="R35" t="n">
        <v>1</v>
      </c>
      <c r="S35" t="n">
        <v>0.667</v>
      </c>
      <c r="T35" t="inlineStr"/>
      <c r="U35" t="inlineStr"/>
      <c r="V35" t="inlineStr"/>
      <c r="W3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6">
      <c r="A36" t="n">
        <v>35</v>
      </c>
      <c r="B36" t="n">
        <v>12</v>
      </c>
      <c r="C36" t="n">
        <v>2</v>
      </c>
      <c r="D36" t="n">
        <v>1</v>
      </c>
      <c r="E36" t="inlineStr">
        <is>
          <t>R1 y R2</t>
        </is>
      </c>
      <c r="F36" t="inlineStr">
        <is>
          <t>¿Estás considerando la posibilidad de que haya una relación entre la suma de resistencias en serie y la ley de Ohm, y cómo esto podría aplicarse a los componentes R1 y R2 en el circuito?</t>
        </is>
      </c>
      <c r="G36" t="n">
        <v>3</v>
      </c>
      <c r="H36" t="n">
        <v>3</v>
      </c>
      <c r="I36" t="n">
        <v>2</v>
      </c>
      <c r="J36" t="n">
        <v>5</v>
      </c>
      <c r="K36" t="n">
        <v>13</v>
      </c>
      <c r="L36" t="n">
        <v>3.589</v>
      </c>
      <c r="M36" t="n">
        <v>49</v>
      </c>
      <c r="N36" t="n">
        <v>16.72</v>
      </c>
      <c r="O36" t="inlineStr">
        <is>
          <t>AC9</t>
        </is>
      </c>
      <c r="P36" t="inlineStr">
        <is>
          <t>AC9</t>
        </is>
      </c>
      <c r="Q36" t="n">
        <v>1</v>
      </c>
      <c r="R36" t="n">
        <v>1</v>
      </c>
      <c r="S36" t="n">
        <v>1</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36</v>
      </c>
      <c r="B37" t="n">
        <v>12</v>
      </c>
      <c r="C37" t="n">
        <v>3</v>
      </c>
      <c r="D37" t="n">
        <v>1</v>
      </c>
      <c r="E37" t="inlineStr">
        <is>
          <t>R1, R2 y R4</t>
        </is>
      </c>
      <c r="F37" t="inlineStr">
        <is>
          <t>¿Consideraste la configuración de los componentes R1, R2 y R4 en relación con el nodo común y cómo afecta la distribución de la corriente en el circuito?</t>
        </is>
      </c>
      <c r="G37" t="n">
        <v>3</v>
      </c>
      <c r="H37" t="n">
        <v>3</v>
      </c>
      <c r="I37" t="n">
        <v>3</v>
      </c>
      <c r="J37" t="n">
        <v>5</v>
      </c>
      <c r="K37" t="n">
        <v>14</v>
      </c>
      <c r="L37" t="n">
        <v>3.269</v>
      </c>
      <c r="M37" t="n">
        <v>43</v>
      </c>
      <c r="N37" t="n">
        <v>18.35</v>
      </c>
      <c r="O37" t="inlineStr"/>
      <c r="P37" t="inlineStr">
        <is>
          <t>AC1</t>
        </is>
      </c>
      <c r="Q37" t="n">
        <v>0</v>
      </c>
      <c r="R37" t="n">
        <v>1</v>
      </c>
      <c r="S37" t="n">
        <v>0</v>
      </c>
      <c r="T37" t="inlineStr"/>
      <c r="U37" t="inlineStr"/>
      <c r="V37" t="inlineStr"/>
      <c r="W3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8">
      <c r="A38" t="n">
        <v>37</v>
      </c>
      <c r="B38" t="n">
        <v>13</v>
      </c>
      <c r="C38" t="n">
        <v>1</v>
      </c>
      <c r="D38" t="n">
        <v>1</v>
      </c>
      <c r="E38" t="inlineStr">
        <is>
          <t>R1, R2, R4 y R5</t>
        </is>
      </c>
      <c r="F38" t="inlineStr">
        <is>
          <t>¿Qué sucede con la corriente que pasa por R5 si se observa que sus dos terminales están conectadas directamente, según el netlist proporcionado?</t>
        </is>
      </c>
      <c r="G38" t="n">
        <v>4</v>
      </c>
      <c r="H38" t="n">
        <v>3</v>
      </c>
      <c r="I38" t="n">
        <v>3</v>
      </c>
      <c r="J38" t="n">
        <v>5</v>
      </c>
      <c r="K38" t="n">
        <v>15</v>
      </c>
      <c r="L38" t="n">
        <v>2.354</v>
      </c>
      <c r="M38" t="n">
        <v>37</v>
      </c>
      <c r="N38" t="n">
        <v>25.49</v>
      </c>
      <c r="O38" t="inlineStr">
        <is>
          <t>AC6</t>
        </is>
      </c>
      <c r="P38" t="inlineStr">
        <is>
          <t>AC1, AC6</t>
        </is>
      </c>
      <c r="Q38" t="n">
        <v>0.5</v>
      </c>
      <c r="R38" t="n">
        <v>1</v>
      </c>
      <c r="S38" t="n">
        <v>0.667</v>
      </c>
      <c r="T38" t="inlineStr"/>
      <c r="U38" t="inlineStr"/>
      <c r="V38" t="inlineStr"/>
      <c r="W3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9">
      <c r="A39" t="n">
        <v>38</v>
      </c>
      <c r="B39" t="n">
        <v>13</v>
      </c>
      <c r="C39" t="n">
        <v>2</v>
      </c>
      <c r="D39" t="n">
        <v>1</v>
      </c>
      <c r="E39" t="inlineStr">
        <is>
          <t>R1, R2, R3 y R4</t>
        </is>
      </c>
      <c r="F39" t="inlineStr">
        <is>
          <t>¿Por qué incluyes R3 en tu lista cuando en la pregunta original solo se mencionan R1, R2, R4 y R5?</t>
        </is>
      </c>
      <c r="G39" t="n">
        <v>3</v>
      </c>
      <c r="H39" t="n">
        <v>2</v>
      </c>
      <c r="I39" t="n">
        <v>4</v>
      </c>
      <c r="J39" t="n">
        <v>5</v>
      </c>
      <c r="K39" t="n">
        <v>14</v>
      </c>
      <c r="L39" t="n">
        <v>2.681</v>
      </c>
      <c r="M39" t="n">
        <v>34</v>
      </c>
      <c r="N39" t="n">
        <v>22.38</v>
      </c>
      <c r="O39" t="inlineStr">
        <is>
          <t>AC1</t>
        </is>
      </c>
      <c r="P39" t="inlineStr">
        <is>
          <t>AC1, AC6</t>
        </is>
      </c>
      <c r="Q39" t="n">
        <v>0.5</v>
      </c>
      <c r="R39" t="n">
        <v>1</v>
      </c>
      <c r="S39" t="n">
        <v>0.667</v>
      </c>
      <c r="T39" t="inlineStr"/>
      <c r="U39" t="inlineStr"/>
      <c r="V39" t="inlineStr"/>
      <c r="W39"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40">
      <c r="A40" t="n">
        <v>39</v>
      </c>
      <c r="B40" t="n">
        <v>13</v>
      </c>
      <c r="C40" t="n">
        <v>3</v>
      </c>
      <c r="D40" t="n">
        <v>1</v>
      </c>
      <c r="E40" t="inlineStr">
        <is>
          <t>R1 y R2 y R4 hacen un divisor de corriente</t>
        </is>
      </c>
      <c r="F40" t="inlineStr">
        <is>
          <t>¿Cómo se relaciona el comportamiento de un divisor de corriente con la resistencia R5 en el circuito, considerando que R1, R2 y R4 forman parte de este divisor?</t>
        </is>
      </c>
      <c r="G40" t="n">
        <v>3</v>
      </c>
      <c r="H40" t="n">
        <v>3</v>
      </c>
      <c r="I40" t="n">
        <v>5</v>
      </c>
      <c r="J40" t="n">
        <v>5</v>
      </c>
      <c r="K40" t="n">
        <v>16</v>
      </c>
      <c r="L40" t="n">
        <v>3.238</v>
      </c>
      <c r="M40" t="n">
        <v>45</v>
      </c>
      <c r="N40" t="n">
        <v>18.53</v>
      </c>
      <c r="O40" t="inlineStr"/>
      <c r="P40" t="inlineStr">
        <is>
          <t>AC1, AC9</t>
        </is>
      </c>
      <c r="Q40" t="n">
        <v>0</v>
      </c>
      <c r="R40" t="n">
        <v>1</v>
      </c>
      <c r="S40" t="n">
        <v>0</v>
      </c>
      <c r="T40" t="inlineStr"/>
      <c r="U40" t="inlineStr"/>
      <c r="V40" t="inlineStr"/>
      <c r="W4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1">
      <c r="A41" t="n">
        <v>40</v>
      </c>
      <c r="B41" t="n">
        <v>14</v>
      </c>
      <c r="C41" t="n">
        <v>1</v>
      </c>
      <c r="D41" t="n">
        <v>1</v>
      </c>
      <c r="E41" t="inlineStr">
        <is>
          <t>R1 y R2 y R4 hacen un divisor de tensión, r3 no cuenta por estar en corto</t>
        </is>
      </c>
      <c r="F41" t="inlineStr">
        <is>
          <t>¿Qué sucede con la corriente en una rama cuando hay un interruptor abierto, como el que está entre los nudos N2 y N3, y cómo afecta esto a las resistencias que contribuyen a la diferencia de potencial entre N2 y 0?</t>
        </is>
      </c>
      <c r="G41" t="n">
        <v>4</v>
      </c>
      <c r="H41" t="n">
        <v>4</v>
      </c>
      <c r="I41" t="n">
        <v>3</v>
      </c>
      <c r="J41" t="n">
        <v>5</v>
      </c>
      <c r="K41" t="n">
        <v>16</v>
      </c>
      <c r="L41" t="n">
        <v>3.682</v>
      </c>
      <c r="M41" t="n">
        <v>61</v>
      </c>
      <c r="N41" t="n">
        <v>16.3</v>
      </c>
      <c r="O41" t="inlineStr">
        <is>
          <t>AC1</t>
        </is>
      </c>
      <c r="P41" t="inlineStr">
        <is>
          <t>AC1, AC9</t>
        </is>
      </c>
      <c r="Q41" t="n">
        <v>0.5</v>
      </c>
      <c r="R41" t="n">
        <v>1</v>
      </c>
      <c r="S41" t="n">
        <v>0.667</v>
      </c>
      <c r="T41" t="inlineStr"/>
      <c r="U41" t="inlineStr"/>
      <c r="V41" t="inlineStr"/>
      <c r="W41"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42">
      <c r="A42" t="n">
        <v>41</v>
      </c>
      <c r="B42" t="n">
        <v>14</v>
      </c>
      <c r="C42" t="n">
        <v>2</v>
      </c>
      <c r="D42" t="n">
        <v>1</v>
      </c>
      <c r="E42" t="inlineStr">
        <is>
          <t>No tengo en cuenta R3 porque el interruptor está cerrado</t>
        </is>
      </c>
      <c r="F42" t="inlineStr">
        <is>
          <t>¿Estás seguro de que el interruptor cerrado no afecta la corriente que fluye a través de R3 y, por lo tanto, su contribución al divisor de tensión?</t>
        </is>
      </c>
      <c r="G42" t="n">
        <v>3</v>
      </c>
      <c r="H42" t="n">
        <v>4</v>
      </c>
      <c r="I42" t="n">
        <v>5</v>
      </c>
      <c r="J42" t="n">
        <v>5</v>
      </c>
      <c r="K42" t="n">
        <v>17</v>
      </c>
      <c r="L42" t="n">
        <v>3.517</v>
      </c>
      <c r="M42" t="n">
        <v>42</v>
      </c>
      <c r="N42" t="n">
        <v>17.06</v>
      </c>
      <c r="O42" t="inlineStr">
        <is>
          <t>AC1, AC9</t>
        </is>
      </c>
      <c r="P42" t="inlineStr">
        <is>
          <t>AC1</t>
        </is>
      </c>
      <c r="Q42" t="n">
        <v>1</v>
      </c>
      <c r="R42" t="n">
        <v>0.5</v>
      </c>
      <c r="S42" t="n">
        <v>0.667</v>
      </c>
      <c r="T42" t="inlineStr"/>
      <c r="U42" t="inlineStr"/>
      <c r="V42" t="inlineStr"/>
      <c r="W42"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43">
      <c r="A43" t="n">
        <v>42</v>
      </c>
      <c r="B43" t="n">
        <v>14</v>
      </c>
      <c r="C43" t="n">
        <v>3</v>
      </c>
      <c r="D43" t="n">
        <v>1</v>
      </c>
      <c r="E43" t="inlineStr">
        <is>
          <t>No tengo en cuenta R5 porque está en circuito abierto</t>
        </is>
      </c>
      <c r="F43" t="inlineStr">
        <is>
          <t>¿Cómo determinarías si R5 realmente está en circuito abierto y no forma parte de un camino de corriente alternativo que pase por otros componentes del circuito?</t>
        </is>
      </c>
      <c r="G43" t="n">
        <v>3</v>
      </c>
      <c r="H43" t="n">
        <v>3</v>
      </c>
      <c r="I43" t="n">
        <v>5</v>
      </c>
      <c r="J43" t="n">
        <v>5</v>
      </c>
      <c r="K43" t="n">
        <v>16</v>
      </c>
      <c r="L43" t="n">
        <v>3.084</v>
      </c>
      <c r="M43" t="n">
        <v>40</v>
      </c>
      <c r="N43" t="n">
        <v>19.45</v>
      </c>
      <c r="O43" t="inlineStr">
        <is>
          <t>AC6, AC9</t>
        </is>
      </c>
      <c r="P43" t="inlineStr">
        <is>
          <t>AC1, AC9</t>
        </is>
      </c>
      <c r="Q43" t="n">
        <v>0.5</v>
      </c>
      <c r="R43" t="n">
        <v>0.5</v>
      </c>
      <c r="S43" t="n">
        <v>0.5</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43</v>
      </c>
      <c r="B2" t="n">
        <v>15</v>
      </c>
      <c r="C2" t="n">
        <v>1</v>
      </c>
      <c r="D2" t="n">
        <v>1</v>
      </c>
      <c r="E2" t="inlineStr">
        <is>
          <t>R1 y R2 dado que las dos resistencia forman un divisor de tensión</t>
        </is>
      </c>
      <c r="F2" t="inlineStr">
        <is>
          <t>¿Puedes identificar qué ocurre con el flujo del corriente a través de los componentes individuales, y cómo afecta esto las resistencias entre N2 y tierra, teniendo en cuenta el estado del interruptor entre N2 y N3? ¿Debes considerar R1, R2 o otra resistencia también?</t>
        </is>
      </c>
      <c r="G2" t="n">
        <v>3</v>
      </c>
      <c r="H2" t="n">
        <v>3</v>
      </c>
      <c r="I2" t="n">
        <v>5</v>
      </c>
      <c r="J2" t="n">
        <v>5</v>
      </c>
      <c r="K2" t="n">
        <v>16</v>
      </c>
      <c r="L2" t="n">
        <v>32.717</v>
      </c>
      <c r="M2" t="n">
        <v>60</v>
      </c>
      <c r="N2" t="n">
        <v>1.83</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44</v>
      </c>
      <c r="B3" t="n">
        <v>15</v>
      </c>
      <c r="C3" t="n">
        <v>2</v>
      </c>
      <c r="D3" t="n">
        <v>1</v>
      </c>
      <c r="E3" t="inlineStr">
        <is>
          <t>R1 y R2 dado que se pide la tensión en R2</t>
        </is>
      </c>
      <c r="F3" t="inlineStr">
        <is>
          <t>¿Cómo afectará la presencia de un posible camino corto entre N2 y tierra, influenciado por el estado del interruptor hacia N3, a las diferentes corrientes que pueden fluir através de R1 y R2 durante una situación con o sin cortocircuito? ¿Cuál sería su impacto en los voltajes registrados ante terminales de cada resistencia si se mide con respecto al punto medio común entre R1 y R2?</t>
        </is>
      </c>
      <c r="G3" t="n">
        <v>3</v>
      </c>
      <c r="H3" t="n">
        <v>3</v>
      </c>
      <c r="I3" t="n">
        <v>3</v>
      </c>
      <c r="J3" t="n">
        <v>5</v>
      </c>
      <c r="K3" t="n">
        <v>14</v>
      </c>
      <c r="L3" t="n">
        <v>0.9370000000000001</v>
      </c>
      <c r="M3" t="n">
        <v>89</v>
      </c>
      <c r="N3" t="n">
        <v>64.02</v>
      </c>
      <c r="O3" t="inlineStr">
        <is>
          <t>AC9</t>
        </is>
      </c>
      <c r="P3" t="inlineStr">
        <is>
          <t>AC1, AC6, AC9</t>
        </is>
      </c>
      <c r="Q3" t="n">
        <v>0.333</v>
      </c>
      <c r="R3" t="n">
        <v>1</v>
      </c>
      <c r="S3" t="n">
        <v>0.5</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45</v>
      </c>
      <c r="B4" t="n">
        <v>15</v>
      </c>
      <c r="C4" t="n">
        <v>3</v>
      </c>
      <c r="D4" t="n">
        <v>1</v>
      </c>
      <c r="E4" t="inlineStr">
        <is>
          <t>R1 y R2 por identificar un divisor de tensión</t>
        </is>
      </c>
      <c r="F4" t="inlineStr">
        <is>
          <t>¿Puedo asegurarme de haber identificado correctamente el circuito configurado como un divisor de tensión, o he pasado por alto algún otro componente potencialmente relevante? ¿Mi interpretación del papel del interruptor dentro del circuito asegura una configuración dividida apropiada para R1 y R2?</t>
        </is>
      </c>
      <c r="G4" t="n">
        <v>3</v>
      </c>
      <c r="H4" t="n">
        <v>3</v>
      </c>
      <c r="I4" t="n">
        <v>3</v>
      </c>
      <c r="J4" t="n">
        <v>5</v>
      </c>
      <c r="K4" t="n">
        <v>14</v>
      </c>
      <c r="L4" t="n">
        <v>0.719</v>
      </c>
      <c r="M4" t="n">
        <v>57</v>
      </c>
      <c r="N4" t="n">
        <v>83.43000000000001</v>
      </c>
      <c r="O4" t="inlineStr">
        <is>
          <t>AC9</t>
        </is>
      </c>
      <c r="P4" t="inlineStr">
        <is>
          <t>AC1</t>
        </is>
      </c>
      <c r="Q4" t="n">
        <v>0</v>
      </c>
      <c r="R4" t="n">
        <v>0</v>
      </c>
      <c r="S4" t="n">
        <v>0</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46</v>
      </c>
      <c r="B5" t="n">
        <v>16</v>
      </c>
      <c r="C5" t="n">
        <v>1</v>
      </c>
      <c r="D5" t="n">
        <v>1</v>
      </c>
      <c r="E5" t="inlineStr">
        <is>
          <t>R1 y R2 hacen un divisor de tensión</t>
        </is>
      </c>
      <c r="F5" t="inlineStr">
        <is>
          <t>¿Puedes confirmar si el camino del nudo N3 está cerrado, lo que potencialmente involucraría a R3 y una diferencia de potencial entre N3 y tierra? ¿Y cómo afecta un interruptor abierto entre los nudos N2 y N3 al flujo de corriente pasando por R5?</t>
        </is>
      </c>
      <c r="G5" t="n">
        <v>3</v>
      </c>
      <c r="H5" t="n">
        <v>3</v>
      </c>
      <c r="I5" t="n">
        <v>2</v>
      </c>
      <c r="J5" t="n">
        <v>5</v>
      </c>
      <c r="K5" t="n">
        <v>13</v>
      </c>
      <c r="L5" t="n">
        <v>1.009</v>
      </c>
      <c r="M5" t="n">
        <v>61</v>
      </c>
      <c r="N5" t="n">
        <v>59.44</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47</v>
      </c>
      <c r="B6" t="n">
        <v>16</v>
      </c>
      <c r="C6" t="n">
        <v>2</v>
      </c>
      <c r="D6" t="n">
        <v>1</v>
      </c>
      <c r="E6" t="inlineStr">
        <is>
          <t>R1, R2, R3 y R4 porque R5 está cortocircuitada</t>
        </is>
      </c>
      <c r="F6" t="inlineStr">
        <is>
          <t>¿Podrían los valores de las resistencias R1, R2, R3 y R4 determinarse independientemente del cortocircuito creado por R5?, considerando el papel actual jugado por R5 dentro del circuito?</t>
        </is>
      </c>
      <c r="G6" t="n">
        <v>3</v>
      </c>
      <c r="H6" t="n">
        <v>3</v>
      </c>
      <c r="I6" t="n">
        <v>5</v>
      </c>
      <c r="J6" t="n">
        <v>5</v>
      </c>
      <c r="K6" t="n">
        <v>16</v>
      </c>
      <c r="L6" t="n">
        <v>0.6929999999999999</v>
      </c>
      <c r="M6" t="n">
        <v>48</v>
      </c>
      <c r="N6" t="n">
        <v>86.54000000000001</v>
      </c>
      <c r="O6" t="inlineStr">
        <is>
          <t>AC1, AC6</t>
        </is>
      </c>
      <c r="P6" t="inlineStr">
        <is>
          <t>AC6, AC9</t>
        </is>
      </c>
      <c r="Q6" t="n">
        <v>0.5</v>
      </c>
      <c r="R6" t="n">
        <v>0.5</v>
      </c>
      <c r="S6" t="n">
        <v>0.5</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48</v>
      </c>
      <c r="B7" t="n">
        <v>16</v>
      </c>
      <c r="C7" t="n">
        <v>3</v>
      </c>
      <c r="D7" t="n">
        <v>1</v>
      </c>
      <c r="E7" t="inlineStr">
        <is>
          <t>R1, R2, R3 y R4 porque por R5 no circula corriente</t>
        </is>
      </c>
      <c r="F7" t="inlineStr">
        <is>
          <t>Si el nudo N5 está conectado a los terminales de R5, ¿cómo afecta esto a la presencia o ausencia de corriente a través de R1, R2, R3 y R4? Especifica si su estado podría cambiar con una condición diferente (por ejemplo, un cambio del interruptor abierto al cerrado)?</t>
        </is>
      </c>
      <c r="G7" t="n">
        <v>4</v>
      </c>
      <c r="H7" t="n">
        <v>3</v>
      </c>
      <c r="I7" t="n">
        <v>4</v>
      </c>
      <c r="J7" t="n">
        <v>5</v>
      </c>
      <c r="K7" t="n">
        <v>16</v>
      </c>
      <c r="L7" t="n">
        <v>0.825</v>
      </c>
      <c r="M7" t="n">
        <v>68</v>
      </c>
      <c r="N7" t="n">
        <v>72.75</v>
      </c>
      <c r="O7" t="inlineStr">
        <is>
          <t>AC1, AC6</t>
        </is>
      </c>
      <c r="P7" t="inlineStr">
        <is>
          <t>AC1, AC6</t>
        </is>
      </c>
      <c r="Q7" t="n">
        <v>1</v>
      </c>
      <c r="R7" t="n">
        <v>1</v>
      </c>
      <c r="S7" t="n">
        <v>1</v>
      </c>
      <c r="T7" t="inlineStr"/>
      <c r="U7" t="inlineStr"/>
      <c r="V7" t="inlineStr"/>
      <c r="W7"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8">
      <c r="A8" t="n">
        <v>49</v>
      </c>
      <c r="B8" t="n">
        <v>17</v>
      </c>
      <c r="C8" t="n">
        <v>1</v>
      </c>
      <c r="D8" t="n">
        <v>1</v>
      </c>
      <c r="E8" t="inlineStr">
        <is>
          <t>R1, R2, R3 y R4 porque R5 se quita</t>
        </is>
      </c>
      <c r="F8" t="inlineStr">
        <is>
          <t>¿Puedes confirmar qué sucede con el flujo de corriente a través del interruptor abierto entre N2 y N3, y cómo eso afecta las resistencias R1, R2, R3, R4 y R5? ¿Y cuáles son los efectos del cortocircuito para la contribución al voltaje en el nudo N2 comparado con tierra (0)?</t>
        </is>
      </c>
      <c r="G8" t="n">
        <v>3</v>
      </c>
      <c r="H8" t="n">
        <v>5</v>
      </c>
      <c r="I8" t="n">
        <v>3</v>
      </c>
      <c r="J8" t="n">
        <v>5</v>
      </c>
      <c r="K8" t="n">
        <v>16</v>
      </c>
      <c r="L8" t="n">
        <v>0.825</v>
      </c>
      <c r="M8" t="n">
        <v>77</v>
      </c>
      <c r="N8" t="n">
        <v>72.70999999999999</v>
      </c>
      <c r="O8" t="inlineStr">
        <is>
          <t>AC1, AC6</t>
        </is>
      </c>
      <c r="P8" t="inlineStr">
        <is>
          <t>AC1, AC6, AC9</t>
        </is>
      </c>
      <c r="Q8" t="n">
        <v>0.667</v>
      </c>
      <c r="R8" t="n">
        <v>1</v>
      </c>
      <c r="S8" t="n">
        <v>0.8</v>
      </c>
      <c r="T8" t="inlineStr"/>
      <c r="U8" t="inlineStr"/>
      <c r="V8" t="inlineStr"/>
      <c r="W8"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9">
      <c r="A9" t="n">
        <v>50</v>
      </c>
      <c r="B9" t="n">
        <v>17</v>
      </c>
      <c r="C9" t="n">
        <v>2</v>
      </c>
      <c r="D9" t="n">
        <v>1</v>
      </c>
      <c r="E9" t="inlineStr">
        <is>
          <t>R1, R3 y R4 porque R2 está en paralelo con la fuente y R5 corctocircuitada</t>
        </is>
      </c>
      <c r="F9" t="inlineStr">
        <is>
          <t>¿El posicionamiento del interruptor abierto entre N2 y N3 impacta el flujo de corriente a través de R1, R2, R3, R4 y R5 igual o diferente? Además, ¿cómo podría un cortocircuito afectar al voltaje medido a nivel de N2 en comparación con tierra (0)?</t>
        </is>
      </c>
      <c r="G9" t="n">
        <v>3</v>
      </c>
      <c r="H9" t="n">
        <v>5</v>
      </c>
      <c r="I9" t="n">
        <v>5</v>
      </c>
      <c r="J9" t="n">
        <v>5</v>
      </c>
      <c r="K9" t="n">
        <v>18</v>
      </c>
      <c r="L9" t="n">
        <v>0.988</v>
      </c>
      <c r="M9" t="n">
        <v>70</v>
      </c>
      <c r="N9" t="n">
        <v>60.72</v>
      </c>
      <c r="O9" t="inlineStr">
        <is>
          <t>AC1, AC6</t>
        </is>
      </c>
      <c r="P9" t="inlineStr">
        <is>
          <t>AC1, AC6, AC9</t>
        </is>
      </c>
      <c r="Q9" t="n">
        <v>0.667</v>
      </c>
      <c r="R9" t="n">
        <v>1</v>
      </c>
      <c r="S9" t="n">
        <v>0.8</v>
      </c>
      <c r="T9" t="inlineStr"/>
      <c r="U9" t="inlineStr"/>
      <c r="V9" t="inlineStr"/>
      <c r="W9"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10">
      <c r="A10" t="n">
        <v>51</v>
      </c>
      <c r="B10" t="n">
        <v>17</v>
      </c>
      <c r="C10" t="n">
        <v>3</v>
      </c>
      <c r="D10" t="n">
        <v>1</v>
      </c>
      <c r="E10" t="inlineStr">
        <is>
          <t>R1, R4 y R5 porque R2 se elimina y R3 también</t>
        </is>
      </c>
      <c r="F10" t="inlineStr">
        <is>
          <t>¿El posicionamiento del interruptor abierto entre N2 y N3 cambia efectivamente el papel de R1, R4 o R5 dentro del circuito? Además, ¿cómo podría un cortocircuito influir en la medición del voltaje a nivel de N2 respecto al caso original sin este cambio (0)?</t>
        </is>
      </c>
      <c r="G10" t="n">
        <v>3</v>
      </c>
      <c r="H10" t="n">
        <v>5</v>
      </c>
      <c r="I10" t="n">
        <v>4</v>
      </c>
      <c r="J10" t="n">
        <v>5</v>
      </c>
      <c r="K10" t="n">
        <v>17</v>
      </c>
      <c r="L10" t="n">
        <v>0.694</v>
      </c>
      <c r="M10" t="n">
        <v>67</v>
      </c>
      <c r="N10" t="n">
        <v>86.48999999999999</v>
      </c>
      <c r="O10" t="inlineStr">
        <is>
          <t>AC1, AC6</t>
        </is>
      </c>
      <c r="P10" t="inlineStr">
        <is>
          <t>AC1, AC6, AC9</t>
        </is>
      </c>
      <c r="Q10" t="n">
        <v>0.667</v>
      </c>
      <c r="R10" t="n">
        <v>1</v>
      </c>
      <c r="S10" t="n">
        <v>0.8</v>
      </c>
      <c r="T10" t="inlineStr"/>
      <c r="U10" t="inlineStr"/>
      <c r="V10" t="inlineStr"/>
      <c r="W10"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11">
      <c r="A11" t="n">
        <v>52</v>
      </c>
      <c r="B11" t="n">
        <v>18</v>
      </c>
      <c r="C11" t="n">
        <v>1</v>
      </c>
      <c r="D11" t="n">
        <v>1</v>
      </c>
      <c r="E11" t="inlineStr">
        <is>
          <t>R1 y R4 dado que R2 está en paralelo con la fuente, R3 en circuito abierto y R5 cortocircuitada</t>
        </is>
      </c>
      <c r="F11" t="inlineStr">
        <is>
          <t>¿Consideró si el estado del interruptor entre N2 y N3 afecta el camino de corriente para R1, R2 y R4? Y ¿cómo influyen los estados de circuito abierto o cortocircuito de las otras resistencias al cálculo final del valor de la diferencia de potencial entre N2 y 0?</t>
        </is>
      </c>
      <c r="G11" t="n">
        <v>3</v>
      </c>
      <c r="H11" t="n">
        <v>5</v>
      </c>
      <c r="I11" t="n">
        <v>4</v>
      </c>
      <c r="J11" t="n">
        <v>5</v>
      </c>
      <c r="K11" t="n">
        <v>17</v>
      </c>
      <c r="L11" t="n">
        <v>0.729</v>
      </c>
      <c r="M11" t="n">
        <v>68</v>
      </c>
      <c r="N11" t="n">
        <v>82.3</v>
      </c>
      <c r="O11" t="inlineStr">
        <is>
          <t>AC1, AC6</t>
        </is>
      </c>
      <c r="P11" t="inlineStr">
        <is>
          <t>AC1, AC6, AC9</t>
        </is>
      </c>
      <c r="Q11" t="n">
        <v>0.667</v>
      </c>
      <c r="R11" t="n">
        <v>1</v>
      </c>
      <c r="S11" t="n">
        <v>0.8</v>
      </c>
      <c r="T11" t="inlineStr"/>
      <c r="U11" t="inlineStr"/>
      <c r="V11" t="inlineStr"/>
      <c r="W11"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12">
      <c r="A12" t="n">
        <v>53</v>
      </c>
      <c r="B12" t="n">
        <v>18</v>
      </c>
      <c r="C12" t="n">
        <v>2</v>
      </c>
      <c r="D12" t="n">
        <v>1</v>
      </c>
      <c r="E12" t="inlineStr">
        <is>
          <t>R1, R2 y R3 dado que R2 y R3 están en paralelo y forman un divisor de tensión con R1</t>
        </is>
      </c>
      <c r="F12" t="inlineStr">
        <is>
          <t>¿Podría ayudarme a entender cómo el divisor de dos ramas (R2, R3 paralelos y R1 paralelo con ellos) afecta el valor del voltaje entre N2 y tierra? ¿Cómo calcularía el voltaje efectivo ante el nodo N2 teniendo en cuenta los caminos separados para la corriente por R2 y R3?</t>
        </is>
      </c>
      <c r="G12" t="n">
        <v>3</v>
      </c>
      <c r="H12" t="n">
        <v>4</v>
      </c>
      <c r="I12" t="n">
        <v>5</v>
      </c>
      <c r="J12" t="n">
        <v>5</v>
      </c>
      <c r="K12" t="n">
        <v>17</v>
      </c>
      <c r="L12" t="n">
        <v>0.895</v>
      </c>
      <c r="M12" t="n">
        <v>70</v>
      </c>
      <c r="N12" t="n">
        <v>67.04000000000001</v>
      </c>
      <c r="O12" t="inlineStr">
        <is>
          <t>AC1, AC9</t>
        </is>
      </c>
      <c r="P12" t="inlineStr">
        <is>
          <t>AC1, AC9</t>
        </is>
      </c>
      <c r="Q12" t="n">
        <v>1</v>
      </c>
      <c r="R12" t="n">
        <v>1</v>
      </c>
      <c r="S12" t="n">
        <v>1</v>
      </c>
      <c r="T12" t="inlineStr"/>
      <c r="U12" t="inlineStr"/>
      <c r="V12" t="inlineStr"/>
      <c r="W12"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13">
      <c r="A13" t="n">
        <v>54</v>
      </c>
      <c r="B13" t="n">
        <v>18</v>
      </c>
      <c r="C13" t="n">
        <v>3</v>
      </c>
      <c r="D13" t="n">
        <v>1</v>
      </c>
      <c r="E13" t="inlineStr">
        <is>
          <t>R1, R2, R4 y R5 dado que R3 está en circuito abierto</t>
        </is>
      </c>
      <c r="F13" t="inlineStr">
        <is>
          <t>¿Consideró cómo el estado del interruptor entre N1/N2 y N3 afecta los caminos para R4, R5? Y ¿cómo influiría un circuito abierto de R3 en el voltaje total ante N2 comparado con una configuración donde R3 no estuviera cerrado?, considerando la presencia simultánea de R1, R2 (en paralelo) y R4/R5?.</t>
        </is>
      </c>
      <c r="G13" t="n">
        <v>1</v>
      </c>
      <c r="H13" t="n">
        <v>4</v>
      </c>
      <c r="I13" t="n">
        <v>4</v>
      </c>
      <c r="J13" t="n">
        <v>5</v>
      </c>
      <c r="K13" t="n">
        <v>14</v>
      </c>
      <c r="L13" t="n">
        <v>0.839</v>
      </c>
      <c r="M13" t="n">
        <v>82</v>
      </c>
      <c r="N13" t="n">
        <v>71.55</v>
      </c>
      <c r="O13" t="inlineStr">
        <is>
          <t>AC1, AC6</t>
        </is>
      </c>
      <c r="P13" t="inlineStr">
        <is>
          <t>AC1, AC9</t>
        </is>
      </c>
      <c r="Q13" t="n">
        <v>0.5</v>
      </c>
      <c r="R13" t="n">
        <v>0.5</v>
      </c>
      <c r="S13" t="n">
        <v>0.5</v>
      </c>
      <c r="T13" t="inlineStr"/>
      <c r="U13" t="inlineStr"/>
      <c r="V13" t="inlineStr"/>
      <c r="W13" t="inlineStr">
        <is>
          <t>Socraticidad 1/5 (Instructivo): No termina en pregunta; el tutor es instructivo. Precisión Conceptual 4/5 (Bueno): Bueno: identifica claramente la concepción alternativa con lenguaje técnico preciso. Buen desempeño general; hay margen de mejora en profundidad socrática.</t>
        </is>
      </c>
    </row>
    <row r="14">
      <c r="A14" t="n">
        <v>55</v>
      </c>
      <c r="B14" t="n">
        <v>19</v>
      </c>
      <c r="C14" t="n">
        <v>1</v>
      </c>
      <c r="D14" t="n">
        <v>1</v>
      </c>
      <c r="E14" t="inlineStr">
        <is>
          <t>R1, R2, R4 y R5 dado que R3 sobra</t>
        </is>
      </c>
      <c r="F14" t="inlineStr">
        <is>
          <t>¿Puedes confirmar si cada resistencia identificada está conectada de manera directa a V1 o tierra, contribuyendo así a la diferencia potencial entre N2 y 0? ¿Y cómo están los terminales del R5 con respecto a otros componentes en el circuito?</t>
        </is>
      </c>
      <c r="G14" t="n">
        <v>3</v>
      </c>
      <c r="H14" t="n">
        <v>2</v>
      </c>
      <c r="I14" t="n">
        <v>3</v>
      </c>
      <c r="J14" t="n">
        <v>5</v>
      </c>
      <c r="K14" t="n">
        <v>13</v>
      </c>
      <c r="L14" t="n">
        <v>0.759</v>
      </c>
      <c r="M14" t="n">
        <v>54</v>
      </c>
      <c r="N14" t="n">
        <v>79.08</v>
      </c>
      <c r="O14" t="inlineStr">
        <is>
          <t>AC1, AC6</t>
        </is>
      </c>
      <c r="P14" t="inlineStr">
        <is>
          <t>AC6, AC9</t>
        </is>
      </c>
      <c r="Q14" t="n">
        <v>0.5</v>
      </c>
      <c r="R14" t="n">
        <v>0.5</v>
      </c>
      <c r="S14" t="n">
        <v>0.5</v>
      </c>
      <c r="T14" t="inlineStr"/>
      <c r="U14" t="inlineStr"/>
      <c r="V14" t="inlineStr"/>
      <c r="W1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5">
      <c r="A15" t="n">
        <v>56</v>
      </c>
      <c r="B15" t="n">
        <v>19</v>
      </c>
      <c r="C15" t="n">
        <v>2</v>
      </c>
      <c r="D15" t="n">
        <v>1</v>
      </c>
      <c r="E15" t="inlineStr">
        <is>
          <t>R1, R2, R4 y R5 dado que R3 no hace nada</t>
        </is>
      </c>
      <c r="F15" t="inlineStr">
        <is>
          <t>¿El papel de R3 en el circuito es puramente pasivo, o está diseñado para evitar un cortocircuito potencial entre V1 y N2? ¿Cómo sugiere esto sobre la conexión u omisión del R3 dentro del diseño general del circuito?.</t>
        </is>
      </c>
      <c r="G15" t="n">
        <v>1</v>
      </c>
      <c r="H15" t="n">
        <v>2</v>
      </c>
      <c r="I15" t="n">
        <v>3</v>
      </c>
      <c r="J15" t="n">
        <v>5</v>
      </c>
      <c r="K15" t="n">
        <v>11</v>
      </c>
      <c r="L15" t="n">
        <v>0.6889999999999999</v>
      </c>
      <c r="M15" t="n">
        <v>56</v>
      </c>
      <c r="N15" t="n">
        <v>87.03</v>
      </c>
      <c r="O15" t="inlineStr">
        <is>
          <t>AC1, AC6</t>
        </is>
      </c>
      <c r="P15" t="inlineStr">
        <is>
          <t>AC1, AC6, AC9</t>
        </is>
      </c>
      <c r="Q15" t="n">
        <v>0.667</v>
      </c>
      <c r="R15" t="n">
        <v>1</v>
      </c>
      <c r="S15" t="n">
        <v>0.8</v>
      </c>
      <c r="T15" t="inlineStr"/>
      <c r="U15" t="inlineStr"/>
      <c r="V15" t="inlineStr"/>
      <c r="W15"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6">
      <c r="A16" t="n">
        <v>57</v>
      </c>
      <c r="B16" t="n">
        <v>19</v>
      </c>
      <c r="C16" t="n">
        <v>3</v>
      </c>
      <c r="D16" t="n">
        <v>1</v>
      </c>
      <c r="E16" t="inlineStr">
        <is>
          <t>R1, R2 y R4 dado que son las resistencias que forman parte del circuito.</t>
        </is>
      </c>
      <c r="F16" t="inlineStr">
        <is>
          <t>¿Podemos confirmar si los voltajes a través de R1, R2 y R4 son iguales o diferentes debido a sus posiciones distintas con respecto entre sí? ¿Y cómo estas variaciones podrían afectar el flujo total de corriente según Kirchhoff's Left-Hand Rule?.</t>
        </is>
      </c>
      <c r="G16" t="n">
        <v>1</v>
      </c>
      <c r="H16" t="n">
        <v>3</v>
      </c>
      <c r="I16" t="n">
        <v>5</v>
      </c>
      <c r="J16" t="n">
        <v>5</v>
      </c>
      <c r="K16" t="n">
        <v>14</v>
      </c>
      <c r="L16" t="n">
        <v>0.658</v>
      </c>
      <c r="M16" t="n">
        <v>55</v>
      </c>
      <c r="N16" t="n">
        <v>91.12</v>
      </c>
      <c r="O16" t="inlineStr"/>
      <c r="P16" t="inlineStr">
        <is>
          <t>AC1</t>
        </is>
      </c>
      <c r="Q16" t="n">
        <v>0</v>
      </c>
      <c r="R16" t="n">
        <v>1</v>
      </c>
      <c r="S16" t="n">
        <v>0</v>
      </c>
      <c r="T16" t="inlineStr"/>
      <c r="U16" t="inlineStr"/>
      <c r="V16" t="inlineStr"/>
      <c r="W16"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17">
      <c r="A17" t="n">
        <v>58</v>
      </c>
      <c r="B17" t="n">
        <v>20</v>
      </c>
      <c r="C17" t="n">
        <v>1</v>
      </c>
      <c r="D17" t="n">
        <v>1</v>
      </c>
      <c r="E17" t="inlineStr">
        <is>
          <t>R1, R2 y R4 dado que R2 y R4 están en paralelo y forma un divisor de tensión con R1.</t>
        </is>
      </c>
      <c r="F17" t="inlineStr">
        <is>
          <t>¿Puedes identificar qué sucede con el flujo de corriente a través de los componentes paralelos cuando hay dos terminales conectados directamente, como es el caso del R5 en este circuito? ¿Y cómo afecta esto a las resistencias restantes (R1, R2 y R4) que están configuradas para determinar la diferencia de potencial entre N2 y 0?</t>
        </is>
      </c>
      <c r="G17" t="n">
        <v>3</v>
      </c>
      <c r="H17" t="n">
        <v>5</v>
      </c>
      <c r="I17" t="n">
        <v>5</v>
      </c>
      <c r="J17" t="n">
        <v>5</v>
      </c>
      <c r="K17" t="n">
        <v>18</v>
      </c>
      <c r="L17" t="n">
        <v>1.333</v>
      </c>
      <c r="M17" t="n">
        <v>75</v>
      </c>
      <c r="N17" t="n">
        <v>45.03</v>
      </c>
      <c r="O17" t="inlineStr"/>
      <c r="P17" t="inlineStr">
        <is>
          <t>AC1, AC6, AC9</t>
        </is>
      </c>
      <c r="Q17" t="n">
        <v>0</v>
      </c>
      <c r="R17" t="n">
        <v>1</v>
      </c>
      <c r="S17" t="n">
        <v>0</v>
      </c>
      <c r="T17" t="inlineStr"/>
      <c r="U17" t="inlineStr"/>
      <c r="V17" t="inlineStr"/>
      <c r="W17"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18">
      <c r="A18" t="n">
        <v>59</v>
      </c>
      <c r="B18" t="n">
        <v>20</v>
      </c>
      <c r="C18" t="n">
        <v>2</v>
      </c>
      <c r="D18" t="n">
        <v>1</v>
      </c>
      <c r="E18" t="inlineStr">
        <is>
          <t>R1, R2 y R4 dado que R3 está en abierto y R5 cortocircuitada</t>
        </is>
      </c>
      <c r="F18" t="inlineStr">
        <is>
          <t>¿Considerando el estado de un divisor paralelo con dos terminales directamente conectados, cómo se comparan las contribuciones individuales del flujo de corriente a través de R1 y R4 versus R2? Y qué efecto esto tiene sobre los voltajes experimentados por cada una de estas resistencias (R1, R2, R4) en el contexto de su papel como determinantes para la diferencia potencial entre N2 y 0?</t>
        </is>
      </c>
      <c r="G18" t="n">
        <v>3</v>
      </c>
      <c r="H18" t="n">
        <v>3</v>
      </c>
      <c r="I18" t="n">
        <v>3</v>
      </c>
      <c r="J18" t="n">
        <v>5</v>
      </c>
      <c r="K18" t="n">
        <v>14</v>
      </c>
      <c r="L18" t="n">
        <v>1.005</v>
      </c>
      <c r="M18" t="n">
        <v>90</v>
      </c>
      <c r="N18" t="n">
        <v>59.71</v>
      </c>
      <c r="O18" t="inlineStr">
        <is>
          <t>AC1, AC6</t>
        </is>
      </c>
      <c r="P18" t="inlineStr">
        <is>
          <t>AC1, AC6, AC9</t>
        </is>
      </c>
      <c r="Q18" t="n">
        <v>0.667</v>
      </c>
      <c r="R18" t="n">
        <v>1</v>
      </c>
      <c r="S18" t="n">
        <v>0.8</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60</v>
      </c>
      <c r="B19" t="n">
        <v>20</v>
      </c>
      <c r="C19" t="n">
        <v>3</v>
      </c>
      <c r="D19" t="n">
        <v>1</v>
      </c>
      <c r="E19" t="inlineStr">
        <is>
          <t>R1, R2 y R4 dado que solo por estas resistencias circula una corriente diferente de cero</t>
        </is>
      </c>
      <c r="F19" t="inlineStr">
        <is>
          <t>Si se considera el estado del divisor paralelo con los dos terminales directamente conectados, ¿cómo podría afectar esto a la corriente individual y flujo total de las resistencias R1, R2 y R4 dentro del circuito? Y cuál es la implicación probable para sus funciones como determinantes de potencial entre N2 y 0?</t>
        </is>
      </c>
      <c r="G19" t="n">
        <v>3</v>
      </c>
      <c r="H19" t="n">
        <v>5</v>
      </c>
      <c r="I19" t="n">
        <v>5</v>
      </c>
      <c r="J19" t="n">
        <v>5</v>
      </c>
      <c r="K19" t="n">
        <v>18</v>
      </c>
      <c r="L19" t="n">
        <v>0.947</v>
      </c>
      <c r="M19" t="n">
        <v>68</v>
      </c>
      <c r="N19" t="n">
        <v>63.39</v>
      </c>
      <c r="O19" t="inlineStr"/>
      <c r="P19" t="inlineStr">
        <is>
          <t>AC1, AC6, AC9</t>
        </is>
      </c>
      <c r="Q19" t="n">
        <v>0</v>
      </c>
      <c r="R19" t="n">
        <v>1</v>
      </c>
      <c r="S19" t="n">
        <v>0</v>
      </c>
      <c r="T19" t="inlineStr"/>
      <c r="U19" t="inlineStr"/>
      <c r="V19" t="inlineStr"/>
      <c r="W19"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20">
      <c r="A20" t="n">
        <v>61</v>
      </c>
      <c r="B20" t="n">
        <v>21</v>
      </c>
      <c r="C20" t="n">
        <v>1</v>
      </c>
      <c r="D20" t="n">
        <v>1</v>
      </c>
      <c r="E20" t="inlineStr">
        <is>
          <t>R1, R2 y R4 dado que por R3 y por R5 no circula corriente</t>
        </is>
      </c>
      <c r="F20" t="inlineStr">
        <is>
          <t>¿Puedes confirmar si el flujo de corriente atraviesa las resistencias R3 y R5, o existen condiciones particulares en otras partes del circuito que impidan su participación en la diferencia de potencial entre N2 y 0?</t>
        </is>
      </c>
      <c r="G20" t="n">
        <v>3</v>
      </c>
      <c r="H20" t="n">
        <v>3</v>
      </c>
      <c r="I20" t="n">
        <v>3</v>
      </c>
      <c r="J20" t="n">
        <v>5</v>
      </c>
      <c r="K20" t="n">
        <v>14</v>
      </c>
      <c r="L20" t="n">
        <v>0.898</v>
      </c>
      <c r="M20" t="n">
        <v>46</v>
      </c>
      <c r="N20" t="n">
        <v>66.8</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62</v>
      </c>
      <c r="B21" t="n">
        <v>21</v>
      </c>
      <c r="C21" t="n">
        <v>2</v>
      </c>
      <c r="D21" t="n">
        <v>1</v>
      </c>
      <c r="E21" t="inlineStr">
        <is>
          <t>R1, R2 y R4 dado que R3 y R5 se pueden quitar</t>
        </is>
      </c>
      <c r="F21" t="inlineStr">
        <is>
          <t>¿El circuito está configurado de tal manera que omitir las conexiones de R3 y R5 resulte en un flujo paralelo o serie exclusivo para R1, R2 y R4, impidiendo así el camino del corriente a través de R3 y R5?</t>
        </is>
      </c>
      <c r="G21" t="n">
        <v>3</v>
      </c>
      <c r="H21" t="n">
        <v>3</v>
      </c>
      <c r="I21" t="n">
        <v>5</v>
      </c>
      <c r="J21" t="n">
        <v>5</v>
      </c>
      <c r="K21" t="n">
        <v>16</v>
      </c>
      <c r="L21" t="n">
        <v>0.677</v>
      </c>
      <c r="M21" t="n">
        <v>55</v>
      </c>
      <c r="N21" t="n">
        <v>88.56</v>
      </c>
      <c r="O21" t="inlineStr">
        <is>
          <t>AC1, AC6</t>
        </is>
      </c>
      <c r="P21" t="inlineStr">
        <is>
          <t>AC1, AC9</t>
        </is>
      </c>
      <c r="Q21" t="n">
        <v>0.5</v>
      </c>
      <c r="R21" t="n">
        <v>0.5</v>
      </c>
      <c r="S21" t="n">
        <v>0.5</v>
      </c>
      <c r="T21" t="inlineStr"/>
      <c r="U21" t="inlineStr"/>
      <c r="V21" t="inlineStr"/>
      <c r="W2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2">
      <c r="A22" t="n">
        <v>63</v>
      </c>
      <c r="B22" t="n">
        <v>21</v>
      </c>
      <c r="C22" t="n">
        <v>3</v>
      </c>
      <c r="D22" t="n">
        <v>1</v>
      </c>
      <c r="E22" t="inlineStr">
        <is>
          <t>R1, R2 y R4 dado que R3 y R5 no influyen para nada en la diferencia de potencial que se pide</t>
        </is>
      </c>
      <c r="F22" t="inlineStr">
        <is>
          <t>¿El circuito está configurado solo con series o paralelos entre R1, R2 y R4, excluyendo efectivamente las contribuciones de R3 y R5 a la diferencia de potencial requerida?</t>
        </is>
      </c>
      <c r="G22" t="n">
        <v>3</v>
      </c>
      <c r="H22" t="n">
        <v>3</v>
      </c>
      <c r="I22" t="n">
        <v>5</v>
      </c>
      <c r="J22" t="n">
        <v>5</v>
      </c>
      <c r="K22" t="n">
        <v>16</v>
      </c>
      <c r="L22" t="n">
        <v>0.656</v>
      </c>
      <c r="M22" t="n">
        <v>43</v>
      </c>
      <c r="N22" t="n">
        <v>91.52</v>
      </c>
      <c r="O22" t="inlineStr">
        <is>
          <t>AC1, AC6</t>
        </is>
      </c>
      <c r="P22" t="inlineStr">
        <is>
          <t>AC9</t>
        </is>
      </c>
      <c r="Q22" t="n">
        <v>0</v>
      </c>
      <c r="R22" t="n">
        <v>0</v>
      </c>
      <c r="S22" t="n">
        <v>0</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64</v>
      </c>
      <c r="B23" t="n">
        <v>22</v>
      </c>
      <c r="C23" t="n">
        <v>1</v>
      </c>
      <c r="D23" t="n">
        <v>1</v>
      </c>
      <c r="E23" t="inlineStr">
        <is>
          <t>R1, R2 y R4 dado que R3 y R5 sobran</t>
        </is>
      </c>
      <c r="F23" t="inlineStr">
        <is>
          <t>¿Puedes verificar qué sucede con el flujo de corriente a través de los interruptores abiertos, y cómo afecta eso a las resistencias R3 y R5? ¿Qué pasa con la contribución individual de cada resistencia desde N2 hasta tierra?</t>
        </is>
      </c>
      <c r="G23" t="n">
        <v>4</v>
      </c>
      <c r="H23" t="n">
        <v>4</v>
      </c>
      <c r="I23" t="n">
        <v>3</v>
      </c>
      <c r="J23" t="n">
        <v>5</v>
      </c>
      <c r="K23" t="n">
        <v>16</v>
      </c>
      <c r="L23" t="n">
        <v>0.804</v>
      </c>
      <c r="M23" t="n">
        <v>50</v>
      </c>
      <c r="N23" t="n">
        <v>74.64</v>
      </c>
      <c r="O23" t="inlineStr">
        <is>
          <t>AC1, AC6</t>
        </is>
      </c>
      <c r="P23" t="inlineStr">
        <is>
          <t>AC1, AC9</t>
        </is>
      </c>
      <c r="Q23" t="n">
        <v>0.5</v>
      </c>
      <c r="R23" t="n">
        <v>0.5</v>
      </c>
      <c r="S23" t="n">
        <v>0.5</v>
      </c>
      <c r="T23" t="inlineStr"/>
      <c r="U23" t="inlineStr"/>
      <c r="V23" t="inlineStr"/>
      <c r="W23"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4">
      <c r="A24" t="n">
        <v>65</v>
      </c>
      <c r="B24" t="n">
        <v>22</v>
      </c>
      <c r="C24" t="n">
        <v>2</v>
      </c>
      <c r="D24" t="n">
        <v>1</v>
      </c>
      <c r="E24" t="inlineStr">
        <is>
          <t>R1, R2 y R4 dado que R3 sobra</t>
        </is>
      </c>
      <c r="F24" t="inlineStr">
        <is>
          <t>¿Puedes deducir qué ocurre con el camino de corriente debido a los interruptores abiertos, y cómo influye esto en las variaciones del voltaje detectado entre N1-N3 y tierra? ¿Cómo se relacionan estas variables con la presencia o ausencia de R4 en el circuito?.</t>
        </is>
      </c>
      <c r="G24" t="n">
        <v>1</v>
      </c>
      <c r="H24" t="n">
        <v>4</v>
      </c>
      <c r="I24" t="n">
        <v>3</v>
      </c>
      <c r="J24" t="n">
        <v>5</v>
      </c>
      <c r="K24" t="n">
        <v>13</v>
      </c>
      <c r="L24" t="n">
        <v>0.958</v>
      </c>
      <c r="M24" t="n">
        <v>61</v>
      </c>
      <c r="N24" t="n">
        <v>62.64</v>
      </c>
      <c r="O24" t="inlineStr">
        <is>
          <t>AC1</t>
        </is>
      </c>
      <c r="P24" t="inlineStr">
        <is>
          <t>AC1, AC9</t>
        </is>
      </c>
      <c r="Q24" t="n">
        <v>0.5</v>
      </c>
      <c r="R24" t="n">
        <v>1</v>
      </c>
      <c r="S24" t="n">
        <v>0.667</v>
      </c>
      <c r="T24" t="inlineStr"/>
      <c r="U24" t="inlineStr"/>
      <c r="V24" t="inlineStr"/>
      <c r="W24" t="inlineStr">
        <is>
          <t>Socraticidad 1/5 (Instructivo): No termina en pregunta; el tutor es instructivo. Precisión Conceptual 4/5 (Bueno): Bueno: identifica claramente la concepción alternativa con lenguaje técnico preciso. Buen desempeño general; hay margen de mejora en profundidad socrática.</t>
        </is>
      </c>
    </row>
    <row r="25">
      <c r="A25" t="n">
        <v>66</v>
      </c>
      <c r="B25" t="n">
        <v>22</v>
      </c>
      <c r="C25" t="n">
        <v>3</v>
      </c>
      <c r="D25" t="n">
        <v>1</v>
      </c>
      <c r="E25" t="inlineStr">
        <is>
          <t>R1, R2 y R4 dado que R5 sobra</t>
        </is>
      </c>
      <c r="F25" t="inlineStr">
        <is>
          <t>¿Puedes evaluar el papel de los interruptores abiertos con respecto a las variaciones del voltaje detectado entre N1-N3 y tierra, considerando la presencia o ausencia de R5? ¿Cómo influye esto en la contribución individual para R4 dentro del circuito?.</t>
        </is>
      </c>
      <c r="G25" t="n">
        <v>1</v>
      </c>
      <c r="H25" t="n">
        <v>3</v>
      </c>
      <c r="I25" t="n">
        <v>3</v>
      </c>
      <c r="J25" t="n">
        <v>5</v>
      </c>
      <c r="K25" t="n">
        <v>12</v>
      </c>
      <c r="L25" t="n">
        <v>0.6889999999999999</v>
      </c>
      <c r="M25" t="n">
        <v>56</v>
      </c>
      <c r="N25" t="n">
        <v>87.13</v>
      </c>
      <c r="O25" t="inlineStr">
        <is>
          <t>AC6</t>
        </is>
      </c>
      <c r="P25" t="inlineStr">
        <is>
          <t>AC1, AC9</t>
        </is>
      </c>
      <c r="Q25" t="n">
        <v>0</v>
      </c>
      <c r="R25" t="n">
        <v>0</v>
      </c>
      <c r="S25" t="n">
        <v>0</v>
      </c>
      <c r="T25" t="inlineStr"/>
      <c r="U25" t="inlineStr"/>
      <c r="V25" t="inlineStr"/>
      <c r="W25"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26">
      <c r="A26" t="n">
        <v>67</v>
      </c>
      <c r="B26" t="n">
        <v>23</v>
      </c>
      <c r="C26" t="n">
        <v>1</v>
      </c>
      <c r="D26" t="n">
        <v>1</v>
      </c>
      <c r="E26" t="inlineStr">
        <is>
          <t>R1, R2 y R4 dado que R3 está en abierto</t>
        </is>
      </c>
      <c r="F26" t="inlineStr">
        <is>
          <t>¿Puede confirmar si el estado del interruptor entre N2 y N3 impide corriente de pasar, potencialmente afectando qué componentes contribuyen a la diferencia de potencial?</t>
        </is>
      </c>
      <c r="G26" t="n">
        <v>3</v>
      </c>
      <c r="H26" t="n">
        <v>4</v>
      </c>
      <c r="I26" t="n">
        <v>3</v>
      </c>
      <c r="J26" t="n">
        <v>5</v>
      </c>
      <c r="K26" t="n">
        <v>15</v>
      </c>
      <c r="L26" t="n">
        <v>0.617</v>
      </c>
      <c r="M26" t="n">
        <v>36</v>
      </c>
      <c r="N26" t="n">
        <v>97.20999999999999</v>
      </c>
      <c r="O26" t="inlineStr">
        <is>
          <t>AC1</t>
        </is>
      </c>
      <c r="P26" t="inlineStr">
        <is>
          <t>AC1</t>
        </is>
      </c>
      <c r="Q26" t="n">
        <v>1</v>
      </c>
      <c r="R26" t="n">
        <v>1</v>
      </c>
      <c r="S26" t="n">
        <v>1</v>
      </c>
      <c r="T26" t="inlineStr"/>
      <c r="U26" t="inlineStr"/>
      <c r="V26" t="inlineStr"/>
      <c r="W2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7">
      <c r="A27" t="n">
        <v>68</v>
      </c>
      <c r="B27" t="n">
        <v>23</v>
      </c>
      <c r="C27" t="n">
        <v>2</v>
      </c>
      <c r="D27" t="n">
        <v>1</v>
      </c>
      <c r="E27" t="inlineStr">
        <is>
          <t>R1, R2 y R4 dado que  R5 cortocircuitada</t>
        </is>
      </c>
      <c r="F27" t="inlineStr">
        <is>
          <t>¿Podría el estado de R5 como un cortocircuito estar influyendo en su cálculo, haciendo que otros componentes (R1, R2 o R4) contribuyan a una diferencia de potencial diferente del esperado?</t>
        </is>
      </c>
      <c r="G27" t="n">
        <v>3</v>
      </c>
      <c r="H27" t="n">
        <v>3</v>
      </c>
      <c r="I27" t="n">
        <v>4</v>
      </c>
      <c r="J27" t="n">
        <v>5</v>
      </c>
      <c r="K27" t="n">
        <v>15</v>
      </c>
      <c r="L27" t="n">
        <v>0.698</v>
      </c>
      <c r="M27" t="n">
        <v>47</v>
      </c>
      <c r="N27" t="n">
        <v>85.92</v>
      </c>
      <c r="O27" t="inlineStr">
        <is>
          <t>AC6</t>
        </is>
      </c>
      <c r="P27" t="inlineStr">
        <is>
          <t>AC6</t>
        </is>
      </c>
      <c r="Q27" t="n">
        <v>1</v>
      </c>
      <c r="R27" t="n">
        <v>1</v>
      </c>
      <c r="S27" t="n">
        <v>1</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69</v>
      </c>
      <c r="B28" t="n">
        <v>23</v>
      </c>
      <c r="C28" t="n">
        <v>3</v>
      </c>
      <c r="D28" t="n">
        <v>1</v>
      </c>
      <c r="E28" t="inlineStr">
        <is>
          <t>R1, R2 y R4 dado que por R3 no circula corriente</t>
        </is>
      </c>
      <c r="F28" t="inlineStr">
        <is>
          <t>¿El estado abierto de R3 sugiere una ausencia total de resistencia, o hay otros factores a considerar para determinar el flujo de corriente a través de los componentes R1, R2 y R4?</t>
        </is>
      </c>
      <c r="G28" t="n">
        <v>3</v>
      </c>
      <c r="H28" t="n">
        <v>3</v>
      </c>
      <c r="I28" t="n">
        <v>5</v>
      </c>
      <c r="J28" t="n">
        <v>5</v>
      </c>
      <c r="K28" t="n">
        <v>16</v>
      </c>
      <c r="L28" t="n">
        <v>0.713</v>
      </c>
      <c r="M28" t="n">
        <v>43</v>
      </c>
      <c r="N28" t="n">
        <v>84.11</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70</v>
      </c>
      <c r="B29" t="n">
        <v>24</v>
      </c>
      <c r="C29" t="n">
        <v>1</v>
      </c>
      <c r="D29" t="n">
        <v>1</v>
      </c>
      <c r="E29" t="inlineStr">
        <is>
          <t>R1, R2 y R4 dado que por  R5 no circula corriente</t>
        </is>
      </c>
      <c r="F29" t="inlineStr">
        <is>
          <t>¿Puedes explicar qué sucede con el flujo de corriente a través de R3, considerando la posición del interruptor entre N2 y N3?</t>
        </is>
      </c>
      <c r="G29" t="n">
        <v>3</v>
      </c>
      <c r="H29" t="n">
        <v>3</v>
      </c>
      <c r="I29" t="n">
        <v>3</v>
      </c>
      <c r="J29" t="n">
        <v>5</v>
      </c>
      <c r="K29" t="n">
        <v>14</v>
      </c>
      <c r="L29" t="n">
        <v>0.672</v>
      </c>
      <c r="M29" t="n">
        <v>30</v>
      </c>
      <c r="N29" t="n">
        <v>89.34</v>
      </c>
      <c r="O29" t="inlineStr">
        <is>
          <t>AC6</t>
        </is>
      </c>
      <c r="P29" t="inlineStr">
        <is>
          <t>AC1</t>
        </is>
      </c>
      <c r="Q29" t="n">
        <v>0</v>
      </c>
      <c r="R29" t="n">
        <v>0</v>
      </c>
      <c r="S29" t="n">
        <v>0</v>
      </c>
      <c r="T29" t="inlineStr"/>
      <c r="U29" t="inlineStr"/>
      <c r="V29" t="inlineStr"/>
      <c r="W29"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30">
      <c r="A30" t="n">
        <v>71</v>
      </c>
      <c r="B30" t="n">
        <v>24</v>
      </c>
      <c r="C30" t="n">
        <v>2</v>
      </c>
      <c r="D30" t="n">
        <v>1</v>
      </c>
      <c r="E30" t="inlineStr">
        <is>
          <t>R1, R2 y R4 dado que R3 se puede quitar</t>
        </is>
      </c>
      <c r="F30" t="inlineStr">
        <is>
          <t>Si el flujo de corriente a través de R5 es cero, ¿cuál sería entonces el estado del circuito si R3 se desconecta? Estaría N1 y R4 aún recibiendo corriente o hay otro escenario posible?</t>
        </is>
      </c>
      <c r="G30" t="n">
        <v>3</v>
      </c>
      <c r="H30" t="n">
        <v>2</v>
      </c>
      <c r="I30" t="n">
        <v>4</v>
      </c>
      <c r="J30" t="n">
        <v>5</v>
      </c>
      <c r="K30" t="n">
        <v>14</v>
      </c>
      <c r="L30" t="n">
        <v>0.8</v>
      </c>
      <c r="M30" t="n">
        <v>48</v>
      </c>
      <c r="N30" t="n">
        <v>74.98999999999999</v>
      </c>
      <c r="O30" t="inlineStr">
        <is>
          <t>AC1</t>
        </is>
      </c>
      <c r="P30" t="inlineStr">
        <is>
          <t>AC1</t>
        </is>
      </c>
      <c r="Q30" t="n">
        <v>1</v>
      </c>
      <c r="R30" t="n">
        <v>1</v>
      </c>
      <c r="S30" t="n">
        <v>1</v>
      </c>
      <c r="T30" t="inlineStr"/>
      <c r="U30" t="inlineStr"/>
      <c r="V30" t="inlineStr"/>
      <c r="W3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1">
      <c r="A31" t="n">
        <v>72</v>
      </c>
      <c r="B31" t="n">
        <v>24</v>
      </c>
      <c r="C31" t="n">
        <v>3</v>
      </c>
      <c r="D31" t="n">
        <v>1</v>
      </c>
      <c r="E31" t="inlineStr">
        <is>
          <t>R1, R2 y R4 dado que R5 se puede quitar</t>
        </is>
      </c>
      <c r="F31" t="inlineStr">
        <is>
          <t>Si el flujo de corriente a través de R5 es eliminado eliminando R3, ¿podría aún haber un camino para el flujo de corriente pasando por R1, R2 y R4? Estaría considerando si los interruptores N1, N2 y N3 están configurados correctamente?</t>
        </is>
      </c>
      <c r="G31" t="n">
        <v>3</v>
      </c>
      <c r="H31" t="n">
        <v>3</v>
      </c>
      <c r="I31" t="n">
        <v>4</v>
      </c>
      <c r="J31" t="n">
        <v>5</v>
      </c>
      <c r="K31" t="n">
        <v>15</v>
      </c>
      <c r="L31" t="n">
        <v>0.73</v>
      </c>
      <c r="M31" t="n">
        <v>61</v>
      </c>
      <c r="N31" t="n">
        <v>82.22</v>
      </c>
      <c r="O31" t="inlineStr">
        <is>
          <t>AC6</t>
        </is>
      </c>
      <c r="P31" t="inlineStr">
        <is>
          <t>AC1, AC9</t>
        </is>
      </c>
      <c r="Q31" t="n">
        <v>0</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73</v>
      </c>
      <c r="B32" t="n">
        <v>25</v>
      </c>
      <c r="C32" t="n">
        <v>1</v>
      </c>
      <c r="D32" t="n">
        <v>1</v>
      </c>
      <c r="E32" t="inlineStr">
        <is>
          <t>R1, R2 y R4 dado que R3 no influye para nada en la diferencia de potencial que se pide</t>
        </is>
      </c>
      <c r="F32" t="inlineStr">
        <is>
          <t>¿Puede verificar si cada resistencia identificada contribuye a la corriente entre N2 y tierra, o hay alguna que esté aislada de esa ruta debido a su posición relativa u otro componente?</t>
        </is>
      </c>
      <c r="G32" t="n">
        <v>3</v>
      </c>
      <c r="H32" t="n">
        <v>3</v>
      </c>
      <c r="I32" t="n">
        <v>3</v>
      </c>
      <c r="J32" t="n">
        <v>5</v>
      </c>
      <c r="K32" t="n">
        <v>14</v>
      </c>
      <c r="L32" t="n">
        <v>0.861</v>
      </c>
      <c r="M32" t="n">
        <v>39</v>
      </c>
      <c r="N32" t="n">
        <v>69.66</v>
      </c>
      <c r="O32" t="inlineStr">
        <is>
          <t>AC1</t>
        </is>
      </c>
      <c r="P32" t="inlineStr">
        <is>
          <t>AC1, AC9</t>
        </is>
      </c>
      <c r="Q32" t="n">
        <v>0.5</v>
      </c>
      <c r="R32" t="n">
        <v>1</v>
      </c>
      <c r="S32" t="n">
        <v>0.667</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74</v>
      </c>
      <c r="B33" t="n">
        <v>25</v>
      </c>
      <c r="C33" t="n">
        <v>2</v>
      </c>
      <c r="D33" t="n">
        <v>1</v>
      </c>
      <c r="E33" t="inlineStr">
        <is>
          <t>R1, R2 y R4 dado que R5 no influye para nada en la diferencia de potencial que se pide</t>
        </is>
      </c>
      <c r="F33" t="inlineStr">
        <is>
          <t>¿Pudieron confirmar qué sucedió con R3 en el circuito, si bien R1, R2 y R4 son relevantes para la diferencia de potencial entre N2 y tierra?</t>
        </is>
      </c>
      <c r="G33" t="n">
        <v>3</v>
      </c>
      <c r="H33" t="n">
        <v>2</v>
      </c>
      <c r="I33" t="n">
        <v>4</v>
      </c>
      <c r="J33" t="n">
        <v>5</v>
      </c>
      <c r="K33" t="n">
        <v>14</v>
      </c>
      <c r="L33" t="n">
        <v>0.595</v>
      </c>
      <c r="M33" t="n">
        <v>39</v>
      </c>
      <c r="N33" t="n">
        <v>100.78</v>
      </c>
      <c r="O33" t="inlineStr">
        <is>
          <t>AC6</t>
        </is>
      </c>
      <c r="P33" t="inlineStr">
        <is>
          <t>AC9</t>
        </is>
      </c>
      <c r="Q33" t="n">
        <v>0</v>
      </c>
      <c r="R33" t="n">
        <v>0</v>
      </c>
      <c r="S33" t="n">
        <v>0</v>
      </c>
      <c r="T33" t="inlineStr"/>
      <c r="U33" t="inlineStr"/>
      <c r="V33" t="inlineStr"/>
      <c r="W3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4">
      <c r="A34" t="n">
        <v>75</v>
      </c>
      <c r="B34" t="n">
        <v>25</v>
      </c>
      <c r="C34" t="n">
        <v>3</v>
      </c>
      <c r="D34" t="n">
        <v>1</v>
      </c>
      <c r="E34" t="inlineStr">
        <is>
          <t>No lo sé</t>
        </is>
      </c>
      <c r="F34" t="inlineStr">
        <is>
          <t>¿Podría identificar qué efecto tendría el conocimiento del valor de R3 sobre nuestra estimación actual para la diferencia de potencial entre N2 y tierra?</t>
        </is>
      </c>
      <c r="G34" t="n">
        <v>3</v>
      </c>
      <c r="H34" t="n">
        <v>2</v>
      </c>
      <c r="I34" t="n">
        <v>2</v>
      </c>
      <c r="J34" t="n">
        <v>5</v>
      </c>
      <c r="K34" t="n">
        <v>12</v>
      </c>
      <c r="L34" t="n">
        <v>0.643</v>
      </c>
      <c r="M34" t="n">
        <v>31</v>
      </c>
      <c r="N34" t="n">
        <v>93.31999999999999</v>
      </c>
      <c r="O34" t="inlineStr">
        <is>
          <t>AC9</t>
        </is>
      </c>
      <c r="P34" t="inlineStr">
        <is>
          <t>AC1, AC9</t>
        </is>
      </c>
      <c r="Q34" t="n">
        <v>0.5</v>
      </c>
      <c r="R34" t="n">
        <v>1</v>
      </c>
      <c r="S34" t="n">
        <v>0.667</v>
      </c>
      <c r="T34" t="inlineStr"/>
      <c r="U34" t="inlineStr"/>
      <c r="V34" t="inlineStr"/>
      <c r="W34" t="inlineStr">
        <is>
          <t>Socraticidad 3/5 (Clarificación): Pregunta genérica: pide clarificación sin atacar la raíz del error. Precisión Conceptual 2/5 (Pobre): Pobre: responde de forma genérica sin diagnosticar el error conceptual. Desempeño aceptable; necesita mejorar precisión o metodología socrática.</t>
        </is>
      </c>
    </row>
    <row r="35">
      <c r="A35" t="n">
        <v>76</v>
      </c>
      <c r="B35" t="n">
        <v>26</v>
      </c>
      <c r="C35" t="n">
        <v>1</v>
      </c>
      <c r="D35" t="n">
        <v>1</v>
      </c>
      <c r="E35" t="inlineStr">
        <is>
          <t>Todas las resistencias</t>
        </is>
      </c>
      <c r="F35" t="inlineStr">
        <is>
          <t>¿Consideras que el estado del interruptor entre N2 y N3 afecta a qué componentes se distribuye el flujo de corriente, contribuyendo así a la diferencia de potencial? Y, ¿hay algún componente cuya configuración impedirá su participación efectiva en esta ruta de voltaje?</t>
        </is>
      </c>
      <c r="G35" t="n">
        <v>3</v>
      </c>
      <c r="H35" t="n">
        <v>3</v>
      </c>
      <c r="I35" t="n">
        <v>2</v>
      </c>
      <c r="J35" t="n">
        <v>5</v>
      </c>
      <c r="K35" t="n">
        <v>13</v>
      </c>
      <c r="L35" t="n">
        <v>4.53</v>
      </c>
      <c r="M35" t="n">
        <v>57</v>
      </c>
      <c r="N35" t="n">
        <v>13.25</v>
      </c>
      <c r="O35" t="inlineStr">
        <is>
          <t>AC9</t>
        </is>
      </c>
      <c r="P35" t="inlineStr">
        <is>
          <t>AC1</t>
        </is>
      </c>
      <c r="Q35" t="n">
        <v>0</v>
      </c>
      <c r="R35" t="n">
        <v>0</v>
      </c>
      <c r="S35" t="n">
        <v>0</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77</v>
      </c>
      <c r="B36" t="n">
        <v>26</v>
      </c>
      <c r="C36" t="n">
        <v>2</v>
      </c>
      <c r="D36" t="n">
        <v>1</v>
      </c>
      <c r="E36" t="inlineStr">
        <is>
          <t>R1 y R2</t>
        </is>
      </c>
      <c r="F36" t="inlineStr">
        <is>
          <t>¿La presencia simultánea del interruptor N1 con R1, ¿afecta fundamentalmente el flujo de corriente a través de R2 y alteraría su contribución al circuito? Y, ¿hay un componente cuya ausencia impediría efectivamente que R3 participe plenamente en la ruta del voltaje?</t>
        </is>
      </c>
      <c r="G36" t="n">
        <v>3</v>
      </c>
      <c r="H36" t="n">
        <v>3</v>
      </c>
      <c r="I36" t="n">
        <v>2</v>
      </c>
      <c r="J36" t="n">
        <v>5</v>
      </c>
      <c r="K36" t="n">
        <v>13</v>
      </c>
      <c r="L36" t="n">
        <v>1.128</v>
      </c>
      <c r="M36" t="n">
        <v>62</v>
      </c>
      <c r="N36" t="n">
        <v>53.21</v>
      </c>
      <c r="O36" t="inlineStr">
        <is>
          <t>AC9</t>
        </is>
      </c>
      <c r="P36" t="inlineStr">
        <is>
          <t>AC1</t>
        </is>
      </c>
      <c r="Q36" t="n">
        <v>0</v>
      </c>
      <c r="R36" t="n">
        <v>0</v>
      </c>
      <c r="S36" t="n">
        <v>0</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78</v>
      </c>
      <c r="B37" t="n">
        <v>26</v>
      </c>
      <c r="C37" t="n">
        <v>3</v>
      </c>
      <c r="D37" t="n">
        <v>1</v>
      </c>
      <c r="E37" t="inlineStr">
        <is>
          <t>R1, R2 y R4</t>
        </is>
      </c>
      <c r="F37" t="inlineStr">
        <is>
          <t>¿Al considerar los caminos abiertos de flujo a través de R1, R2 y el camino paralelo con R3, ¿podría suponerse erróneamente que R4 también está participando activamente en el circuito? Y, ¿hay algún componente cuya inclusión podría sugerir erroneamente la presencia del cortocircuito entre R2 y R3?</t>
        </is>
      </c>
      <c r="G37" t="n">
        <v>3</v>
      </c>
      <c r="H37" t="n">
        <v>4</v>
      </c>
      <c r="I37" t="n">
        <v>2</v>
      </c>
      <c r="J37" t="n">
        <v>5</v>
      </c>
      <c r="K37" t="n">
        <v>14</v>
      </c>
      <c r="L37" t="n">
        <v>1.043</v>
      </c>
      <c r="M37" t="n">
        <v>75</v>
      </c>
      <c r="N37" t="n">
        <v>57.53</v>
      </c>
      <c r="O37" t="inlineStr"/>
      <c r="P37" t="inlineStr">
        <is>
          <t>AC1, AC6, AC9</t>
        </is>
      </c>
      <c r="Q37" t="n">
        <v>0</v>
      </c>
      <c r="R37" t="n">
        <v>1</v>
      </c>
      <c r="S37" t="n">
        <v>0</v>
      </c>
      <c r="T37" t="inlineStr"/>
      <c r="U37" t="inlineStr"/>
      <c r="V37" t="inlineStr"/>
      <c r="W3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8">
      <c r="A38" t="n">
        <v>79</v>
      </c>
      <c r="B38" t="n">
        <v>27</v>
      </c>
      <c r="C38" t="n">
        <v>1</v>
      </c>
      <c r="D38" t="n">
        <v>1</v>
      </c>
      <c r="E38" t="inlineStr">
        <is>
          <t>R1, R2, R4 y R5</t>
        </is>
      </c>
      <c r="F38" t="inlineStr">
        <is>
          <t>¿Considera el estado del interruptor entre N2 y N3 cuando determina qué resistencias contribuyen a la diferencia de potencial? ¿Y cuál es el impacto de un circuito abierto o cortocircuito sobre las corrientes que fluye por cada resistencia?</t>
        </is>
      </c>
      <c r="G38" t="n">
        <v>3</v>
      </c>
      <c r="H38" t="n">
        <v>4</v>
      </c>
      <c r="I38" t="n">
        <v>2</v>
      </c>
      <c r="J38" t="n">
        <v>5</v>
      </c>
      <c r="K38" t="n">
        <v>14</v>
      </c>
      <c r="L38" t="n">
        <v>0.9</v>
      </c>
      <c r="M38" t="n">
        <v>54</v>
      </c>
      <c r="N38" t="n">
        <v>66.68000000000001</v>
      </c>
      <c r="O38" t="inlineStr">
        <is>
          <t>AC6</t>
        </is>
      </c>
      <c r="P38" t="inlineStr">
        <is>
          <t>AC1, AC6, AC9</t>
        </is>
      </c>
      <c r="Q38" t="n">
        <v>0.333</v>
      </c>
      <c r="R38" t="n">
        <v>1</v>
      </c>
      <c r="S38" t="n">
        <v>0.5</v>
      </c>
      <c r="T38" t="inlineStr"/>
      <c r="U38" t="inlineStr"/>
      <c r="V38" t="inlineStr"/>
      <c r="W3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9">
      <c r="A39" t="n">
        <v>80</v>
      </c>
      <c r="B39" t="n">
        <v>27</v>
      </c>
      <c r="C39" t="n">
        <v>2</v>
      </c>
      <c r="D39" t="n">
        <v>1</v>
      </c>
      <c r="E39" t="inlineStr">
        <is>
          <t>R1, R2, R3 y R4</t>
        </is>
      </c>
      <c r="F39" t="inlineStr">
        <is>
          <t>¿El estado de los interruptores afecta el camino del flujo eléctrico para las corrientes i1, i2 e i3? Y cómo influiría un cortocircuito entre N4 y N5 sobre las contribuciones individuales de R1, R2, R3, R4 y R5 al circuito en términos de corriente o voltaje?</t>
        </is>
      </c>
      <c r="G39" t="n">
        <v>3</v>
      </c>
      <c r="H39" t="n">
        <v>5</v>
      </c>
      <c r="I39" t="n">
        <v>2</v>
      </c>
      <c r="J39" t="n">
        <v>5</v>
      </c>
      <c r="K39" t="n">
        <v>15</v>
      </c>
      <c r="L39" t="n">
        <v>0.873</v>
      </c>
      <c r="M39" t="n">
        <v>73</v>
      </c>
      <c r="N39" t="n">
        <v>68.69</v>
      </c>
      <c r="O39" t="inlineStr">
        <is>
          <t>AC1</t>
        </is>
      </c>
      <c r="P39" t="inlineStr">
        <is>
          <t>AC1, AC6, AC9</t>
        </is>
      </c>
      <c r="Q39" t="n">
        <v>0.333</v>
      </c>
      <c r="R39" t="n">
        <v>1</v>
      </c>
      <c r="S39" t="n">
        <v>0.5</v>
      </c>
      <c r="T39" t="inlineStr"/>
      <c r="U39" t="inlineStr"/>
      <c r="V39" t="inlineStr"/>
      <c r="W39"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40">
      <c r="A40" t="n">
        <v>81</v>
      </c>
      <c r="B40" t="n">
        <v>27</v>
      </c>
      <c r="C40" t="n">
        <v>3</v>
      </c>
      <c r="D40" t="n">
        <v>1</v>
      </c>
      <c r="E40" t="inlineStr">
        <is>
          <t>R1 y R2 y R4 hacen un divisor de corriente</t>
        </is>
      </c>
      <c r="F40" t="inlineStr">
        <is>
          <t>¿Cuáles son las implicaciones para el voltaje terminal de cada resistencia cuando los interruptores entre N1-N3 y N4-N5 se abren, permitiendo solo R1, R2, R3 o R4, R5 a funcionar? (Nota: Considere cómo la presencia potencial de un cortocircuito podría alterar esta configuración.)</t>
        </is>
      </c>
      <c r="G40" t="n">
        <v>1</v>
      </c>
      <c r="H40" t="n">
        <v>4</v>
      </c>
      <c r="I40" t="n">
        <v>4</v>
      </c>
      <c r="J40" t="n">
        <v>5</v>
      </c>
      <c r="K40" t="n">
        <v>14</v>
      </c>
      <c r="L40" t="n">
        <v>1.062</v>
      </c>
      <c r="M40" t="n">
        <v>75</v>
      </c>
      <c r="N40" t="n">
        <v>56.48</v>
      </c>
      <c r="O40" t="inlineStr"/>
      <c r="P40" t="inlineStr">
        <is>
          <t>AC1, AC6, AC9</t>
        </is>
      </c>
      <c r="Q40" t="n">
        <v>0</v>
      </c>
      <c r="R40" t="n">
        <v>1</v>
      </c>
      <c r="S40" t="n">
        <v>0</v>
      </c>
      <c r="T40" t="inlineStr"/>
      <c r="U40" t="inlineStr"/>
      <c r="V40" t="inlineStr"/>
      <c r="W40" t="inlineStr">
        <is>
          <t>Socraticidad 1/5 (Instructivo): No termina en pregunta; el tutor es instructivo. Precisión Conceptual 4/5 (Bueno): Bueno: identifica claramente la concepción alternativa con lenguaje técnico preciso. Buen desempeño general; hay margen de mejora en profundidad socrática.</t>
        </is>
      </c>
    </row>
    <row r="41">
      <c r="A41" t="n">
        <v>82</v>
      </c>
      <c r="B41" t="n">
        <v>28</v>
      </c>
      <c r="C41" t="n">
        <v>1</v>
      </c>
      <c r="D41" t="n">
        <v>1</v>
      </c>
      <c r="E41" t="inlineStr">
        <is>
          <t>R1 y R2 y R4 hacen un divisor de tensión, r3 no cuenta por estar en corto</t>
        </is>
      </c>
      <c r="F41" t="inlineStr">
        <is>
          <t>¿Puedes verificar si cada resistencia contribuye directamente a la diferencia de potencial entre N2 y el punto tierra, considerando las interacciones con otros componentes del circuito? ¿Y cómo afectan los estados del interruptor abierto respecto al flujo de corriente por R3 y R5?</t>
        </is>
      </c>
      <c r="G41" t="n">
        <v>3</v>
      </c>
      <c r="H41" t="n">
        <v>4</v>
      </c>
      <c r="I41" t="n">
        <v>3</v>
      </c>
      <c r="J41" t="n">
        <v>5</v>
      </c>
      <c r="K41" t="n">
        <v>15</v>
      </c>
      <c r="L41" t="n">
        <v>1.047</v>
      </c>
      <c r="M41" t="n">
        <v>55</v>
      </c>
      <c r="N41" t="n">
        <v>57.3</v>
      </c>
      <c r="O41" t="inlineStr">
        <is>
          <t>AC1</t>
        </is>
      </c>
      <c r="P41" t="inlineStr">
        <is>
          <t>AC1, AC9</t>
        </is>
      </c>
      <c r="Q41" t="n">
        <v>0.5</v>
      </c>
      <c r="R41" t="n">
        <v>1</v>
      </c>
      <c r="S41" t="n">
        <v>0.667</v>
      </c>
      <c r="T41" t="inlineStr"/>
      <c r="U41" t="inlineStr"/>
      <c r="V41" t="inlineStr"/>
      <c r="W4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42">
      <c r="A42" t="n">
        <v>83</v>
      </c>
      <c r="B42" t="n">
        <v>28</v>
      </c>
      <c r="C42" t="n">
        <v>2</v>
      </c>
      <c r="D42" t="n">
        <v>1</v>
      </c>
      <c r="E42" t="inlineStr">
        <is>
          <t>No tengo en cuenta R3 porque el interruptor está cerrado</t>
        </is>
      </c>
      <c r="F42" t="inlineStr">
        <is>
          <t>¿Consideraste cómo se altera el camino del corriente debido a los cambios de estado entre tus interruptores y cuál sería el impacto sobre las contribuciones potenciales de R3 y R5, incluso cuando uno está cerrado?</t>
        </is>
      </c>
      <c r="G42" t="n">
        <v>3</v>
      </c>
      <c r="H42" t="n">
        <v>4</v>
      </c>
      <c r="I42" t="n">
        <v>5</v>
      </c>
      <c r="J42" t="n">
        <v>5</v>
      </c>
      <c r="K42" t="n">
        <v>17</v>
      </c>
      <c r="L42" t="n">
        <v>0.896</v>
      </c>
      <c r="M42" t="n">
        <v>45</v>
      </c>
      <c r="N42" t="n">
        <v>66.98</v>
      </c>
      <c r="O42" t="inlineStr">
        <is>
          <t>AC1, AC9</t>
        </is>
      </c>
      <c r="P42" t="inlineStr">
        <is>
          <t>AC1, AC9</t>
        </is>
      </c>
      <c r="Q42" t="n">
        <v>1</v>
      </c>
      <c r="R42" t="n">
        <v>1</v>
      </c>
      <c r="S42" t="n">
        <v>1</v>
      </c>
      <c r="T42" t="inlineStr"/>
      <c r="U42" t="inlineStr"/>
      <c r="V42" t="inlineStr"/>
      <c r="W42"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43">
      <c r="A43" t="n">
        <v>84</v>
      </c>
      <c r="B43" t="n">
        <v>28</v>
      </c>
      <c r="C43" t="n">
        <v>3</v>
      </c>
      <c r="D43" t="n">
        <v>1</v>
      </c>
      <c r="E43" t="inlineStr">
        <is>
          <t>No tengo en cuenta R5 porque está en circuito abierto</t>
        </is>
      </c>
      <c r="F43" t="inlineStr">
        <is>
          <t>¿Has verificado cómo el estado del interruptor de R5 afecta su papel en el circuito y si, bajo las condiciones actuales, aún podría influir sobre alguna parte del circuito oponente? ¿Y deberías considerar cualquier posible influencia indirecta que pueda tener debido a la configuración global del circuito?</t>
        </is>
      </c>
      <c r="G43" t="n">
        <v>3</v>
      </c>
      <c r="H43" t="n">
        <v>2</v>
      </c>
      <c r="I43" t="n">
        <v>3</v>
      </c>
      <c r="J43" t="n">
        <v>5</v>
      </c>
      <c r="K43" t="n">
        <v>13</v>
      </c>
      <c r="L43" t="n">
        <v>0.945</v>
      </c>
      <c r="M43" t="n">
        <v>61</v>
      </c>
      <c r="N43" t="n">
        <v>63.49</v>
      </c>
      <c r="O43" t="inlineStr">
        <is>
          <t>AC6, AC9</t>
        </is>
      </c>
      <c r="P43" t="inlineStr">
        <is>
          <t>AC1, AC9</t>
        </is>
      </c>
      <c r="Q43" t="n">
        <v>0.5</v>
      </c>
      <c r="R43" t="n">
        <v>0.5</v>
      </c>
      <c r="S43" t="n">
        <v>0.5</v>
      </c>
      <c r="T43" t="inlineStr"/>
      <c r="U43" t="inlineStr"/>
      <c r="V43" t="inlineStr"/>
      <c r="W4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Campo</t>
        </is>
      </c>
      <c r="B1" t="inlineStr">
        <is>
          <t>Valor</t>
        </is>
      </c>
    </row>
    <row r="2">
      <c r="A2" t="inlineStr">
        <is>
          <t>Fecha generación</t>
        </is>
      </c>
      <c r="B2" t="inlineStr">
        <is>
          <t>2026-05-20T16:43:06.647154</t>
        </is>
      </c>
    </row>
    <row r="3">
      <c r="A3" t="inlineStr">
        <is>
          <t>Método</t>
        </is>
      </c>
      <c r="B3" t="inlineStr">
        <is>
          <t>RAG</t>
        </is>
      </c>
    </row>
    <row r="4">
      <c r="A4" t="inlineStr">
        <is>
          <t>Modelos evaluados</t>
        </is>
      </c>
      <c r="B4" t="inlineStr">
        <is>
          <t>llama, phi4</t>
        </is>
      </c>
    </row>
    <row r="5">
      <c r="A5" t="inlineStr">
        <is>
          <t>Ejercicios cubiertos</t>
        </is>
      </c>
      <c r="B5" t="inlineStr">
        <is>
          <t>1</t>
        </is>
      </c>
    </row>
    <row r="6">
      <c r="A6" t="inlineStr">
        <is>
          <t>Total evaluaciones</t>
        </is>
      </c>
      <c r="B6" t="n">
        <v>84</v>
      </c>
    </row>
    <row r="7">
      <c r="A7" t="inlineStr">
        <is>
          <t>UPV Ollama URL</t>
        </is>
      </c>
      <c r="B7" t="inlineStr">
        <is>
          <t>https://ollama.gti-ia.upv.es:443</t>
        </is>
      </c>
    </row>
    <row r="8">
      <c r="A8" t="inlineStr">
        <is>
          <t>PoliGPT URL</t>
        </is>
      </c>
      <c r="B8" t="inlineStr">
        <is>
          <t>https://api.poligpt.upv.es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Ranking</t>
        </is>
      </c>
      <c r="B1" t="inlineStr">
        <is>
          <t>Modelo</t>
        </is>
      </c>
      <c r="C1" t="inlineStr">
        <is>
          <t>muestras</t>
        </is>
      </c>
      <c r="D1" t="inlineStr">
        <is>
          <t>latencia_media</t>
        </is>
      </c>
      <c r="E1" t="inlineStr">
        <is>
          <t>latencia_p95</t>
        </is>
      </c>
      <c r="F1" t="inlineStr">
        <is>
          <t>throughput</t>
        </is>
      </c>
      <c r="G1" t="inlineStr">
        <is>
          <t>tokens_medio</t>
        </is>
      </c>
      <c r="H1" t="inlineStr">
        <is>
          <t>formato_socratico</t>
        </is>
      </c>
      <c r="I1" t="inlineStr">
        <is>
          <t>correccion_conceptual</t>
        </is>
      </c>
      <c r="J1" t="inlineStr">
        <is>
          <t>adaptabilidad</t>
        </is>
      </c>
      <c r="K1" t="inlineStr">
        <is>
          <t>generacion_reflexion</t>
        </is>
      </c>
      <c r="L1" t="inlineStr">
        <is>
          <t>score_total</t>
        </is>
      </c>
      <c r="M1" t="inlineStr">
        <is>
          <t>pct_socratico</t>
        </is>
      </c>
      <c r="N1" t="inlineStr">
        <is>
          <t>pct_score_15</t>
        </is>
      </c>
      <c r="O1" t="inlineStr">
        <is>
          <t>faithfulness</t>
        </is>
      </c>
      <c r="P1" t="inlineStr">
        <is>
          <t>relevance</t>
        </is>
      </c>
      <c r="Q1" t="inlineStr">
        <is>
          <t>pct_cot</t>
        </is>
      </c>
    </row>
    <row r="2">
      <c r="A2" t="n">
        <v>1</v>
      </c>
      <c r="B2" t="inlineStr">
        <is>
          <t>llama</t>
        </is>
      </c>
      <c r="C2">
        <f>COUNTA('Resultados_llama'!A2:A10000)</f>
        <v/>
      </c>
      <c r="D2">
        <f>IFERROR(AVERAGE('Resultados_llama'!L2:L10000),"")</f>
        <v/>
      </c>
      <c r="E2">
        <f>IFERROR(PERCENTILE('Resultados_llama'!L2:L10000,0.95),"")</f>
        <v/>
      </c>
      <c r="F2">
        <f>IFERROR(IF(AVERAGE('Resultados_llama'!L2:L10000)&gt;0,60/AVERAGE('Resultados_llama'!L2:L10000),0),"")</f>
        <v/>
      </c>
      <c r="G2">
        <f>IFERROR(AVERAGE('Resultados_llama'!M2:M10000),"")</f>
        <v/>
      </c>
      <c r="H2">
        <f>IFERROR(AVERAGE('Resultados_llama'!G2:G10000),"")</f>
        <v/>
      </c>
      <c r="I2">
        <f>IFERROR(AVERAGE('Resultados_llama'!H2:H10000),"")</f>
        <v/>
      </c>
      <c r="J2">
        <f>IFERROR(AVERAGE('Resultados_llama'!I2:I10000),"")</f>
        <v/>
      </c>
      <c r="K2">
        <f>IFERROR(AVERAGE('Resultados_llama'!J2:J10000),"")</f>
        <v/>
      </c>
      <c r="L2">
        <f>IFERROR(AVERAGE('Resultados_llama'!K2:K10000),"")</f>
        <v/>
      </c>
      <c r="M2">
        <f>IFERROR(COUNTIF('Resultados_llama'!G2:G10000,"&gt;=4")/COUNTA('Resultados_llama'!G2:G10000)*100,"")</f>
        <v/>
      </c>
      <c r="N2">
        <f>IFERROR(COUNTIF('Resultados_llama'!K2:K10000,"&gt;=15")/COUNTA('Resultados_llama'!K2:K10000)*100,"")</f>
        <v/>
      </c>
      <c r="O2">
        <f>IFERROR(AVERAGE('Resultados_llama'!T2:T10000),"")</f>
        <v/>
      </c>
      <c r="P2">
        <f>IFERROR(AVERAGE('Resultados_llama'!U2:U10000),"")</f>
        <v/>
      </c>
      <c r="Q2">
        <f>IFERROR(COUNTIF('Resultados_llama'!V2:V10000,"&lt;&gt;")/COUNTA('Resultados_llama'!A2:A10000)*100,"")</f>
        <v/>
      </c>
    </row>
    <row r="3">
      <c r="A3" t="n">
        <v>2</v>
      </c>
      <c r="B3" t="inlineStr">
        <is>
          <t>phi4</t>
        </is>
      </c>
      <c r="C3">
        <f>COUNTA('Resultados_phi4'!A2:A10000)</f>
        <v/>
      </c>
      <c r="D3">
        <f>IFERROR(AVERAGE('Resultados_phi4'!L2:L10000),"")</f>
        <v/>
      </c>
      <c r="E3">
        <f>IFERROR(PERCENTILE('Resultados_phi4'!L2:L10000,0.95),"")</f>
        <v/>
      </c>
      <c r="F3">
        <f>IFERROR(IF(AVERAGE('Resultados_phi4'!L2:L10000)&gt;0,60/AVERAGE('Resultados_phi4'!L2:L10000),0),"")</f>
        <v/>
      </c>
      <c r="G3">
        <f>IFERROR(AVERAGE('Resultados_phi4'!M2:M10000),"")</f>
        <v/>
      </c>
      <c r="H3">
        <f>IFERROR(AVERAGE('Resultados_phi4'!G2:G10000),"")</f>
        <v/>
      </c>
      <c r="I3">
        <f>IFERROR(AVERAGE('Resultados_phi4'!H2:H10000),"")</f>
        <v/>
      </c>
      <c r="J3">
        <f>IFERROR(AVERAGE('Resultados_phi4'!I2:I10000),"")</f>
        <v/>
      </c>
      <c r="K3">
        <f>IFERROR(AVERAGE('Resultados_phi4'!J2:J10000),"")</f>
        <v/>
      </c>
      <c r="L3">
        <f>IFERROR(AVERAGE('Resultados_phi4'!K2:K10000),"")</f>
        <v/>
      </c>
      <c r="M3">
        <f>IFERROR(COUNTIF('Resultados_phi4'!G2:G10000,"&gt;=4")/COUNTA('Resultados_phi4'!G2:G10000)*100,"")</f>
        <v/>
      </c>
      <c r="N3">
        <f>IFERROR(COUNTIF('Resultados_phi4'!K2:K10000,"&gt;=15")/COUNTA('Resultados_phi4'!K2:K10000)*100,"")</f>
        <v/>
      </c>
      <c r="O3">
        <f>IFERROR(AVERAGE('Resultados_phi4'!T2:T10000),"")</f>
        <v/>
      </c>
      <c r="P3">
        <f>IFERROR(AVERAGE('Resultados_phi4'!U2:U10000),"")</f>
        <v/>
      </c>
      <c r="Q3">
        <f>IFERROR(COUNTIF('Resultados_phi4'!V2:V10000,"&lt;&gt;")/COUNTA('Resultados_phi4'!A2:A10000)*100,"")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Model</t>
        </is>
      </c>
      <c r="B1" t="inlineStr">
        <is>
          <t>Arch.</t>
        </is>
      </c>
      <c r="C1" t="inlineStr">
        <is>
          <t>muestras</t>
        </is>
      </c>
      <c r="D1" t="inlineStr">
        <is>
          <t>latencia_media (s)</t>
        </is>
      </c>
      <c r="E1" t="inlineStr">
        <is>
          <t>tokens_medio</t>
        </is>
      </c>
      <c r="F1" t="inlineStr">
        <is>
          <t>socraticity (0-5)</t>
        </is>
      </c>
      <c r="G1" t="inlineStr">
        <is>
          <t>conceptual correctness (0-5)</t>
        </is>
      </c>
      <c r="H1" t="inlineStr">
        <is>
          <t>consistency (0-5)</t>
        </is>
      </c>
      <c r="I1" t="inlineStr">
        <is>
          <t>hallucination rate (0-5)</t>
        </is>
      </c>
      <c r="J1" t="inlineStr">
        <is>
          <t>temperature</t>
        </is>
      </c>
    </row>
    <row r="2">
      <c r="A2" t="inlineStr">
        <is>
          <t>llama</t>
        </is>
      </c>
      <c r="B2" t="inlineStr">
        <is>
          <t>RAG-PoliGPT</t>
        </is>
      </c>
      <c r="C2">
        <f>COUNTA('Resultados_llama'!A2:A10000)</f>
        <v/>
      </c>
      <c r="D2">
        <f>IFERROR(AVERAGE('Resultados_llama'!L2:L10000),"")</f>
        <v/>
      </c>
      <c r="E2">
        <f>IFERROR(AVERAGE('Resultados_llama'!M2:M10000),"")</f>
        <v/>
      </c>
      <c r="F2">
        <f>IFERROR(AVERAGE('Resultados_llama'!G2:G10000),"")</f>
        <v/>
      </c>
      <c r="G2">
        <f>IFERROR(AVERAGE('Resultados_llama'!H2:H10000),"")</f>
        <v/>
      </c>
      <c r="H2">
        <f>IFERROR(AVERAGE('Resultados_llama'!I2:I10000),"")</f>
        <v/>
      </c>
      <c r="I2">
        <f>IFERROR(AVERAGE('Resultados_llama'!J2:J10000),"")</f>
        <v/>
      </c>
      <c r="J2" t="n">
        <v>0.7</v>
      </c>
    </row>
    <row r="3">
      <c r="A3" t="inlineStr">
        <is>
          <t>phi4</t>
        </is>
      </c>
      <c r="B3" t="inlineStr">
        <is>
          <t>RAG-PoliGPT</t>
        </is>
      </c>
      <c r="C3">
        <f>COUNTA('Resultados_phi4'!A2:A10000)</f>
        <v/>
      </c>
      <c r="D3">
        <f>IFERROR(AVERAGE('Resultados_phi4'!L2:L10000),"")</f>
        <v/>
      </c>
      <c r="E3">
        <f>IFERROR(AVERAGE('Resultados_phi4'!M2:M10000),"")</f>
        <v/>
      </c>
      <c r="F3">
        <f>IFERROR(AVERAGE('Resultados_phi4'!G2:G10000),"")</f>
        <v/>
      </c>
      <c r="G3">
        <f>IFERROR(AVERAGE('Resultados_phi4'!H2:H10000),"")</f>
        <v/>
      </c>
      <c r="H3">
        <f>IFERROR(AVERAGE('Resultados_phi4'!I2:I10000),"")</f>
        <v/>
      </c>
      <c r="I3">
        <f>IFERROR(AVERAGE('Resultados_phi4'!J2:J10000),"")</f>
        <v/>
      </c>
      <c r="J3" t="n">
        <v>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Modelo</t>
        </is>
      </c>
      <c r="B1" t="inlineStr">
        <is>
          <t>latencia_media</t>
        </is>
      </c>
      <c r="C1" t="inlineStr">
        <is>
          <t>latencia_p95</t>
        </is>
      </c>
      <c r="D1" t="inlineStr">
        <is>
          <t>throughput</t>
        </is>
      </c>
      <c r="E1" t="inlineStr">
        <is>
          <t>tokens_medio</t>
        </is>
      </c>
    </row>
    <row r="2">
      <c r="A2" t="inlineStr">
        <is>
          <t>llama</t>
        </is>
      </c>
      <c r="B2">
        <f>IFERROR(AVERAGE('Resultados_llama'!L2:L10000),"")</f>
        <v/>
      </c>
      <c r="C2">
        <f>IFERROR(PERCENTILE('Resultados_llama'!L2:L10000,0.95),"")</f>
        <v/>
      </c>
      <c r="D2">
        <f>IFERROR(IF(AVERAGE('Resultados_llama'!L2:L10000)&gt;0,60/AVERAGE('Resultados_llama'!L2:L10000),0),"")</f>
        <v/>
      </c>
      <c r="E2">
        <f>IFERROR(AVERAGE('Resultados_llama'!M2:M10000),"")</f>
        <v/>
      </c>
    </row>
    <row r="3">
      <c r="A3" t="inlineStr">
        <is>
          <t>phi4</t>
        </is>
      </c>
      <c r="B3">
        <f>IFERROR(AVERAGE('Resultados_phi4'!L2:L10000),"")</f>
        <v/>
      </c>
      <c r="C3">
        <f>IFERROR(PERCENTILE('Resultados_phi4'!L2:L10000,0.95),"")</f>
        <v/>
      </c>
      <c r="D3">
        <f>IFERROR(IF(AVERAGE('Resultados_phi4'!L2:L10000)&gt;0,60/AVERAGE('Resultados_phi4'!L2:L10000),0),"")</f>
        <v/>
      </c>
      <c r="E3">
        <f>IFERROR(AVERAGE('Resultados_phi4'!M2:M10000),"")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Modelo</t>
        </is>
      </c>
      <c r="B1" t="inlineStr">
        <is>
          <t>faithfulness</t>
        </is>
      </c>
      <c r="C1" t="inlineStr">
        <is>
          <t>relevance</t>
        </is>
      </c>
      <c r="D1" t="inlineStr">
        <is>
          <t>pct_cot</t>
        </is>
      </c>
    </row>
    <row r="2">
      <c r="A2" t="inlineStr">
        <is>
          <t>llama</t>
        </is>
      </c>
      <c r="B2">
        <f>IFERROR(AVERAGE('Resultados_llama'!T2:T10000),"")</f>
        <v/>
      </c>
      <c r="C2">
        <f>IFERROR(AVERAGE('Resultados_llama'!U2:U10000),"")</f>
        <v/>
      </c>
      <c r="D2">
        <f>IFERROR(COUNTIF('Resultados_llama'!V2:V10000,"&lt;&gt;")/COUNTA('Resultados_llama'!A2:A10000)*100,"")</f>
        <v/>
      </c>
    </row>
    <row r="3">
      <c r="A3" t="inlineStr">
        <is>
          <t>phi4</t>
        </is>
      </c>
      <c r="B3">
        <f>IFERROR(AVERAGE('Resultados_phi4'!T2:T10000),"")</f>
        <v/>
      </c>
      <c r="C3">
        <f>IFERROR(AVERAGE('Resultados_phi4'!U2:U10000),"")</f>
        <v/>
      </c>
      <c r="D3">
        <f>IFERROR(COUNTIF('Resultados_phi4'!V2:V10000,"&lt;&gt;")/COUNTA('Resultados_phi4'!A2:A10000)*100,"")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2026-05-20T14:43:06Z</dcterms:created>
  <dcterms:modified xmlns:dcterms="http://purl.org/dc/terms/" xmlns:xsi="http://www.w3.org/2001/XMLSchema-instance" xsi:type="dcterms:W3CDTF">2026-05-20T14:43:06Z</dcterms:modified>
</cp:coreProperties>
</file>