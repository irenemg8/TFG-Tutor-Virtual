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irene\Desktop\UNIVERSIDAD\TFG\TFG-Tutor-Virtual\evaluation\rag_benchmark\results\"/>
    </mc:Choice>
  </mc:AlternateContent>
  <xr:revisionPtr revIDLastSave="0" documentId="13_ncr:1_{4891E41E-BC48-4130-B5EC-B6BC6170C1BD}" xr6:coauthVersionLast="47" xr6:coauthVersionMax="47" xr10:uidLastSave="{00000000-0000-0000-0000-000000000000}"/>
  <bookViews>
    <workbookView xWindow="4980" yWindow="3360" windowWidth="17280" windowHeight="8880" xr2:uid="{00000000-000D-0000-FFFF-FFFF00000000}"/>
  </bookViews>
  <sheets>
    <sheet name="Results_qwen2.5_latest" sheetId="1" r:id="rId1"/>
    <sheet name="Metadata" sheetId="2" r:id="rId2"/>
    <sheet name="Ranking" sheetId="3" r:id="rId3"/>
    <sheet name="Results_Article" sheetId="4" r:id="rId4"/>
    <sheet name="Efficienc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50" i="1" l="1"/>
  <c r="J549" i="1"/>
  <c r="J548" i="1"/>
  <c r="J547" i="1"/>
  <c r="J546" i="1"/>
  <c r="J545" i="1"/>
  <c r="J544" i="1"/>
  <c r="J543" i="1"/>
  <c r="J542" i="1"/>
  <c r="J541" i="1"/>
  <c r="J540" i="1"/>
  <c r="J539" i="1"/>
  <c r="J538" i="1"/>
  <c r="J537" i="1"/>
  <c r="J536" i="1"/>
  <c r="J535" i="1"/>
  <c r="J534" i="1"/>
  <c r="J533" i="1"/>
  <c r="J532" i="1"/>
  <c r="J531" i="1"/>
  <c r="J530" i="1"/>
  <c r="J529"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G553" i="1"/>
  <c r="I2" i="3" s="1"/>
  <c r="H553" i="1"/>
  <c r="J2" i="3" s="1"/>
  <c r="I553" i="1"/>
  <c r="I2" i="4" s="1"/>
  <c r="K553" i="1"/>
  <c r="F2" i="3" s="1"/>
  <c r="L553" i="1"/>
  <c r="E2" i="4" s="1"/>
  <c r="M553" i="1"/>
  <c r="P553" i="1"/>
  <c r="Q553" i="1"/>
  <c r="R553" i="1"/>
  <c r="F553" i="1"/>
  <c r="J2" i="1"/>
  <c r="C2" i="4"/>
  <c r="Q2" i="3"/>
  <c r="P2" i="3"/>
  <c r="O2" i="3"/>
  <c r="C2" i="3"/>
  <c r="E2" i="5" l="1"/>
  <c r="C2" i="5"/>
  <c r="B2" i="5"/>
  <c r="D2" i="5"/>
  <c r="D2" i="4"/>
  <c r="D2" i="3"/>
  <c r="E2" i="3"/>
  <c r="J553" i="1"/>
  <c r="L2" i="3" s="1"/>
  <c r="K2" i="3"/>
  <c r="G2" i="3"/>
  <c r="H2" i="4"/>
  <c r="G2" i="4"/>
  <c r="H2" i="3"/>
  <c r="F2" i="4"/>
  <c r="M2" i="3"/>
  <c r="N2" i="3"/>
</calcChain>
</file>

<file path=xl/sharedStrings.xml><?xml version="1.0" encoding="utf-8"?>
<sst xmlns="http://schemas.openxmlformats.org/spreadsheetml/2006/main" count="2059" uniqueCount="776">
  <si>
    <t>ID</t>
  </si>
  <si>
    <t>Turn</t>
  </si>
  <si>
    <t>Exercise</t>
  </si>
  <si>
    <t>Student Answer</t>
  </si>
  <si>
    <t>Tutor Socratic Response</t>
  </si>
  <si>
    <t>Socratic Quality</t>
  </si>
  <si>
    <t>Conceptual Precision</t>
  </si>
  <si>
    <t>Consistency</t>
  </si>
  <si>
    <t>Hallucination Rate</t>
  </si>
  <si>
    <t>Total Score</t>
  </si>
  <si>
    <t>Latency (s)</t>
  </si>
  <si>
    <t>Tokens</t>
  </si>
  <si>
    <t>Throughput (resp/min)</t>
  </si>
  <si>
    <t>Expected ACs</t>
  </si>
  <si>
    <t>Detected ACs</t>
  </si>
  <si>
    <t>AC Precision</t>
  </si>
  <si>
    <t>AC Recall</t>
  </si>
  <si>
    <t>AC F1</t>
  </si>
  <si>
    <t>R1 y R2 dado que las dos resistencia forman un divisor de tensión</t>
  </si>
  <si>
    <t>No es exactamente así. Vamos a repasar algo importante. A R1 y R2 como parte del divisor de tensión entre N1 y 0.
¿Crees que R4 también contribuye al valor de la diferencia de potencial entre N2 y tierra, dado que está conectado en paralelo con R2?</t>
  </si>
  <si>
    <t>AC9</t>
  </si>
  <si>
    <t>R1 y R2 dado que se pide la tensión en R2</t>
  </si>
  <si>
    <t>Buen comienzo, pero necesitamos ir un poco más allá. R1 y R2 forman parte de la diferencia de potencial entre N2 y tierra.
¿Y qué piensas sobre R4?</t>
  </si>
  <si>
    <t>AC1, AC9</t>
  </si>
  <si>
    <t>R1 y R2 por identificar un divisor de tensión</t>
  </si>
  <si>
    <t>Hay algo que no encaja. Vamos a revisarlo juntos. R1 y R2 forman parte del divisor de tensión entre N1 y 0.
¿Puedes pensar en por qué R4 también contribuye al valor de la diferencia de potencial entre N2 y tierra?</t>
  </si>
  <si>
    <t>R1 y R2 hacen un divisor de tensión</t>
  </si>
  <si>
    <t>No es exactamente así. Vamos a repasar algo importante. Que R1 y R2 forman parte del divisor de tensión entre N2 y tierra.
¿Crees que el interruptor abierto entre N2 y N3 podría afectar la diferencia de potencial entre N2 y tierra?</t>
  </si>
  <si>
    <t>R1, R2, R3 y R4 porque R5 está cortocircuitada</t>
  </si>
  <si>
    <t>Que esos elementos contribuyen al voltaje entre N2 y tierra! Eso es muy buen trabajo.
¿Por qué crees que R3 no contribuye a la diferencia de potencial entre N2 y tierra?</t>
  </si>
  <si>
    <t>AC1, AC6</t>
  </si>
  <si>
    <t>R1, R2, R3 y R4 porque por R5 no circula corriente</t>
  </si>
  <si>
    <t>Estás cerca. Piensa en qué más podría influir. Ese elemento tiene una propiedad relevante que debes identificar. ¿Qué ocurre con la corriente en una rama interrumpida por un interruptor abierto?</t>
  </si>
  <si>
    <t>AC1</t>
  </si>
  <si>
    <t>R1, R2, R3 y R4 porque R5 se quita</t>
  </si>
  <si>
    <t>Buen comienzo, pero necesitamos ir un poco más allá. Que esos elementos contribuyen al voltaje entre N2 y tierra. Ese elemento tiene una propiedad relevante que debes identificar. ¿Qué ocurre con la corriente en una rama interrumpida?</t>
  </si>
  <si>
    <t>R1, R3 y R4 porque R2 está en paralelo con la fuente y R5 corctocircuitada</t>
  </si>
  <si>
    <t>Buen comienzo, pero necesitamos ir un poco más allá. Que R2 contribuye al voltaje entre N2 y tierra. Hay una característica clave de ese elemento que aún no has nombrado. ¿Por qué crees que R3 también contribuye, dada la topología del circuito?</t>
  </si>
  <si>
    <t>R1, R4 y R5 porque R2 se elimina y R3 también</t>
  </si>
  <si>
    <t>Eso no es del todo preciso. Pensemos un momento. Que R1 y R4 contribuyen al voltaje entre N2 y tierra.
¿Por qué crees que R3 también contribuye, dada la topología del circuito?</t>
  </si>
  <si>
    <t>R1 y R4 dado que R2 está en paralelo con la fuente, R3 en circuito abierto y R5 cortocircuitada</t>
  </si>
  <si>
    <t>Esas resistencias. ¿Crees que ese conjunto de elementos está realmente en paralelo con la fuente V1?</t>
  </si>
  <si>
    <t>R1, R2 y R3 dado que R2 y R3 están en paralelo y forman un divisor de tensión con R1</t>
  </si>
  <si>
    <t>Parte de tu respuesta es correcta, pero falta algo. A R1 y R2. ¿Crees que R3 contribuye al valor de la diferencia de potencial entre N2 y tierra?</t>
  </si>
  <si>
    <t>R1, R2, R4 y R5 dado que R3 está en circuito abierto</t>
  </si>
  <si>
    <t>Estás cerca. Piensa en qué más podría influir. A ese conjunto de elementos como contribuyentes al valor de la diferencia de potencial entre N2 y tierra. ¿Puedes pensar un poco más sobre por qué R5 no contribuye a esta diferencia de potencial?</t>
  </si>
  <si>
    <t>R1, R2, R4 y R5 dado que R3 sobra</t>
  </si>
  <si>
    <t>¿Por qué crees que R5 también está incluido? Recuerda, el interruptor abierto entre N2 y N3 puede influir en cómo vemos las resistencias conectadas a N2.</t>
  </si>
  <si>
    <t>R1, R2, R4 y R5 dado que R3 no hace nada</t>
  </si>
  <si>
    <t>A ese conjunto de elementos como contribuyentes al voltaje entre N2 y tierra.
¿Por qué crees que R5 también está incluido en tu respuesta?</t>
  </si>
  <si>
    <t>R1, R2 y R4 dado que son las resistencias que forman parte del circuito.</t>
  </si>
  <si>
    <t>Correcto.
¿Crees que R1 contribuye al voltaje entre N2 y tierra?</t>
  </si>
  <si>
    <t>R1, R2 y R4 dado que R2 y R4 están en paralelo y forma un divisor de tensión con R1.</t>
  </si>
  <si>
    <t>Pero hay que pulir algunos conceptos. esas resistencias. Estas resistencias contribuyen a la diferencia de potencial entre N2 y tierra.
¿Crees que el hecho de que ese conjunto de elementos estén en paralelo afecta directamente al valor de la diferencia de potencial entre N2 y tierra?</t>
  </si>
  <si>
    <t>R1, R2 y R4 dado que R3 está en abierto y R5 cortocircuitada</t>
  </si>
  <si>
    <t>Esas resistencias como contribuyentes a la diferencia de potencial entre N2 y tierra. ¿Crees que el interruptor abierto entre N2 y N3 afecta directamente al valor de la diferencia de potencial entre N2 y tierra?</t>
  </si>
  <si>
    <t>R1, R2 y R4 dado que solo por estas resistencias circula una corriente diferente de cero</t>
  </si>
  <si>
    <t>¡Excelente trabajo! Has identificado correctamente la respuesta y la has justificado bien. Antes de cerrar: ¿te queda alguna duda sobre este circuito o los conceptos implicados? &lt;FIN_EJERCICIO&gt;</t>
  </si>
  <si>
    <t>R1, R2 y R4 dado que por R3 y por R5 no circula corriente</t>
  </si>
  <si>
    <t>La respuesta incluye los elementos correctos: ese conjunto de elementos. ¿Por qué crees que la corriente no circula a través de R3?</t>
  </si>
  <si>
    <t>R1, R2 y R4 dado que R3 y R5 se pueden quitar</t>
  </si>
  <si>
    <t>A ese conjunto de elementos como contribuyentes al voltaje entre N2 y tierra.
¿Por qué crees que la corriente no circula por R3? Considera lo que ocurre en una rama interrumpida.</t>
  </si>
  <si>
    <t>R1, R2 y R4 dado que R3 y R5 no influyen para nada en la diferencia de potencial que se pide</t>
  </si>
  <si>
    <t>Buen comienzo, pero necesitamos ir un poco más allá. esos elementos contribuyen al voltaje entre N2 y tierra.
¿Por qué crees que R3 no influye en el voltaje entre N2 y tierra? Considera lo que ocurre con la corriente en una rama interrumpida.</t>
  </si>
  <si>
    <t>R1, R2 y R4 dado que R3 y R5 sobran</t>
  </si>
  <si>
    <t>Bien encaminado, aunque falta completar la respuesta. esas resistencias como contribuyentes al voltaje entre N2 y tierra. Ese elemento tiene una propiedad relevante que debes identificar. ¿Qué propiedad de ese elemento podrías analizar para decidirlo?</t>
  </si>
  <si>
    <t>R1, R2 y R4 dado que R3 sobra</t>
  </si>
  <si>
    <t>Has identificado bien esas resistencias como contribuyentes al voltaje entre N2 y tierra. ¿Podrías pensarlo desde la perspectiva del interruptor abierto entre N2 y N3?</t>
  </si>
  <si>
    <t>R1, R2 y R4 dado que R5 sobra</t>
  </si>
  <si>
    <t>AC6</t>
  </si>
  <si>
    <t>R1, R2 y R4 dado que R3 está en abierto</t>
  </si>
  <si>
    <t>¿Crees que el interruptor abierto entre N2 y N3 tiene alguna influencia sobre estas resistencias?</t>
  </si>
  <si>
    <t>R1, R2 y R4 dado que  R5 cortocircuitada</t>
  </si>
  <si>
    <t>R1, R2 y R4 dado que por R3 no circula corriente</t>
  </si>
  <si>
    <t>R1, R2 y R4 dado que por  R5 no circula corriente</t>
  </si>
  <si>
    <t>¿Consideraste cómo afecta un cortocircuito en la corriente que fluye a través de una resistencia?</t>
  </si>
  <si>
    <t>R1, R2 y R4 dado que R3 se puede quitar</t>
  </si>
  <si>
    <t>Parte de tu respuesta es correcta, pero falta algo. A esos elementos como las resistencias que contribuyen al voltaje entre N2 y tierra.
¿Por qué crees que esa resistencia no influye en el voltaje entre N2 y tierra, dado que hay un interruptor abierto entre N2 y N3?</t>
  </si>
  <si>
    <t>R1, R2 y R4 dado que R5 se puede quitar</t>
  </si>
  <si>
    <t>Parte de tu respuesta es correcta, pero falta algo. Sobre ese conjunto de elementos. Esa resistencias contribuyen al voltaje entre N2 y tierra.
¿Por qué crees que el estado de R5 (cortocircuito) no afecta a las otras resistencias en la diferencia de potencial entre N2 y tierra?</t>
  </si>
  <si>
    <t>AC1, AC6, AC9</t>
  </si>
  <si>
    <t>R1, R2 y R4 dado que R3 no influye para nada en la diferencia de potencial que se pide</t>
  </si>
  <si>
    <t>Esas resistencias como contribuyentes a la diferencia de potencial entre N2 y tierra.
¿Podrías reflexionar sobre por qué R3 no influye en esta diferencia de potencial?</t>
  </si>
  <si>
    <t>R1, R2 y R4 dado que R5 no influye para nada en la diferencia de potencial que se pide</t>
  </si>
  <si>
    <t>No lo sé</t>
  </si>
  <si>
    <t>La corriente sale del + de V1 y llega al primer nodo (N1). ¿Hacia qué nodo crees que continúa desde N1?</t>
  </si>
  <si>
    <t>Todas las resistencias</t>
  </si>
  <si>
    <t>Interesante, ¿crees que todas las resistencias contribuyen al valor de la diferencia de potencial entre N2 y 0?</t>
  </si>
  <si>
    <t>R1 y R2</t>
  </si>
  <si>
    <t>Parte de tu respuesta es correcta, pero falta algo. A R1 y R2. ¿Consideras que estas resistencias están en serie o en paralelo entre N2 y 0?</t>
  </si>
  <si>
    <t>R1, R2 y R4</t>
  </si>
  <si>
    <t>¿Podrías explicar por qué estas resistencias contribuyen a la diferencia de potencial entre N2 y 0 utilizando la idea del cortocircuito?</t>
  </si>
  <si>
    <t>AC6, AC9</t>
  </si>
  <si>
    <t>R1, R2, R4 y R5</t>
  </si>
  <si>
    <t>La corriente sale del + de V1 y llega al nudo N1. ¿Hacia qué nodo crees que la corriente seguirá desde el nudo N1?</t>
  </si>
  <si>
    <t>R1, R2, R3 y R4</t>
  </si>
  <si>
    <t>Bien encaminado, aunque falta completar la respuesta. A esos elementos como elementos que contribuyen al valor de la diferencia de potencial entre N2 y 0.
¿Por qué crees que R3 no influye en el voltaje entre N2 y 0?</t>
  </si>
  <si>
    <t>R1 y R2 y R4 hacen un divisor de corriente</t>
  </si>
  <si>
    <t>Los resistores ese conjunto de elementos como contribuyentes al voltaje entre N2 y 0.
¿Cómo piensas que esa resistencia afecta o no afecta a esta diferencia de potencial según el concepto del divisor de corriente?</t>
  </si>
  <si>
    <t>R1 y R2 y R4 hacen un divisor de tensión, r3 no cuenta por estar en corto</t>
  </si>
  <si>
    <t>¿Crees que el interruptor abierto entre N2 y N3 tenga alguna influencia en las resistencias que contribuyen a la diferencia de potencial entre N2 y tierra?</t>
  </si>
  <si>
    <t>No tengo en cuenta R3 porque el interruptor está cerrado</t>
  </si>
  <si>
    <t>¿Crees que la corriente pueda circular a través del interruptor abierto entre N2 y N3?</t>
  </si>
  <si>
    <t>No tengo en cuenta R5 porque está en circuito abierto</t>
  </si>
  <si>
    <t>¿Qué tienen en común los dos terminales de R5 según el netlist?</t>
  </si>
  <si>
    <t>R4 y R5 dado que las dos resistencia forman un divisor de tensión</t>
  </si>
  <si>
    <t>Hay algo que no encaja. Vamos a revisarlo juntos. Que R4 y R5 son relevantes para el valor de la diferencia de potencial entre N2 y 0, ya que forman parte del divisor de tensión.
¿Crees que R3 también influye en la diferencia de potencial entre N2 y 0?</t>
  </si>
  <si>
    <t>AC13</t>
  </si>
  <si>
    <t>R4 y R5 dado que se pide la tensión en R4</t>
  </si>
  <si>
    <t>Has identificado correctamente que R4 influye en la diferencia de potencial entre N2 y 0.
¿Crees que R3 también contribuye al valor de la diferencia de potencial entre N2 y 0?</t>
  </si>
  <si>
    <t>R4 y R5 por identificar un divisor de tensión</t>
  </si>
  <si>
    <t>No es del todo correcto. Pensemos en esto desde otra perspectiva. Que R4 y R5 forman parte del divisor de tensión.
¿Crees que R2, aunque cortocircuitado, podría influir en la diferencia de potencial entre N2 y 0?</t>
  </si>
  <si>
    <t>R4 y R5 hacen un divisor de tensión</t>
  </si>
  <si>
    <t>No es del todo correcto. Pensemos en esto desde otra perspectiva. Que R4 y R5 forman parte del divisor de tensión entre N2 y la tierra.
¿Crees que R3 también contribuye a la diferencia de potencial entre N2 y la tierra, o puedes explicar por qué no lo consideras necesario?</t>
  </si>
  <si>
    <t>R3, R4 y R5 porque son las resistencias que están conectadas a N2</t>
  </si>
  <si>
    <t>Esas resistencias. ¿Crees que esos elementos contribuyen de manera similar al potencial entre N2 y la tierra, o podrías explicar por qué consideras que son relevantes?</t>
  </si>
  <si>
    <t>AC13, AC9</t>
  </si>
  <si>
    <t>R3, R4 y R5 porque están en paralelo</t>
  </si>
  <si>
    <t>Estás cerca. Piensa en qué más podría influir. esas resistencias.
¿Podrías explicar por qué estas tres resistencias contribuyen al potencial entre N2 y la tierra, considerando que están conectadas en paralelo?</t>
  </si>
  <si>
    <t>R3, R4 y R5 porque R3 está en serie con el paralelo de R4 y R5</t>
  </si>
  <si>
    <t>Pero hay que pulir algunos conceptos. Que ese conjunto de elementos influyen en la diferencia de potencial entre N2 y tierra.
¿Consideras que R1 contribuye a la diferencia de potencial entre N2 y tierra?</t>
  </si>
  <si>
    <t>R3, R4 y R5 porque R1 está en paralelo con la fuente y R2 cortocircuitada</t>
  </si>
  <si>
    <t>Estás avanzando, pero falta justificar tu razonamiento. ¿Por qué pensaste que R1 también influye en esa diferencia de potencial?</t>
  </si>
  <si>
    <t>AC6, AC13</t>
  </si>
  <si>
    <t>R3, R4 y R5 porque R2 se elimina y R1 también</t>
  </si>
  <si>
    <t>Que esos elementos son relevantes para la diferencia de potencial entre N2 y tierra.
¿Por qué pensaste que R1 contribuye a esa diferencia de potencial?</t>
  </si>
  <si>
    <t>R3, R4 y R5 porque R2 está en cortocircuito y R1 en paralelo con la fuente</t>
  </si>
  <si>
    <t>Buen comienzo, pero necesitamos ir un poco más allá. Que esos elementos son los elementos que dependen para el valor de la diferencia de potencial entre N2 y 0. ¿Por qué pensaste que también R1 contribuye a esta diferencia de potencial?</t>
  </si>
  <si>
    <t>R1 y R3 dado que R2 está cortocircuitada</t>
  </si>
  <si>
    <t>Casi. Hay algo que debemos revisar antes de continuar. Ese elemento tiene una propiedad relevante que debes identificar. ¿Pero por qué crees que R1 no depende de la diferencia de potencial entre N2 y 0?</t>
  </si>
  <si>
    <t>AC6, AC13, AC9</t>
  </si>
  <si>
    <t>R1, R2 y R3 porque son las resistencias que están conectadas entre N2 y 0</t>
  </si>
  <si>
    <t>Buen comienzo, pero necesitamos ir un poco más allá. A R3 como un elemento que contribuye. ¿Pero qué pasa con R2?</t>
  </si>
  <si>
    <t>R4 porque es la resistencias que está conectadas entre N2 y 0</t>
  </si>
  <si>
    <t>Vas por buen camino, pero hay que pulir algunos conceptos. A R4, que depende de este resistor para calcular la diferencia de potencial entre N2 y tierra.
¿Crees que también podrían influir en el valor de la diferencia de potencial otros resistores conectados entre N1 y N2?</t>
  </si>
  <si>
    <t>R1, R3, R4 y R5 dado que R2 sobra</t>
  </si>
  <si>
    <t>Hay conceptos que debemos revisar. A R4 y R5 como resistencias relevantes para calcular la diferencia de potencial entre N2 y tierra.
¿Por qué pensaste que también R1 podría influir en el valor de la diferencia de potencial entre N2 y 0, si está conectado directamente entre los dos terminales de la fuente V1?</t>
  </si>
  <si>
    <t>R1, R3, R4 y R5 dado que R2 no hace nada</t>
  </si>
  <si>
    <t>A ese conjunto de elementos como elementos que influyen en la diferencia de potencial entre N2 y tierra. 
¿Por qué crees que R1 no contribuye al valor de la diferencia de potencial entre N2 y 0?</t>
  </si>
  <si>
    <t>R1, R3, R4 y R5 dado que R2 está cortocircuitada</t>
  </si>
  <si>
    <t>Estás avanzando, pero falta justificar tu razonamiento. A esos elementos como elementos que contribuyen al valor de la diferencia de potencial entre N2 y 0. Eso es un gran avance.
¿Por qué pensaste que también R1 podría influir en esa diferencia de potencial?</t>
  </si>
  <si>
    <t>R1, R2, R3, R4 y R5 dado que son las resistencias que forman parte del circuito.</t>
  </si>
  <si>
    <t>A ese conjunto de elementos como contribuyentes al valor de la diferencia de potencial entre N2 y 0. Ese elemento tiene una propiedad relevante que debes identificar. ¿Qué propiedad de ese elemento podrías analizar para decidirlo?</t>
  </si>
  <si>
    <t>R1, R2, R3 y R4 dado que R1, R2 y R3 están en paralelo con R4</t>
  </si>
  <si>
    <t>Estás avanzando, pero falta justificar tu razonamiento. Que R3 y R4 contribuyen al valor de la diferencia de potencial entre N2 y 0. Eso es muy buen trabajo.
¿Por qué pensaste que R2 también podría influir en esa diferencia de potencial?</t>
  </si>
  <si>
    <t>R1, R3 y R4 dado que R2 está en cortocircuito</t>
  </si>
  <si>
    <t>Casi. Hay algo que debemos revisar antes de continuar. A R3 y R4 como contribuyentes al voltaje entre N2 y tierra.
¿Por qué pensaste que también R1 afecta la diferencia de potencial entre N2 y 0?</t>
  </si>
  <si>
    <t>R3, R4 y R5 dado que R1 y R2 se pueden quitar</t>
  </si>
  <si>
    <t>A ese conjunto de elementos como contribuyentes al voltaje entre N2 y tierra. Eso es correcto.
¿Por qué pensaste que también R1 afecta la diferencia de potencial entre N2 y 0?</t>
  </si>
  <si>
    <t>R3, R4 y R5 dado que R1 y R2 no afectan a la tensión pedida</t>
  </si>
  <si>
    <t>Que esos elementos son los elementos que contribuyen al voltaje entre N2 y tierra. ¿Por qué pensaste que R1 no afecta la diferencia de potencial entre N2 y 0?</t>
  </si>
  <si>
    <t>R3, R4 y R5 dado que R2 está en cortocircuito y la tensión en R1 es la de la fuente</t>
  </si>
  <si>
    <t>Eres muy meticuloso al identificar las resistencias correctas: ese conjunto de elementos. ¿Por qué crees que R1 no contribuye a la diferencia de potencial entre N2 y tierra? Considera cómo se encuentra en relación con V1.</t>
  </si>
  <si>
    <t>R2 está en cortocircuito y la tensión en R1 es la de la fuente</t>
  </si>
  <si>
    <t>Ese elemento tiene una propiedad relevante que debes identificar. ¿Consideras qué función cumple R1 si está conectada entre los dos terminales de V1?</t>
  </si>
  <si>
    <t>R1 está en paralelo con la fuente y R2 está en cortocircuito</t>
  </si>
  <si>
    <t>Hay algo que no encaja. Vamos a revisarlo juntos. Hay una característica clave de ese elemento que aún no has nombrado. ¿Consideras qué función cumple R2 si está conectada entre los dos terminales de V1?</t>
  </si>
  <si>
    <t>R5 porque está al final del circuito</t>
  </si>
  <si>
    <t>Parte de tu respuesta es correcta, pero falta algo. A R5, que efectivamente no contribuye debido a su posición en cortocircuito.
¿Crees que las resistencias R3 y R4 podrían influir en la diferencia de potencial entre N2 y tierra? Considera cómo se comportan los dispositivos conectados en paralelo.</t>
  </si>
  <si>
    <t>Depende de todas porque todas influyen en la tensión</t>
  </si>
  <si>
    <t>Entiendo que crees que todas las resistencias influyen en la tensión entre N2 y tierra. Eso es un buen pensamiento inicial, pero vamos a analizarlo más detenidamente.
¿Crees que R3 y R4 podrían influir en la diferencia de potencial entre N2 y tierra? Considera cómo se comportan los dispositivos conectados en paralelo.</t>
  </si>
  <si>
    <t>R3 y R4 porque están más lejos de la fuente</t>
  </si>
  <si>
    <t>Eso es correcto, R3 y R4 sí influyen en la tensión entre N2 y tierra.
¿Crees que R5 podrías revisar su influencia? Considera cómo se conectan los elementos en paralelo.</t>
  </si>
  <si>
    <t>R3 y R5 porque están conectadas en serie</t>
  </si>
  <si>
    <t>¡Gracias por tu respuesta! Has identificado correctamente que R3 y R5 contribuyen a la diferencia de potencial entre N2 y 0, ya que están en serie. 
Ahora, ¿crees que R4 también influye en el valor de la diferencia de potencial entre N2 y 0?</t>
  </si>
  <si>
    <t>R3 porque está en el medio del circuito</t>
  </si>
  <si>
    <t>¡Has identificado correctamente que R3 contribuye a la diferencia de potencial entre N2 y 0.
¿Crees que R4 también influye en el valor de la diferencia de potencial entre N2 y 0?</t>
  </si>
  <si>
    <t>R3 porque está entre la fuente y el nodo N2</t>
  </si>
  <si>
    <t>R4 y R5 porque están conectadas al mismo nodo.</t>
  </si>
  <si>
    <t>Casi. Hay algo que debemos revisar antes de continuar. Que la resistencia R4 y R5 son relevantes para el valor de la diferencia de potencial entre N2 y tierra.
¿Podrías pensar un poco más en por qué R3 también es relevante para este cálculo?</t>
  </si>
  <si>
    <t>R1 y R2 porque están cerca de la fuente</t>
  </si>
  <si>
    <t>No es exactamente eso, pero entiendo tu pensamiento.
¿Podrías pensar en por qué R3 también es relevante para el valor de la diferencia de potencial entre N2 y tierra?</t>
  </si>
  <si>
    <t>R5 porque está entre N2 y 0</t>
  </si>
  <si>
    <t>¡Correcto, R5 es relevante!
¿Puedes pensarte por qué R4 también contribuye al valor de la diferencia de potencial entre N2 y tierra?</t>
  </si>
  <si>
    <t>R4 porque está en paralelo con R5</t>
  </si>
  <si>
    <t>No es del todo correcto. Pensemos en esto desde otra perspectiva. Que R4 depende del valor de la diferencia de potencial entre N2 y tierra.
¿Consideras que el hecho de que R4 esté en paralelo con R5 afecta directamente a la diferencia de potencial entre N2 y tierra?</t>
  </si>
  <si>
    <t>R3 y R4 porque forman un divisor de tensión</t>
  </si>
  <si>
    <t>R1 y R2 porque forman un divisor de tensión</t>
  </si>
  <si>
    <t>No, R1 no contribuye directamente a la diferencia de potencial entre N2 y tierra. Ese elemento tiene una propiedad relevante que debes identificar. ¿Qué propiedad de ese elemento podrías analizar para decidirlo?</t>
  </si>
  <si>
    <t>R1 porque por R2 no circula corriente</t>
  </si>
  <si>
    <t>Entiendo que has elegido R1, pensando que R2 no contribuye debido a la falta de corriente. ¿Puedes explicar por qué crees que R1 afecta directamente al valor de la diferencia de potencial entre N2 y tierra?</t>
  </si>
  <si>
    <t>R3 y R5 porque R4 está en paralelo con la fuente</t>
  </si>
  <si>
    <t>Pero hay que pulir algunos conceptos. Que esos elementos son los elementos que dependen directamente del valor de la diferencia de potencial entre N2 y tierra.
¿Podrías explicar por qué crees que ese conjunto de elementos está en paralelo con la fuente V1?</t>
  </si>
  <si>
    <t>R1, R2 y R3 porque son las resistencias que forman parte del circuito</t>
  </si>
  <si>
    <t>Algunos de los elementos que has propuesto son correctas, ya que contribuyen a la corriente que sale de V1.
¿Por qué pensaste que también R3 influye en el valor de la corriente?</t>
  </si>
  <si>
    <t>R1, R2 y R3 porque están conectadas a la fuente de tensión</t>
  </si>
  <si>
    <t>Que esos elementos contribuyen al valor de la corriente que sale de V1.
¿Por qué crees que R3 no influye en el valor de la corriente si está conectado a la fuente de tensión?</t>
  </si>
  <si>
    <t>R1, R2 y R3 porque están conectadas en paralelo</t>
  </si>
  <si>
    <t>Has reconocido correctamente que esos elementos contribuyen al valor de la corriente.
¿Por qué crees que R3 no influye en el valor de la corriente si está conectado a la fuente de tensión V1?</t>
  </si>
  <si>
    <t>R1, R2 y R3 porque están conectadas en serie</t>
  </si>
  <si>
    <t>Que esos elementos contribuyen a la corriente que sale de V1.
¿Por qué pensaste que también R3 debería contribuir si está conectado en serie con los otros dos resistores?</t>
  </si>
  <si>
    <t>AC13, AC14</t>
  </si>
  <si>
    <t>R1 y R2 porque son las resistencias por las que pasa corriente</t>
  </si>
  <si>
    <t>¿Por qué crees que R3 no contribuye a la corriente que sale de V1?</t>
  </si>
  <si>
    <t>R1 y R2 porque están conectadas en paralelo con la fuente</t>
  </si>
  <si>
    <t>Estás avanzando, pero falta justificar tu razonamiento. esos elementos contribuyen a la corriente que sale de V1! Ese elemento tiene una propiedad relevante que debes identificar. ¿Qué propiedad de ese elemento podrías analizar para decidirlo?</t>
  </si>
  <si>
    <t>R1 y R2 porque podemos eliminar R3 ya que está en circuito abierto</t>
  </si>
  <si>
    <t>Casi. Hay algo que debemos revisar antes de continuar. Ese elemento tiene una propiedad relevante que debes identificar. ¿Por qué crees que R1 y R2 sí influyen en el valor de la corriente?</t>
  </si>
  <si>
    <t>Buen comienzo, pero necesitamos ir un poco más allá. esos elementos son los elementos que influyen en el valor de la corriente.
¿Puedes explicar por qué esos elementos forman parte del camino de la corriente que sale de V1, utilizando la idea de un divisor de tensión?</t>
  </si>
  <si>
    <t>R1 y R2 porque R3 se elimina</t>
  </si>
  <si>
    <t>R1 porque está conectada en paralelo con la fuente</t>
  </si>
  <si>
    <t>Entiendo que R1 está conectada en paralelo con la fuente V1, pero ¿cómo afecta eso a la corriente que sale de V1?</t>
  </si>
  <si>
    <t>AC14</t>
  </si>
  <si>
    <t>R2 porque R1 se puede quitar al estar en paralelo con la fuente y R3 se puede quitar al estar en circuito abierto</t>
  </si>
  <si>
    <t>Ese elemento tiene una propiedad relevante que debes identificar. Pero ¿qué pasa con el nudo N2?</t>
  </si>
  <si>
    <t>R2 y R3 porque R1 se puede quitar al estar en paralelo con la fuente</t>
  </si>
  <si>
    <t>Casi. Hay algo que debemos revisar antes de continuar. ¿Pero qué pasa con ese conjunto de elementos?</t>
  </si>
  <si>
    <t>R3 porque R1 y R2 se pueden quitar al estar en paraleo con la fuente</t>
  </si>
  <si>
    <t>La respuesta que propuso es interesante, pero permíteme guiarte un poco más sobre el concepto de continuidad eléctrica. ¿Por qué crees que R3 no contribuye a la corriente que sale de V1?</t>
  </si>
  <si>
    <t>R1 y R2 porque están conectadas en serie con la fuente</t>
  </si>
  <si>
    <t>Casi. Hay algo que debemos revisar antes de continuar. Que esos elementos contribuyen a la corriente que sale de V1.
¿Puedes explicar por qué esos elementos, conectados en serie, afectan la corriente total?</t>
  </si>
  <si>
    <t>No</t>
  </si>
  <si>
    <t>Entiendo que esos elementos están conectados en serie con la fuente V1, pero permíteme guiarte un poco más sobre cómo la corriente se distribuye en el circuito.
¿Crees que la corriente que sale de V1 pasa por R3?</t>
  </si>
  <si>
    <t>Sí</t>
  </si>
  <si>
    <t>¡Hola! Veamos este circuito juntos. Primero, observa que hay una fuente de tensión V1 entre el nodo N1 y la tierra (0). ¿Puedes decirme hacia qué nodo sale la corriente de V1?</t>
  </si>
  <si>
    <t>R3 está en circuito abierto</t>
  </si>
  <si>
    <t>Parte de tu respuesta es correcta, pero falta algo. Ese elemento tiene una propiedad relevante que debes identificar. Ahora, veamos las resistencias conectadas entre N1 y la tierra. ¿Crees que R1 o R2 podrían influir en el valor de la corriente que sale de V1?</t>
  </si>
  <si>
    <t>AC1, AC14</t>
  </si>
  <si>
    <t>Por R3 no pasa corriente</t>
  </si>
  <si>
    <t>Hay una característica clave de ese elemento que aún no has nombrado. Ahora, piensa en las resistencias conectadas entre N1 y la tierra. ¿Crees que R1 o R2 podrían influir en el valor de la corriente que sale de V1?</t>
  </si>
  <si>
    <t>R1 porque está más cerca de la fuente</t>
  </si>
  <si>
    <t>Vas por buen camino, pero hay que pulir algunos conceptos. Que R1 es una de las resistencias que depende del valor de la corriente que sale de V1.
¿Crees que la proximidad a la fuente de tensión V1 influye en cuáles resistencias contribuyen al valor de la corriente?</t>
  </si>
  <si>
    <t>R1 y R2 porque están conectadas a la fuente</t>
  </si>
  <si>
    <t>¿Crees que esa resistencia podría influir en el valor de la corriente si estuviera conectada?</t>
  </si>
  <si>
    <t>R1 y R3 porque están conectadas a la fuente</t>
  </si>
  <si>
    <t>Cuidado, hay un error en ese razonamiento. Que R1 contribuye al valor de la corriente.
¿Crees que la resistencia R3 también influiría en el valor de la corriente si no estuviera interrumpida por el interruptor?</t>
  </si>
  <si>
    <t>AC1, AC13</t>
  </si>
  <si>
    <t>R2 porque está conectada directamente a la fuente</t>
  </si>
  <si>
    <t>Estás avanzando, pero falta justificar tu razonamiento. R2 contribuye al valor de la corriente que sale de V1. ¿Crees que R1 también influya en el valor de esa corriente?</t>
  </si>
  <si>
    <t>R2 porque está más cerca del nodo común</t>
  </si>
  <si>
    <t>Estás cerca. Piensa en qué más podría influir. Que R2 contribuye al valor de la corriente que sale de V1.
¿Crees que también R1 podría influir en el valor de esa corriente, dada su conexión con N1?</t>
  </si>
  <si>
    <t>R2 y R3 porque están en paralelo.</t>
  </si>
  <si>
    <t>Hay algo que no encaja. Vamos a revisarlo juntos. Que R2 contribuye al valor de la corriente.
¿Crees que también R3 podría influir en el valor de esa corriente, dada su conexión con N1-N2?</t>
  </si>
  <si>
    <t>R3 porque está más cerca del nodo N1</t>
  </si>
  <si>
    <t>No has mencionado esos elementos, que son importantes para el valor de la corriente que sale de V1. ¿Por qué crees que R3 no contribuye a esta corriente?</t>
  </si>
  <si>
    <t>Depende de todas las resistencias porque todas están en el circuito</t>
  </si>
  <si>
    <t>Entiendo que piensas que todas las resistencias contribuyen a la corriente, pero vamos a analizarlo paso a paso. ¿Crees que R3 pueda influir en la corriente que sale de V1? Recuerda, si hay un interruptor abierto entre N1 y N2, algunas resistencias pueden no estar en el camino principal de la corriente.</t>
  </si>
  <si>
    <t>AC1, AC13, AC14</t>
  </si>
  <si>
    <t>R2 porque está en serie con la fuente</t>
  </si>
  <si>
    <t>No del todo. Vamos a pensarlo de otra manera. Ese elemento tiene una propiedad relevante que debes identificar. ¿Crees que R1 también forme parte del camino de la corriente desde V1 hasta el nodo 0?</t>
  </si>
  <si>
    <t>R2 y R3 porque están conectadas directamente al nodo N1</t>
  </si>
  <si>
    <t>Estás avanzando, pero falta justificar tu razonamiento. Que R2 contribuye a la corriente de V1. Ese elemento tiene una propiedad relevante que debes identificar. ¿Qué propiedad de ese elemento podrías analizar para decidirlo?</t>
  </si>
  <si>
    <t>R1 porque está conectada directamente al nodo N1</t>
  </si>
  <si>
    <t>Casi. Hay algo que debemos revisar antes de continuar. Que R1 contribuye a la corriente de V1.
¿Considerando que las resistencias en paralelo comparten el mismo voltaje, ¿cómo podrías determinar si R2 también influye en la corriente de V1?</t>
  </si>
  <si>
    <t>R1 y R3 porque están en paralelo</t>
  </si>
  <si>
    <t>No es del todo correcto. Pensemos en esto desde otra perspectiva. Que R1 contribuye a la corriente de V1, pero hay algo más que considerar con R3.
¿Por qué crees que R3 no influye en la corriente de V1?</t>
  </si>
  <si>
    <t>R3 porque está más lejos de la fuente.</t>
  </si>
  <si>
    <t>No es R3 el que depende del valor de la corriente que sale de V1. ¿Por qué pensaste que también R3 contribuye a esa corriente?</t>
  </si>
  <si>
    <t>Depende de todas porque todas tienen resistencia</t>
  </si>
  <si>
    <t>Ese elemento tiene una propiedad relevante que debes identificar. ¿Crees que R3 forme parte del camino principal de la corriente desde V1 hasta tierra?</t>
  </si>
  <si>
    <t>Depende de R1 y R2 porque son las más importantes</t>
  </si>
  <si>
    <t>Algunos de los elementos que has propuesto forman parte del camino principal de la corriente desde V1 hasta tierra. ¿Crees que ese conjunto de elementos está en el camino directo entre N1 y 0?</t>
  </si>
  <si>
    <t>No del todo. Vamos a pensarlo de otra manera. Que R1 y R2 contribuyen a la corriente de V1.
¿Crees que R4 también influye en el valor de la corriente que sale de V1?</t>
  </si>
  <si>
    <t>Hay conceptos que debemos revisar. Que R1 y R2 contribuyen a la corriente de V1.
¿Crees que R4 también podría influir en el valor de la corriente que sale de V1?</t>
  </si>
  <si>
    <t>R1, R2, y R4 porque están conectadas en serie con la fuente</t>
  </si>
  <si>
    <t>Bien encaminado, aunque falta completar la respuesta. Esa es una buena observación.
¿Crees que R4 contribuye de la misma manera a la corriente que R1 y R2?</t>
  </si>
  <si>
    <t>R1, R2 y R4 porque por R3 no pasa corriente</t>
  </si>
  <si>
    <t>¿Por qué crees que la resistencia R3 no contribuye a la corriente que sale de V1?</t>
  </si>
  <si>
    <t>R1, R2 y R4 porque R3 está en circuito abierto</t>
  </si>
  <si>
    <t>R1, R2, R3 y R4 porque son las resistencias que forman parte del circuito</t>
  </si>
  <si>
    <t>Parte de tu respuesta es correcta, pero falta algo. Que esos elementos contribuyen a la corriente. ¿Por qué crees que R3 no afecta al valor de la corriente que sale de V1?</t>
  </si>
  <si>
    <t>R1, R2, R3 y R4 porque todas están conectadas al circuito</t>
  </si>
  <si>
    <t>Pero hay que pulir algunos conceptos. A esos elementos como resistencias que contribuyen al valor de la corriente que sale de V1. ¿Pero crees que el interruptor abierto entre N3 y N4 afecta en alguna manera a esas resistencias?</t>
  </si>
  <si>
    <t>R3 porque R1 y R2 se pueden despreciar al estar en serie con la fuente</t>
  </si>
  <si>
    <t>Has mencionado correctamente que R1 y R2 están en serie con V1, lo cual es importante para entender cómo la corriente fluye. Ese elemento tiene una propiedad relevante que debes identificar. ¿Puedes pensar un momento en si esa rama de R4 está involucrada en el camino de la corriente desde V1?</t>
  </si>
  <si>
    <t>R1 y R2 porque R3 está en circuito abierto y R4 está en paralelo con la fuente</t>
  </si>
  <si>
    <t>Que esos elementos contribuyen al valor de la corriente. Eso es muy acertado.
¿Pero crees que ese conjunto de elementos podría influir en el valor de la corriente que sale de V1?</t>
  </si>
  <si>
    <t>R4 porque R1 y R2 se pueden despreciar al estar en serie con la fuente y R3 está en circuito abierto</t>
  </si>
  <si>
    <t>Que esos elementos son las resistencias que dependen del valor de la corriente que sale de V1.
¿Consideraste que esos elementos están en serie entre sí y con la fuente de tensión, por lo que podrían despreciarse?</t>
  </si>
  <si>
    <t>R1 y R2 porque R3 se puede quitar y R4 está en paralelo con la fuente</t>
  </si>
  <si>
    <t>Casi. Hay algo que debemos revisar antes de continuar. Que esos elementos son las resistencias que dependen del valor de la corriente que sale de V1.
¿Consideraste qué sucede con el interruptor abierto entre N3 y N4?</t>
  </si>
  <si>
    <t>Todas porque todas están conectadas al circuito</t>
  </si>
  <si>
    <t>Entiendo que consideraste que todas las resistencias están conectadas, pero vamos a enfocarnos en el interruptor abierto entre N3 y N4. ¿Crees que R4 contribuye directamente al valor de la corriente que sale de V1?</t>
  </si>
  <si>
    <t>Hay algo que no encaja. Vamos a revisarlo juntos. Que R1 y R2 son relevantes, ya que forman parte del divisor de tensión.
¿Crees que la resistencia R4 también influye en el valor de la corriente que sale de V1?</t>
  </si>
  <si>
    <t>R1, R2 y R4 porque forman un divisor de tension</t>
  </si>
  <si>
    <t>Bien encaminado, aunque falta completar la respuesta. Que esos elementos son relevantes.
¿Crees que esa resistencia afecta directamente a la corriente que sale de V1?</t>
  </si>
  <si>
    <t>R1 y R2 porque forman un divisor de corriente</t>
  </si>
  <si>
    <t>¡Buen enfoque! R1 y R2 son correctos ya que forman parte del divisor de tensión.
¿Crees que la resistencia R4 también influye en el valor de la corriente que sale de V1?</t>
  </si>
  <si>
    <t>¡Hola! Veamos este ejercicio juntos. En el circuito, la corriente que sale de V1 recorre ciertas resistencias antes de llegar a la tierra. Primero, ¿puedes decirme en qué nodos comienza y termina esta corriente?</t>
  </si>
  <si>
    <t>Ya que la corriente sale del + de V1 y llega al 0 (tierra), pasando por ese conjunto de elementos. Ahora, ¿puedes decirme hacia qué nodo crees que va la corriente después de pasar por ese conjunto de elementos?</t>
  </si>
  <si>
    <t>Puede ser</t>
  </si>
  <si>
    <t>¡Genial! Has señalado que la corriente puede ir en una dirección posible. Ahora, piensa en las resistencias que están en serie entre el + de V1 y la tierra. ¿Crees que R3 contribuye a la corriente que sale de V1?</t>
  </si>
  <si>
    <t>R1 porque está conectada a la fuente</t>
  </si>
  <si>
    <t>Bien encaminado, aunque falta completar la respuesta. Que R1 contribuye al valor de la corriente que sale de V1. Muy bien!
¿Hacia qué nodo crees que la corriente seguirá después de salir de R1?</t>
  </si>
  <si>
    <t>R2 porque es la última resistencia conectada</t>
  </si>
  <si>
    <t>Estás cerca. Piensa en qué más podría influir. R2 contribuye al valor de la corriente que sale de V1.
¿Crees que R1 también influye en el valor de la corriente?</t>
  </si>
  <si>
    <t>R3 porque está en paralelo con la fuente</t>
  </si>
  <si>
    <t>Entendido, pero R3 no contribuye al valor de la corriente que sale de V1.
¿Crees que la corriente puede cruzar un interruptor abierto?</t>
  </si>
  <si>
    <t>R4 porque está en paralelo con la fuente</t>
  </si>
  <si>
    <t>Verdict: partial_correct
 ese elemento tiene una propiedad relevante que debes identificar. ¿Cómo se distribuye la tensión entre los dispositivos conectados en paralelo según el razonamiento experto?</t>
  </si>
  <si>
    <t>R4 porque está en serie con la fuente</t>
  </si>
  <si>
    <t>Verdict: partial_correct
Ese elemento tiene una propiedad relevante, pero hay más resistencias que contribuyen al valor de la corriente que sale de V1. ¿Hacia qué nodo crees que va la corriente después de R4?</t>
  </si>
  <si>
    <t>R1</t>
  </si>
  <si>
    <t>Verdicto: R1
¿Cómo se distribuye la corriente en una configuración de resistencias en serie según el razonamiento experto?</t>
  </si>
  <si>
    <t>R2</t>
  </si>
  <si>
    <t>Casi. Hay algo que debemos revisar antes de continuar. Que esa resistencia depende del valor de la corriente que sale de V1.
¿Crees que esas resistencias también influyen en el valor de esa corriente?</t>
  </si>
  <si>
    <t>R3</t>
  </si>
  <si>
    <t>No contribuye R3. ¿Crees que la corriente pueda cruzar el interruptor abierto entre N3 y N4?</t>
  </si>
  <si>
    <t>R4</t>
  </si>
  <si>
    <t>Casi. Hay algo que debemos revisar antes de continuar. R4 es uno de los que influyen en la corriente.
¿Crees que R1 y R2 también contribuyan al valor de la corriente que sale de V1?</t>
  </si>
  <si>
    <t>Entiendo que no estás seguro. Vamos a empezar por considerar cómo la corriente sale del + de V1 y llega al primer nodo (N1). ¿Hacia qué nodo crees que continuará la corriente desde N1?</t>
  </si>
  <si>
    <t>R1 y R2 están conectadas en serie</t>
  </si>
  <si>
    <t>No acaba de ser correcto. Vamos a verlo de otra forma. Que R1 y R2 están conectados en serie.
¿Consideras que la resistencia R4 también contribuye a la corriente que sale de V1?</t>
  </si>
  <si>
    <t>Por ninguna, todas las resistencias poseen la misma corriente ya que están conectadas en serie</t>
  </si>
  <si>
    <t>Eso es un buen pensamiento inicial. ¿Podrías explicar por qué crees que la corriente es la misma en todas las resistencias?</t>
  </si>
  <si>
    <t>AC2, AC14</t>
  </si>
  <si>
    <t>En ninguna</t>
  </si>
  <si>
    <t>Entiendo que estás pensando en la idea de que no hay una resistencia específica donde la corriente sea mayor. Eso es un buen punto inicial. ¿Crees que podrías pensar en cómo se conectan las resistencias en este circuito?</t>
  </si>
  <si>
    <t>La corriente es la misma en todas las resistencias porque es un circuito serie</t>
  </si>
  <si>
    <t>Eso es correcto, el circuito está formado por resistencias en serie. ¿Podrías decirme en qué nodo comienza y en qué nodo termina este camino de corriente?</t>
  </si>
  <si>
    <t>En R1 ya que es la primera resistencia</t>
  </si>
  <si>
    <t>Entiendo tu pensamiento, pero según el experto, la corriente no se atenúa en cada resistencia. ¿Crees que por dos resistencias en serie atraviesa la misma corriente o corrientes distintas?</t>
  </si>
  <si>
    <t>En R1 ya que la corriente se va consumiendo en las resistencias</t>
  </si>
  <si>
    <t>Entiendo tu pensamiento, pero según el experto, la corriente no se atenúa al pasar por cada resistencia. ¿Crees que por dos resistencias en serie atraviesa la misma corriente o corrientes distintas?</t>
  </si>
  <si>
    <t>En R1 ya que es la resistencia que está conectada a la fuente</t>
  </si>
  <si>
    <t>En R6 ya que es la resistencia que está conectada a la fuente</t>
  </si>
  <si>
    <t>La corriente no se consume en cada resistencia, sino que atraviesa todas ellas de manera igual. ¿Crees que por dos resistencias en serie podría pasar la misma corriente o corrientes distintas?</t>
  </si>
  <si>
    <t>En R2 porque es una de las primeras resistencias</t>
  </si>
  <si>
    <t>En R1 porque todas las resistencias están conectadas en serie</t>
  </si>
  <si>
    <t>En R1 porque todas las resistencias están conectadas en paralelo</t>
  </si>
  <si>
    <t>Entiendo que crees que la corriente se divide entre las resistencias cuando están en paralelo, pero vamos a pensar un momento en el comportamiento de la corriente. ¿Crees que por dos resistencias en serie atraviesa la misma corriente o corrientes distintas?</t>
  </si>
  <si>
    <t>En R6 porque es la última resistencia</t>
  </si>
  <si>
    <t>Entiendo que piensas que R6 recibe menos corriente porque está al final del circuito, pero vamos a pensar en cómo se comporta la corriente en una conexión en serie. ¿Crees que por dos resistencias en serie atraviesa la misma corriente o corrientes distintas?</t>
  </si>
  <si>
    <t>En R3</t>
  </si>
  <si>
    <t>Entiendo que piensas que R3 podría afectar la corriente. ¿Crees que por dos resistencias en serie atraviesa la misma corriente o corrientes distintas?</t>
  </si>
  <si>
    <t>En R4</t>
  </si>
  <si>
    <t>La corriente sale del + de V1 y llega al nodo N6. ¿Crees que la corriente se divida entre las resistencias en serie o que atraviesa todas ellas con la misma intensidad?</t>
  </si>
  <si>
    <t>En R5</t>
  </si>
  <si>
    <t>¿Crees que la corriente se divida entre las resistencias en serie o que atraviesa todas ellas con la misma intensidad?</t>
  </si>
  <si>
    <t>En R1</t>
  </si>
  <si>
    <t>En R2</t>
  </si>
  <si>
    <t>La corriente sale del + de V1 y llega al nodo N6. ¿Crees que por dos resistencias en serie como R1 y R6 atraviesen la misma corriente o corrientes distintas?</t>
  </si>
  <si>
    <t>En R1 y R2 pasa más corriente que en el resto</t>
  </si>
  <si>
    <t>La corriente sale del + de V1 y llega al nodo N6. ¿Crees que por dos resistencias en serie como R5 y R6 atraviesen la misma corriente o corrientes distintas?</t>
  </si>
  <si>
    <t>En R2 y R3 pasa más corriente que en el resto</t>
  </si>
  <si>
    <t>En R3 y R4 pasa más corriente que en el resto</t>
  </si>
  <si>
    <t>No, esa no es la respuesta correcta. Según el experto, por todas las resistencias atraviesa la misma corriente.
¿Por qué pensaste que por R3 y R4 podría pasar más corriente?</t>
  </si>
  <si>
    <t>En R4 y R5 pasa más corriente que en el resto</t>
  </si>
  <si>
    <t>No, eso no es correcto. Según el experto, por todas las resistencias atraviesa la misma corriente.
¿Por qué pensaste que por R4 y R5 podría pasar más corriente?</t>
  </si>
  <si>
    <t>En R5 y R6 pasa más corriente que en el resto</t>
  </si>
  <si>
    <t>Todas las resistencias forman un divisor de corriente</t>
  </si>
  <si>
    <t>Eso es una idea interesante, pero veamos cómo se aplica a este circuito en particular. ¿Crees que todos los nodos de las resistencias R1 hasta R6 tienen la misma tensión?</t>
  </si>
  <si>
    <t>Todas las resistencias formar un divisor de tensión</t>
  </si>
  <si>
    <t>Eso es una idea interesante, pero veamos cómo se aplica a este circuito en particular. ¿Crees que la corriente que sale del + de V1 es diferente cuando llega a cada nodo?</t>
  </si>
  <si>
    <t>AC2</t>
  </si>
  <si>
    <t>Todas las resistencias están conectadas en paralelo</t>
  </si>
  <si>
    <t>Eso es una idea común, pero veamos cómo se aplica a este circuito en particular. ¿Crees que el voltaje en todos los nodos de las resistencias R1 hasta R6 es igual?</t>
  </si>
  <si>
    <t>Todas las resistencias están conectadas en serie</t>
  </si>
  <si>
    <t>Eso es correcto, todas las resistencias están conectadas en serie. Según el experto, en una conexión en serie la corriente eléctrica es la misma en todos los dispositivos.
¿Crees que la corriente que sale del + de V1 llegará a todos los nodos sin cambiar su valor?</t>
  </si>
  <si>
    <t>La corriente irá disminuyendo conforme atraviesa las resistencias</t>
  </si>
  <si>
    <t>Entiendo que piensas que la corriente disminuye a medida que pasa por las resistencias, pero en una conexión en serie como esta, el valor de la corriente es el mismo en todas las resistencias.
¿Crees que la corriente que sale del + de V1 llegará a todos los nodos sin cambiar su valor?</t>
  </si>
  <si>
    <t>Por R1 ya que es la primera resistencia</t>
  </si>
  <si>
    <t>Entiendo tu respuesta. ¿Crees que la corriente se atenúa al avanzar por el circuito?</t>
  </si>
  <si>
    <t>Por R1 ya que consume la corriente que genera la fuente</t>
  </si>
  <si>
    <t>Entiendo tu respuesta. ¿Crees que dos resistencias en paralelo a la misma fuente tienen la misma diferencia de potencial?</t>
  </si>
  <si>
    <t>AC2, AC14-near, AC14-series</t>
  </si>
  <si>
    <t>Por R1 ya que la corriente se la encuentra en primer lugar</t>
  </si>
  <si>
    <t>Por R1 ya que está más cerca de la fuente</t>
  </si>
  <si>
    <t>Entiendo que piensas que R1 recibe más corriente porque está más cerca de la fuente V1. ¿Crees que dos resistencias en paralelo a la misma fuente tienen la misma diferencia de potencial?</t>
  </si>
  <si>
    <t>Por R2 ya que R1 se puede quitar al estar en paralelo con la fuente</t>
  </si>
  <si>
    <t>Ese elemento tiene una propiedad relevante que debes identificar. ¿Crees que dos resistencias en paralelo a la misma fuente tienen la misma diferencia de potencial?</t>
  </si>
  <si>
    <t>AC2, AC14-near</t>
  </si>
  <si>
    <t>Por R3 ya que R1 y R2 se pueden quitar por estar en paralelo con la fuente</t>
  </si>
  <si>
    <t>Entiendo que piensas que R3 recibe más corriente porque R1 y R2 están en paralelo con la fuente V1. ¿Crees que dos resistencias en paralelo a la misma fuente tienen la misma diferencia de potencial?</t>
  </si>
  <si>
    <t>Por todas las resistencias circula la misma corriente ya que todas poseen el mismo valor y están en paralelo con la fuente</t>
  </si>
  <si>
    <t>Eso es un buen inicio, pero permíteme guiarte un poco más. ¿Crees que podrías pensar en cómo se repartiría la corriente si las resistencias R1, R2 y R3 estuvieran conectadas en serie?</t>
  </si>
  <si>
    <t>La corriente es la misma en todas las resistencias</t>
  </si>
  <si>
    <t>Eso es correcto, pero permíteme guiarte un poco más sobre por qué eso ocurre. ¿Crees que podrías pensar en cómo se vería el circuito si R1, R2 y R3 estuvieran conectadas en paralelo con la fuente V1?</t>
  </si>
  <si>
    <t>La corriente se divide en las tres ramas de igual manera</t>
  </si>
  <si>
    <t>Eso es una idea interesante, pero permíteme guiarte un poco más sobre cómo se repartiría la corriente si R1, R2 y R3 estuvieran conectadas en paralelo con V1. ¿Crees que podrías pensar en qué pasaría si cada resistencia tuviera una etiqueta de tensión?</t>
  </si>
  <si>
    <t>La corriente es un tercio de I en cada rama</t>
  </si>
  <si>
    <t>Esa no parece ser la respuesta correcta según el experto. ¿Recuerdas cómo se conectan las resistencias R1, R2 y R3?</t>
  </si>
  <si>
    <t>Por el circuito no circula corriente ya que están las tres resistencias en paralelo y se pueden eliminar</t>
  </si>
  <si>
    <t>Esa es una idea interesante, pero veamos juntos cómo realmente se comporta la corriente en un circuito con resistencias en paralelo. ¿Crees que el voltaje sea el mismo en todas las ramas de las resistencias R1, R2 y R3?</t>
  </si>
  <si>
    <t>No, todas las resistencias R1, R2 y R3 no están conectadas en serie. Observa que comparten el mismo punto de conexión con la fuente V1 y con la tierra. ¿Crees que el voltaje sea el mismo en todas estas ramas?</t>
  </si>
  <si>
    <t>Ese elemento tiene una propiedad relevante que debes identificar. ¿Crees que esto afecta cómo se reparte la corriente entre ellas?</t>
  </si>
  <si>
    <t>AC14-near</t>
  </si>
  <si>
    <t>Por R1</t>
  </si>
  <si>
    <t>Ese elemento tiene una propiedad relevante, pero ¿crees que esto afecta cómo se reparte la corriente entre todas las resistencias?</t>
  </si>
  <si>
    <t>Por R2</t>
  </si>
  <si>
    <t>Ese es un buen inicio. ¿Crees que la posición física de R2 en el circuito afecta cómo se reparte la corriente entre todas las resistencias?</t>
  </si>
  <si>
    <t>Por R3</t>
  </si>
  <si>
    <t>La corriente no se atenúa al avanzar por el circuito, ¿crees que la posición física de una resistencia determine cuánta corriente pasa a través de ella?</t>
  </si>
  <si>
    <t>Por R1 y R2</t>
  </si>
  <si>
    <t>Por R2 y R3</t>
  </si>
  <si>
    <t>Por R1 y R3</t>
  </si>
  <si>
    <t>No has nombrado todas las resistencias en tu respuesta, pero es un buen inicio. ¿Consideraste que la corriente podría ser diferente entre diferentes resistencias?</t>
  </si>
  <si>
    <t>Por la resistencia de menor valor</t>
  </si>
  <si>
    <t>Interesante observación. ¿Consideraste que en un circuito donde todas las resistencias tienen el mismo valor, la corriente podría ser diferente entre ellas?</t>
  </si>
  <si>
    <t>Por la que está en medio del circuito</t>
  </si>
  <si>
    <t>Interesante, consideraste la posición de la resistencia. ¿Pero qué pasa con las otras dos resistencias?</t>
  </si>
  <si>
    <t>¡Hola! Veamos este circuito juntos. La fuente V1 proporciona tensión entre el nodo N1 y la tierra (0). R1, R2 y R3 están conectadas entre N1 y 0. ¿Puedes decirme en qué dirección va la corriente desde la fuente V1?</t>
  </si>
  <si>
    <t>Entiendo que no estás seguro. Vamos a pensar en esto paso por paso. La corriente sale del + de la fuente V1 y llega al nodo N1. ¿Hacia qué nodo crees que continuará la corriente desde el nodo N1?</t>
  </si>
  <si>
    <t>Por la que está más cerca de la fuente físicamente</t>
  </si>
  <si>
    <t>Entiendo tu respuesta. La idea de que la resistencia más cercana a la fuente recibe más corriente es una concepción común, pero no siempre correcta. Vamos a pensar en esto desde otra perspectiva. ¿Crees que la corriente que sale de la fuente V1 se divide entre R1, R2 y R3?</t>
  </si>
  <si>
    <t>Por la que está más lejos de la fuente</t>
  </si>
  <si>
    <t>Esa es una idea interesante, pero veamos juntos cómo se distribuye la corriente en este circuito. ¿Crees que las tres resistencias R1, R2 y R3 están conectadas en serie o en paralelo?</t>
  </si>
  <si>
    <t>Por la que tiene más voltaje aplicado</t>
  </si>
  <si>
    <t>Esa es una buena observación sobre la tensión, pero veamos cómo se relaciona con el flujo de corriente en este circuito. ¿Crees que las tres resistencias R1, R2 y R3 están conectadas de manera que cada rama ve la misma tensión?</t>
  </si>
  <si>
    <t>Por la que aparece primero en el esquema</t>
  </si>
  <si>
    <t>Eso es una buena observación sobre la ubicación, pero veamos cómo se distribuye la corriente en este circuito. ¿Crees que las tres resistencias R1, R2 y R3 están conectadas de manera que cada rama ve la misma tensión?</t>
  </si>
  <si>
    <t>Por la que tiene menos oposición al paso de corriente</t>
  </si>
  <si>
    <t>Esa es una idea interesante, pero veamos cómo se reparte la corriente en este circuito. ¿Crees que las tres resistencias R1, R2 y R3 estén conectadas en serie o en paralelo?</t>
  </si>
  <si>
    <t>Por la que está en paralelo con la fuente.</t>
  </si>
  <si>
    <t>Eso es una buena observación sobre cómo las resistencias están conectadas alrededor de la fuente V1, pero veamos cómo se comporta la corriente en este tipo de conexión. ¿Crees que la corriente que sale del + de V1 llegue a R1 y luego solo a N1, o crees que parte de ella podría ir directamente a N1 sin pasar por R1?</t>
  </si>
  <si>
    <t>R1, R2 y R3 ya que todas están en paralelo con la fuente y son iguales</t>
  </si>
  <si>
    <t>No del todo. Vamos a pensarlo de otra manera. Un buen punto sobre cómo las resistencias están conectadas. ¿Crees que dos resistencias en paralelo a la misma fuente tienen la misma diferencia de potencial?</t>
  </si>
  <si>
    <t>Field</t>
  </si>
  <si>
    <t>Value</t>
  </si>
  <si>
    <t>Generation date</t>
  </si>
  <si>
    <t>2026-05-22T19:25:48.808041</t>
  </si>
  <si>
    <t>Method</t>
  </si>
  <si>
    <t>RAG (via backend API)</t>
  </si>
  <si>
    <t>Models evaluated</t>
  </si>
  <si>
    <t>qwen2.5:latest</t>
  </si>
  <si>
    <t>Exercises covered</t>
  </si>
  <si>
    <t>1, 3, 4, 5, 6, 7</t>
  </si>
  <si>
    <t>Total evaluations</t>
  </si>
  <si>
    <t>Backend URL</t>
  </si>
  <si>
    <t>http://localhost:3030</t>
  </si>
  <si>
    <t>Ranking</t>
  </si>
  <si>
    <t>Model</t>
  </si>
  <si>
    <t>samples</t>
  </si>
  <si>
    <t>avg_latency</t>
  </si>
  <si>
    <t>p95_latency</t>
  </si>
  <si>
    <t>throughput</t>
  </si>
  <si>
    <t>avg_tokens</t>
  </si>
  <si>
    <t>socratic_format</t>
  </si>
  <si>
    <t>conceptual_correctness</t>
  </si>
  <si>
    <t>adaptability</t>
  </si>
  <si>
    <t>reflection_generation</t>
  </si>
  <si>
    <t>score_total</t>
  </si>
  <si>
    <t>pct_socratic</t>
  </si>
  <si>
    <t>pct_score_15</t>
  </si>
  <si>
    <t>faithfulness</t>
  </si>
  <si>
    <t>relevance</t>
  </si>
  <si>
    <t>pct_cot</t>
  </si>
  <si>
    <t>Arch.</t>
  </si>
  <si>
    <t>avg_latency (s)</t>
  </si>
  <si>
    <t>socraticity (0-5)</t>
  </si>
  <si>
    <t>conceptual correctness (0-5)</t>
  </si>
  <si>
    <t>consistency (0-5)</t>
  </si>
  <si>
    <t>hallucination rate (0-5)</t>
  </si>
  <si>
    <t>temperature</t>
  </si>
  <si>
    <t>RAG</t>
  </si>
  <si>
    <t>Respuestas del gem</t>
  </si>
  <si>
    <t>Estás cerca. Piensa en qué más podría influir. esas resistencias como las que contribuyen a la diferencia de potencial entre N2 y 0.
¿Puedes explicar por qué estas tres resistencias están en el camino principal del flujo de corriente desde la fuente V1 hasta el nudo N2?</t>
  </si>
  <si>
    <t>Buen comienzo, pero necesitamos ir un poco más allá. esas resistencias.
¿Podrías explicar por qué R5 no contribuye a la diferencia de potencial entre N2 y 0?</t>
  </si>
  <si>
    <t>Esas resistencias.
¿Podrías explicar por qué R5 no contribuye a la diferencia de potencial entre N2 y 0?</t>
  </si>
  <si>
    <t>Parte de tu respuesta es correcta, pero falta algo. esas resistencias como las que contribuyen a la diferencia de potencial entre N2 y 0.
¿Consideras qué efecto tiene el interruptor abierto entre los nudos N2 y N3 en tu respuesta?</t>
  </si>
  <si>
    <t>Estás cerca. Piensa en qué más podría influir. Mencionando R1 y R2! Ahora, considera el interruptor abierto entre los nudos N2 y N3. ¿Crees que alguna de las resistencias que has nombrado esté afectada por esta configuración?</t>
  </si>
  <si>
    <t>R1 y R4</t>
  </si>
  <si>
    <t>Buen comienzo, pero necesitamos ir un poco más allá. R1 y R4. Ese elemento tiene una propiedad relevante que debes identificar. ¿Qué propiedad de ese elemento podrías analizar para decidirlo?</t>
  </si>
  <si>
    <t>Pero hay que pulir algunos conceptos. A ese conjunto de elementos. Estas resistencias son importantes para la diferencia de potencial entre N2 y tierra.
¿Por qué crees que R5 no contribuye a la diferencia de potencial entre N2 y 0?</t>
  </si>
  <si>
    <t>R1, R2, R3, R4 y R5</t>
  </si>
  <si>
    <t>Que esos elementos son relevantes para la diferencia de potencial entre N2 y 0.
¿Por qué crees que R3 no contribuye a esta diferencia de potencial?</t>
  </si>
  <si>
    <t>R1, R3, R4 y R5</t>
  </si>
  <si>
    <t>Buen comienzo, pero necesitamos ir un poco más allá. A R1 y R4 como elementos que contribuyen al voltaje entre N2 y 0. Ese elemento tiene una propiedad relevante que debes identificar. ¿Cuál es el efecto de un interruptor abierto en la continuidad eléctrica?</t>
  </si>
  <si>
    <t>R1, R3 y R4</t>
  </si>
  <si>
    <t>Estás cerca. Piensa en qué más podría influir. A R1 y R4 como elementos que contribuyen al voltaje entre N2 y 0. ¿Por qué pensaste que R3 también debería estar en la lista?</t>
  </si>
  <si>
    <t>R1, R4 y R5</t>
  </si>
  <si>
    <t>No del todo. Vamos a pensarlo de otra manera. R1 y R4. Estos elementos contribuyen al voltaje entre N2 y 0.
¿Por qué pensaste que R5 también debería estar en la lista?</t>
  </si>
  <si>
    <t>Estás avanzando, pero falta justificar tu razonamiento. esas resistencias como dependientes del valor de la diferencia de potencial entre N2 y tierra.
¿Podrías pensarlo un poco más en términos de por qué estas resistencias influyen en la diferencia de potencial entre N2 y 0?</t>
  </si>
  <si>
    <t>Parte de tu respuesta es correcta, pero falta algo. Has identificado las resistencias correctas: ese conjunto de elementos.
¿Podrías explicar por qué ese conjunto de elementos influyen en la diferencia de potencial entre N2 y tierra?</t>
  </si>
  <si>
    <t>Esas resistencias.
¿Podrías explicar cómo estas resistencias forman parte de un divisor de tensión entre N2 y tierra?</t>
  </si>
  <si>
    <t>Pero hay que pulir algunos conceptos. esas resistencias como las que contribuyen a la diferencia de potencial entre N2 y 0.
¿Consideras cómo el interruptor abierto entre los nudos N2 y N3 podría afectar tu análisis?</t>
  </si>
  <si>
    <t>Con ese conjunto de elementos! Has identificado correctamente las resistencias que contribuyen a la diferencia de potencial entre N2 y 0.
¿Consideras cómo el cortocircuito formado por R5 podría afectar el flujo de corriente en este circuito?</t>
  </si>
  <si>
    <t>Has identificado esas resistencias como las que contribuyen a la diferencia de potencial entre N2 y 0. ¿Consideras cómo el interruptor abierto entre los nudos N2 y N3 afecta el flujo de corriente en esta parte del circuito?</t>
  </si>
  <si>
    <t>Estás cerca. Piensa en qué más podría influir. Que R1 y R2 son relevantes para la diferencia de potencial entre N2 y tierra.
¿Crees que las resistencias R4 también podrían influir en el valor de la diferencia de potencial entre N2 y tierra?</t>
  </si>
  <si>
    <t>¿Crees que R2 también contribuye al valor de la diferencia de potencial entre N2 y tierra?</t>
  </si>
  <si>
    <t>Reconociendo ese conjunto de elementos! Estas resistencias efectivamente contribuyen al valor de la diferencia de potencial entre N2 y tierra.
¿Por qué crees que R3 no influye en el voltaje entre N2 y tierra?</t>
  </si>
  <si>
    <t>La corriente sale del + de V1 y llega al nudo N1. ¿Hacia qué nodo crees que la corriente seguirá desde el nudo N2?</t>
  </si>
  <si>
    <t>Parte de tu respuesta es correcta, pero falta algo. A ese conjunto de elementos como contribuyentes al voltaje entre N2 y tierra. ¿Por qué pensaste que R3 también influiría en el valor de esa diferencia de potencial?</t>
  </si>
  <si>
    <t>Eso no es del todo preciso. Pensemos un momento. Que R1 y R4 contribuyen al voltaje entre N2 y tierra. ¿Por qué pensaste que R3 también influiría en el valor de esa diferencia de potencial? Considera lo que ocurre con la corriente en una rama interrumpida.</t>
  </si>
  <si>
    <t>Estás cerca. Piensa en qué más podría influir. A R1 y R4 como contribuyentes al voltaje entre N2 y tierra. Ese elemento tiene una propiedad relevante que debes identificar. ¿Consideraste la continuidad eléctrica en este segmento del circuito?</t>
  </si>
  <si>
    <t>Cuidado, hay un error en ese razonamiento. A R1 y R4 como contribuyentes al voltaje entre N2 y tierra.
¿Consideraste la continuidad eléctrica de R5 en tu análisis?</t>
  </si>
  <si>
    <t>Estás cerca. Piensa en qué más podría influir. esas resistencias.
¿Podrías explicar por qué ese conjunto de elementos también contribuye al voltaje entre N2 y tierra?</t>
  </si>
  <si>
    <t>Buen comienzo, pero necesitamos ir un poco más allá. esas resistencias como las que contribuyen a la diferencia de potencial entre N2 y 0.
¿Consideras por qué R5 no influye en el valor de la diferencia de potencial entre esos nudos?</t>
  </si>
  <si>
    <t>No es del todo correcto. Pensemos en esto desde otra perspectiva. Que \(R4\) y \(R5\) contribuyen al valor de la diferencia de potencial entre \(N2\) y tierra. ¿Consideras que el comportamiento de \(R3\) es relevante para este cálculo, dado que está conectado directamente entre los mismos nodos que \(R4\) y \(R5\)?</t>
  </si>
  <si>
    <t>Pero hay que pulir algunos conceptos. Que \(R4\) y \(R5\) son relevantes para el cálculo de la diferencia de potencial entre \(N2\) y tierra. Ahora, considera que \(ese conjunto de elementos\) también está conectado directamente entre los mismos nodos que \(ese conjunto de elementos\) y \(ese conjunto de elementos\). ¿Crees que su comportamiento podría afectar al valor de esa diferencia de potencial?</t>
  </si>
  <si>
    <t>Cuidado, hay un error en ese razonamiento. Que \(R4\) y \(R5\) forman parte del divisor de tensión entre \(N2\) y tierra.
¿Consideras que el comportamiento de \(R3\), conectado directamente entre \(N1\) y \(N2\), podría influir en la diferencia de potencial entre esos nodos?</t>
  </si>
  <si>
    <t>Cuidado, hay un error en ese razonamiento. Que R4 y R5 forman parte del divisor de tensión entre N2 y 0. ¿Crees que la resistencia R3 también influye en el valor de la diferencia de potencial entre esos dos nodos?</t>
  </si>
  <si>
    <t>R3 , R4 y R5 porque son las resistencias que están conectadas a N2</t>
  </si>
  <si>
    <t>¿Crees que esos elementos juntos forman un divisor de tensión?</t>
  </si>
  <si>
    <t>R3 , R4 y R5 porque están en paralelo</t>
  </si>
  <si>
    <t>Pero hay que pulir algunos conceptos. Que esos elementos son relevantes. ¿Puedes explicar por qué estas resistencias en particular influyen en la diferencia de potencial entre N2 y 0 basándote en cómo el voltaje se distribuye en una conexión paralela?</t>
  </si>
  <si>
    <t>R3 , R4 y R5 porque R3 está en serie con el paralelo de R4 y R5</t>
  </si>
  <si>
    <t>Parte de tu respuesta es correcta, pero falta algo. Que esos elementos son las resistencias relevantes para la diferencia de potencial entre N2 y 0.
¿Consideras que R1 podría influir en la diferencia de potencial entre N2 y 0 debido a su conexión paralela con V1?</t>
  </si>
  <si>
    <t>Bien encaminado, aunque falta completar la respuesta. Que esos elementos son relevantes para la diferencia de potencial entre N2 y 0.
¿Consideras qué función cumple R1 si está conectado directamente entre los dos terminales de V1?</t>
  </si>
  <si>
    <t>¿Consideras qué función cumple R1 si está conectado directamente entre los dos terminales de V1?</t>
  </si>
  <si>
    <t>Pero hay que pulir algunos conceptos. ¿Por qué pensaste que también R1 afecta al valor de esa diferencia de potencial?</t>
  </si>
  <si>
    <t>Bien encaminado, aunque falta completar la respuesta. Por incluir R3! ¿Por qué crees que R1 no contribuye al valor de la diferencia de potencial entre N2 y 0?</t>
  </si>
  <si>
    <t>¿Por qué crees que R2 no contribuye al valor de la diferencia de potencial entre N2 y 0?</t>
  </si>
  <si>
    <t>Casi. Hay algo que debemos revisar antes de continuar. A R4, lo cual es un buen paso.
¿Considerando el camino global de la corriente desde V1 hasta la tierra (0), ¿crees que hay otras resistencias que podrían influir en la diferencia de potencial entre N2 y 0?</t>
  </si>
  <si>
    <t>Parte de tu respuesta es correcta, pero falta algo. Mencionando ese conjunto de elementos! Estas resistencias efectivamente contribuyen a la diferencia de potencial entre N2 y 0.
¿Consideraste por qué R1 no influye en esta diferencia de potencial?</t>
  </si>
  <si>
    <t>A ese conjunto de elementos como elementos que influyen en la diferencia de potencial entre N2 y 0. Eso es un buen paso.
¿Consideraste por qué R1 no contribuye en esta situación?</t>
  </si>
  <si>
    <t>Bien encaminado, aunque falta completar la respuesta. A esos elementos como elementos que contribuyen al valor de la diferencia de potencial entre N2 y 0. Sin embargo, mencionaste también a R1. Ese elemento tiene una propiedad relevante que debes identificar. ¿Puede R1 influir en el valor de esa diferencia de potencial?</t>
  </si>
  <si>
    <t>R1, R2 , R3, R4 y R5 dado que son las resistencias que  forman parte del circuito.</t>
  </si>
  <si>
    <t>Pero hay que pulir algunos conceptos. A esos elementos como elementos que contribuyen al valor de la diferencia de potencial entre N2 y tierra.
¿Por qué pensaste que R1 también influye en esa diferencia de potencial? Considera cómo se conectan los componentes en el circuito.</t>
  </si>
  <si>
    <t>R1, R2, R3 y R4 dado que R1,  R2 y R3 están en paralelo con R4</t>
  </si>
  <si>
    <t>Hay conceptos que debemos revisar. A R3 y R4 como elementos que contribuyen al valor de la diferencia de potencial entre N2 y tierra.
¿Por qué pensaste que R2 también influye en esa diferencia de potencial? Considera cómo se conectan los componentes en el circuito.</t>
  </si>
  <si>
    <t>R1, R3  y R4 dado que R2  está en cortocircuito</t>
  </si>
  <si>
    <t>Estás avanzando, pero falta justificar tu razonamiento. Que R3 y R4 contribuyen al valor de la diferencia de potencial entre N2 y tierra. Eso es un buen paso.
¿Por qué pensaste que también R1 afecta a la diferencia de potencial entre N2 y tierra, si está conectado directamente entre los dos terminales de V1?</t>
  </si>
  <si>
    <t>A ese conjunto de elementos como elementos que influyen en la diferencia de potencial entre N2 y tierra. Eso es muy bien hecho.
¿Por qué pensaste que también R2 afecta a la diferencia de potencial entre N2 y tierra, si está conectado directamente entre los dos terminales de V1?</t>
  </si>
  <si>
    <t>Que esos elementos son los elementos que contribuyen al valor de la diferencia de potencial entre N2 y tierra. Eso es muy acertado.
¿Por qué pensaste que R1 también afecta a la diferencia de potencial entre N2 y tierra, si está conectada directamente entre los dos terminales de V1?</t>
  </si>
  <si>
    <t>¿Por qué pensaste que también R1 contribuye a la diferencia de potencial entre N2 y tierra? Considera cómo se conecta con la fuente V1.</t>
  </si>
  <si>
    <t>¿Por qué pensaste que R1 contribuye a la diferencia de potencial entre N2 y tierra si está conectada directamente entre los dos terminales de V1?</t>
  </si>
  <si>
    <t>¿Por qué crees que R1 no contribuye a la diferencia de potencial entre N2 y tierra si está conectada directamente entre los dos terminales de V1?</t>
  </si>
  <si>
    <t>Parte de tu respuesta es correcta, pero falta algo. Que R5 contribuye a la diferencia de potencial entre N2 y tierra.
¿Crees que las resistencias R3 y R4 podrían influir en el valor de esa diferencia de potencial?</t>
  </si>
  <si>
    <t>Eso es un buen principio, pero vamos a enfocarnos más específicamente. R5 está conectado entre N2 y tierra. ¿Crees que su valor podría afectar directamente el voltaje entre N2 y tierra?</t>
  </si>
  <si>
    <t>Eso es una buena observación sobre la posición relativa de las resistencias, pero vamos a enfocarnos en R5 específicamente. ¿Crees que el valor de R5 podría afectar directamente el voltaje entre N2 y tierra?</t>
  </si>
  <si>
    <t>Hay conceptos que debemos revisar. Que R3 y R5 contribuyen a la diferencia de potencial entre N2 y 0.
¿Crees que la conexión en serie de R3 y R5 afecta directamente el valor de la diferencia de potencial entre N2 y 0? Considera cómo la corriente se distribuye en este segmento del circuito.</t>
  </si>
  <si>
    <t>Has identificado correctamente que R3 contribuye a la diferencia de potencial entre N2 y 0.
¿Crees que la conexión de R4 entre N2 y 0 también afecta el valor de esa diferencia de potencial? Considera cómo la corriente se distribuye en este segmento del circuito.</t>
  </si>
  <si>
    <t>Has identificado correctamente que R3 contribuye a la diferencia de potencial entre N2 y 0.
¿Crees que R4, conectado entre N2 y 0, también influye en el valor de esa diferencia de potencial? Considera cómo la corriente se distribuye en este segmento del circuito.</t>
  </si>
  <si>
    <t>Estás avanzando, pero falta justificar tu razonamiento. Que R4 y R5 contribuyen a la diferencia de potencial entre N2 y tierra. Ese elemento tiene una propiedad relevante que debes identificar. ¿Qué propiedad de ese elemento podrías analizar para decidirlo?</t>
  </si>
  <si>
    <t>Esa es una idea interesante, pero veamos más detenidamente. ¿Podrías explicar por qué crees que R1 contribuye a la diferencia de potencial entre N2 y tierra?</t>
  </si>
  <si>
    <t>¡Correcto, R5 contribuye a la diferencia de potencial entre N2 y tierra. Ahora, piensa en R3. ¿Crees que R3 también influye en esa diferencia de potencial?</t>
  </si>
  <si>
    <t>Eso no es del todo preciso. Pensemos un momento. Ese elemento tiene una propiedad relevante que debes identificar. ¿Consideras que las resistencias R3 y R4 podrían tener un comportamiento similar debido a su conexión?</t>
  </si>
  <si>
    <t>No del todo. Vamos a pensarlo de otra manera. R3 y R4 forman un divisor de tensión que afecta directamente la diferencia de potencial entre N2 y tierra.
¿Consideras que R5 también podría influir en el valor de la diferencia de potencial entre N2 y tierra?</t>
  </si>
  <si>
    <t>Eso no es del todo correcto. Vamos a pensar en ello de otra manera.
¿Consideras que las resistencias R3, R4 y R5 podrían tener un comportamiento similar debido a su conexión?</t>
  </si>
  <si>
    <t>Ese elemento tiene una propiedad relevante que debes identificar. ¿Puedes pensarlo un momento más?</t>
  </si>
  <si>
    <t>Estás avanzando, pero falta justificar tu razonamiento. R3 y R5 son parte de la diferencia de potencial entre N2 y tierra. ¿Pero qué pasa con R4?</t>
  </si>
  <si>
    <t>No es del todo correcto. Pensemos en esto desde otra perspectiva. R4 y R5 contribuyen al voltaje entre N2 y tierra.
¿Pero qué nos dice sobre el papel de R3 en esta configuración?</t>
  </si>
  <si>
    <t>Bien encaminado, aunque falta completar la respuesta. A R4 y R5, lo cual es un buen paso.
¿Consideras cómo R3 podría influir en el valor de la diferencia de potencial entre N2 y tierra?</t>
  </si>
  <si>
    <t>Bien, has mencionado correctamente que R4 y R5 son relevantes para la diferencia de potencial entre N2 y tierra.
¿Consideras cómo R3 podría influir en el valor de la diferencia de potencial entre N2 y tierra?</t>
  </si>
  <si>
    <t>¡Buenos pasos! Ese elemento tiene una propiedad relevante que debes identificar. ¿Qué propiedad de ese elemento podrías analizar para decidirlo?</t>
  </si>
  <si>
    <t>Esas resistencias como las que contribuyen al valor de la diferencia de potencial entre N2 y 0.
Ahora, ¿hacia qué nodo crees que la corriente va desde el nudo N1 después de pasar por ese conjunto de elementos?</t>
  </si>
  <si>
    <t>Buen comienzo, pero necesitamos ir un poco más allá. esas resistencias.
¿Crees que la conexión en paralelo de estas resistencias afecta al valor de la diferencia de potencial entre N2 y 0?</t>
  </si>
  <si>
    <t>Parte de tu respuesta es correcta, pero falta algo. Las resistencias que contribuyen al valor de la diferencia de potencial entre N2 y 0, ese conjunto de elementos.
¿Crees que la corriente que pasa por ese conjunto de elementos afecta directamente a la diferencia de potencial entre N2 y 0?</t>
  </si>
  <si>
    <t>Estás cerca. Piensa en qué más podría influir. Que esos elementos son relevantes para el valor de la diferencia de potencial entre N2 y 0.
¿Por qué pensaste que también R1 contribuye a esa diferencia de potencial?</t>
  </si>
  <si>
    <t>Que esos elementos son relevantes para la diferencia de potencial entre N2 y 0. 
¿Por qué pensaste que R1 contribuye a esa diferencia de potencial? Considera cómo está conectado con respecto a V1.</t>
  </si>
  <si>
    <t>Que esos elementos son relevantes para el valor de la diferencia de potencial entre N2 y 0.
¿Por qué pensaste que R1 contribuye a esa diferencia de potencial? Considera cómo está conectado con respecto a V1.</t>
  </si>
  <si>
    <t>Bien encaminado, aunque falta completar la respuesta. A \( R3 \) como una resistencia relevante para la diferencia de potencial entre N2 y 0.
¿Por qué pensaste que también \( R1 \) contribuye al valor de la diferencia de potencial entre N2 y 0?</t>
  </si>
  <si>
    <t>No es exactamente así. Vamos a repasar algo importante. A \( R3 \) como una resistencia relevante para la diferencia de potencial entre N2 y 0. Eso es un buen comienzo.
¿Por qué pensaste que también \( R1 \) contribuye al valor de la diferencia de potencial entre N2 y 0?</t>
  </si>
  <si>
    <t>Buen comienzo, pero necesitamos ir un poco más allá. R4 contribuye al valor de la diferencia de potencial entre N2 y 0!
¿Considerando que \( R1 \) no contribuye debido a su posición en paralelo con V1, ¿puedes pensar por qué \( R2 \) también no influye en la diferencia de potencial entre N2 y 0?</t>
  </si>
  <si>
    <t>Bien encaminado, aunque falta completar la respuesta. esas resistencias como contribuyentes a la diferencia de potencial entre N2 y 0. ¿Por qué pensaste que también R1 podría influir en esa diferencia?</t>
  </si>
  <si>
    <t>Parte de tu respuesta es correcta, pero falta algo. Que esos elementos son relevantes para la diferencia de potencial entre N2 y 0. ¿Por qué crees que R1 también influye en esa diferencia? Recuerda que el cortocircuito de R2 puede afectar cómo vemos el circuito.</t>
  </si>
  <si>
    <t>Casi. Hay algo que debemos revisar antes de continuar. Que R2 no contribuye debido a su estado de cortocircuito. ¿Por qué crees que R1 también podría estar influyendo en la diferencia de potencial entre N2 y 0? Recuerda, aunque R2 no contribuye, hay otras resistencias que sí lo hacen.</t>
  </si>
  <si>
    <t>Estás cerca. Piensa en qué más podría influir. A esos elementos como elementos que contribuyen al valor de la diferencia de potencial entre N2 y tierra.
¿Por qué pensaste que R2 también debe estar en la lista?</t>
  </si>
  <si>
    <t>Eso no es del todo preciso. Pensemos un momento. Que R3 y R4 contribuyen al valor de la diferencia de potencial entre N2 y tierra. Eso es un buen paso.
¿Por qué pensaste que R2 también debe estar en la lista? Considera lo que ocurre con los dos terminales de R2 según el netlist.</t>
  </si>
  <si>
    <t>Hay conceptos que debemos revisar. Ese elemento tiene una propiedad relevante que debes identificar. ¿Consideraste que R1 también influye en la diferencia de potencial entre N2 y tierra? Considera qué ocurre con los dos terminales de R1.</t>
  </si>
  <si>
    <t>Parte de tu respuesta es correcta, pero falta algo. A esos elementos como elementos que contribuyen al valor de la diferencia de potencial entre N2 y 0.
¿Por qué pensaste que también R2 contribuye a esta diferencia de potencial?</t>
  </si>
  <si>
    <t>Que esos elementos son los elementos que contribuyen al valor de la diferencia de potencial entre N2 y 0.
¿Por qué pensaste que también R1 contribuye a esta diferencia de potencial?</t>
  </si>
  <si>
    <t>Que esos elementos son los elementos que contribuyen a la diferencia de potencial entre N2 y 0.
¿Por qué crees que R1 no afecta directamente a esta diferencia de potencial?</t>
  </si>
  <si>
    <t>Cuidado, hay un error en ese razonamiento. Ese elemento tiene una propiedad relevante que debes identificar. ¿Por qué pensaste que también R1 contribuye al valor de la diferencia de potencial entre N2 y 0?</t>
  </si>
  <si>
    <t>Hay una característica clave de ese elemento que aún no has nombrado. ¿Qué función cumple R1 si está conectada directamente entre los dos terminales de la fuente?</t>
  </si>
  <si>
    <t>Buen comienzo, pero necesitamos ir un poco más allá. Sobre R5! Ahora, piensa en R2. ¿Crees que está contribuyendo a la diferencia de potencial entre N2 y 0?</t>
  </si>
  <si>
    <t>Esa es una respuesta interesante, pero vamos a pensar un poco más en el circuito. ¿Recuerdas cómo se conectan las resistencias R1 y R2 con respecto a la fuente V1?</t>
  </si>
  <si>
    <t>Casi. Hay algo que debemos revisar antes de continuar. Un buen comienzo, pero vamos a pensar en el circuito de manera más detallada. ¿Consideraste cómo se conecta R5 con respecto al nudo N2 y la tierra?</t>
  </si>
  <si>
    <t>No del todo. Vamos a pensarlo de otra manera. R3 y R5 contribuyen al valor de la diferencia de potencial entre N2 y tierra. Ahora, ¿consideraste cómo se conecta R4 con respecto a las otras resistencias?</t>
  </si>
  <si>
    <t>Vas por buen camino, pero hay que pulir algunos conceptos. A R3 como una resistencia que contribuye al valor de la diferencia de potencial entre N2 y 0.
¿Crees que las resistencias R4 y R5 podrían influir en el valor de esa diferencia de potencial?</t>
  </si>
  <si>
    <t>¡Bien hecho mencionando R3! Ahora, ¿crees que las resistencias R4 y R5 podrían influir en el valor de esa diferencia de potencial entre N2 y 0?</t>
  </si>
  <si>
    <t>¡Correcto, R4 y R5 contribuyen al valor de la diferencia de potencial entre N2 y 0!
¿Crees que R3 podría influir en el valor de esa diferencia de potencial?</t>
  </si>
  <si>
    <t>No has mencionado ese conjunto de elementos en tu respuesta. ¿Por qué pensaste que también R2 contribuye a la diferencia de potencial entre N2 y tierra?</t>
  </si>
  <si>
    <t>Vas por buen camino, pero hay que pulir algunos conceptos. R5 contribuye a la diferencia de potencial entre N2 y tierra.
¿Puedes pensar en por qué R3 y R4 también son importantes para determinar ese valor?</t>
  </si>
  <si>
    <t>No es del todo correcto. Pensemos en esto desde otra perspectiva. Al mencionar que R4 contribuye debido a su conexión en paralelo con R5. ¿Puedes pensar en cómo la diferencia de potencial entre N2 y tierra se vería afectada si R3 no estuviera presente?</t>
  </si>
  <si>
    <t>Hay algo que no encaja. Vamos a revisarlo juntos. Que R3 y R4 son relevantes para la diferencia de potencial entre N2 y tierra, ya que forman un divisor de tensión. ¿Crees que R5 también podría influir en el valor de la diferencia de potencial entre N2 y tierra?</t>
  </si>
  <si>
    <t>¿Consideraste que R2 podría no influir en la diferencia de potencial entre N2 y tierra debido a su conexión?</t>
  </si>
  <si>
    <t>Entiendo que piensas que R2 no contribuye debido a la falta de corriente, pero ¿consideraste qué pasa con R1?</t>
  </si>
  <si>
    <t>Casi. Hay algo que debemos revisar antes de continuar. esas resistencias que influyen en el valor de la diferencia de potencial entre N2 y tierra. ¡Eso es muy bueno! ¿Consideras que ese conjunto de elementos puede estar en paralelo con la fuente V1, lo que te lleva a pensar que no contribuye al voltaje entre N2 y tierra?</t>
  </si>
  <si>
    <t>Algunos de los elementos que has propuesto son correctos, ya que están en el camino de la corriente desde V1.
¿Por qué pensaste que también contribuye R3?</t>
  </si>
  <si>
    <t>Estás avanzando, pero falta justificar tu razonamiento. Que esos elementos contribuyen al valor de la corriente desde V1.
¿Por qué crees que R3 no contribuye al valor de la corriente?</t>
  </si>
  <si>
    <t>Estás avanzando, pero falta justificar tu razonamiento. Que esos elementos contribuyen al valor de la corriente desde V1. ¿Por qué crees que R3 no influye en el valor de la corriente si está conectada en paralelo con las otras resistencias? Ese elemento tiene una propiedad relevante que debes identificar.</t>
  </si>
  <si>
    <t>Has mencionado correctamente que esos elementos contribuyen a la corriente que sale de V1. ¿Por qué pensaste que también R3 debería influir en el valor de la corriente? Recuerda, un interruptor abierto interrumpe el camino de la corriente.</t>
  </si>
  <si>
    <t>¿Por qué crees que R3 no contribuye a la corriente que sale de V1? Recuerda que un interruptor abierto interrumpe el camino de la corriente.</t>
  </si>
  <si>
    <t>R1 y R2 porque están  conectadas en paralelo con la fuente</t>
  </si>
  <si>
    <t>Buen comienzo, pero necesitamos ir un poco más allá. Que esos elementos contribuyen a la corriente. Ese elemento tiene una propiedad relevante que debes identificar. ¿Qué propiedad de ese elemento podrías analizar para decidirlo?</t>
  </si>
  <si>
    <t>¿Por qué crees que la corriente que llegaría a R3 se ve afectada cuando el interruptor está en posición abierta?</t>
  </si>
  <si>
    <t>Parte de tu respuesta es correcta, pero falta algo. esas resistencias.
¿Podrías explicar por qué crees que la corriente de V1 depende solo de ese conjunto de elementos y no de R3?</t>
  </si>
  <si>
    <t>¿Hacia qué nodo crees que va la corriente desde el otro extremo de ese conjunto de elementos?</t>
  </si>
  <si>
    <t>Eso no es del todo preciso. Pensemos un momento. Que R1 contribuye al valor de la corriente que sale de V1.
¿Crees que el hecho de que R1 esté conectada en paralelo con la fuente de tensión V1 afecta cómo se reparte la corriente entre las resistencias?</t>
  </si>
  <si>
    <t>R2 porque R1 se puede quitar al estar en paralelo con la fuente y R3 se puede quitar al estar encircuito abierto</t>
  </si>
  <si>
    <t>Parte de tu respuesta es correcta, pero falta algo. A ese conjunto de elementos! Ambas resistencias sí contribuyen al valor de la corriente que sale de V1.
¿Por qué crees que R3 no contribuye?</t>
  </si>
  <si>
    <t>Que R2 contribuye, pero también es importante considerar R1.
¿Por qué crees que ese conjunto de elementos sigue siendo relevante para el valor de la corriente que sale de V1?</t>
  </si>
  <si>
    <t>Has mencionado correctamente que esos elementos están en paralelo con la fuente V1, lo cual es una buena observación. Sin embargo, ¿por qué pensaste que también R3 contribuye a la corriente que sale de V1?</t>
  </si>
  <si>
    <t>Estás avanzando, pero falta justificar tu razonamiento. esos elementos contribuyen a la corriente que sale de V1 ya que están en serie con ella.
¿Cómo puedes justificar por qué R3 no influye en el valor de la corriente que sale de V1?</t>
  </si>
  <si>
    <t>Ese elemento tiene una propiedad relevante que debes identificar. Muy bien. ¿Crees que R1 contribuye a la corriente que sale de V1?</t>
  </si>
  <si>
    <t>¡Hola! Veamos este circuito juntos. Ese elemento tiene una propiedad relevante que debes identificar. ¿Puedes decirme hacia qué nodo crees que la corriente sale después de pasar por R1?</t>
  </si>
  <si>
    <t>Hay una característica clave de ese elemento que aún no has nombrado. Ahora, piensa en esas resistencias. ¿Crees que ambas contribuyen al valor de la corriente que sale de V1?</t>
  </si>
  <si>
    <t>Estás avanzando, pero falta justificar tu razonamiento. Falta una pieza concreta del análisis para llegar a la conclusión. Ahora, piensa en esas resistencias. ¿Crees que ambas están conectadas en serie o en paralelo entre N1 y 0?</t>
  </si>
  <si>
    <t>Vas por buen camino, pero hay que pulir algunos conceptos. Que R1 contribuye a la corriente que sale de V1.
¿Crees que el hecho de que R2 esté en paralelo con R1 y R3 (aunque R3 esté abierto) podría influir en la corriente total?</t>
  </si>
  <si>
    <t>¿Crees que el estado del interruptor entre N1 y N2 podría afectar esas resistencias?</t>
  </si>
  <si>
    <t>Confirmando, R1 contribuye a la corriente que sale de V1. ¿Por qué crees que R3 no contribuye a esa corriente si está conectada a la fuente? Ese elemento tiene una propiedad relevante que debes identificar.</t>
  </si>
  <si>
    <t>R2 porque estáconectada directamente a la fuente</t>
  </si>
  <si>
    <t>Buen comienzo, pero necesitamos ir un poco más allá. R2 contribuye al valor de la corriente que sale de V1. ¿Crees que el interruptor abierto entre N1 y N2 tenga alguna influencia en cuál resistencia depende la corriente?</t>
  </si>
  <si>
    <t>R2 porque estámás cerca del nodo común</t>
  </si>
  <si>
    <t>Has identificado correctamente que R2 contribuye al valor de la corriente.
¿Crees que el interruptor abierto entre N1 y N2 tenga alguna influencia en cuál resistencia depende la corriente?</t>
  </si>
  <si>
    <t>No acaba de ser correcto. Vamos a verlo de otra forma. Que R2 contribuye al valor de la corriente.
¿Crees que R3 también influiría en el valor de la corriente si no estuviera interrumpido por el interruptor?</t>
  </si>
  <si>
    <t>Ese elemento tiene una propiedad relevante que debes identificar. ¿Qué propiedad de ese elemento podrías analizar para decidirlo?</t>
  </si>
  <si>
    <t>Entiendo que consideras que todas las resistencias contribuyen a la corriente, pero vamos a analizarlo paso a paso. ¿Crees que R3 podría influir en la corriente que sale de V1?</t>
  </si>
  <si>
    <t>No del todo. Vamos a pensarlo de otra manera. Hay una característica clave de ese elemento que aún no has nombrado. ¿Crees que R3 podría influir en la corriente que sale de V1?</t>
  </si>
  <si>
    <t>No acaba de ser correcto. Vamos a verlo de otra forma. Que R2 contribuye a la corriente que sale de V1. Ese elemento tiene una propiedad relevante que debes identificar. ¿Qué propiedad de ese elemento podrías analizar para decidirlo?</t>
  </si>
  <si>
    <t>R1 porque estáconectada directamente al nodo N1</t>
  </si>
  <si>
    <t>Bien encaminado, aunque falta completar la respuesta. R1, eso es un buen paso.
¿Considerando que R2 también está conectado directamente al nodo N1, ¿crees que ambas resistencias contribuyen de la misma manera a la corriente que sale de V1?</t>
  </si>
  <si>
    <t>Hay conceptos que debemos revisar. Que R1 contribuye a la corriente. ¿Considerando que R2 también está conectado directamente al nodo N1, ¿crees que ambas resistencias (R1 y R2) contribuyen de la misma manera debido a su conexión en paralelo?</t>
  </si>
  <si>
    <t>No, R3 no contribuye debido a que el interruptor entre N1 y N2 lo tiene cortocircuitado.
¿Por qué pensaste que también R3 podría influir en la corriente que sale de V1?</t>
  </si>
  <si>
    <t>Ese elemento tiene una propiedad relevante que debes identificar. ¿Crees que podría haber una diferencia entre resistencias conectadas en paralelo y aquellas que están en circuito abierto?</t>
  </si>
  <si>
    <t>¿Por qué crees que R3 no influye en el valor de la corriente a pesar de estar conectado?</t>
  </si>
  <si>
    <t>La corriente sale del + de V1 y llega al nodo N1. ¿Hacia qué nodo crees que la corriente continuará desde el nodo N1?</t>
  </si>
  <si>
    <t>Algunos de los elementos que has propuesto son correctos porque forman parte del camino cerrado que la corriente toma desde V1 hasta la tierra. ¿Por qué crees que R3 no contribuye al valor de la corriente que sale de V1?</t>
  </si>
  <si>
    <t>Buen comienzo, pero necesitamos ir un poco más allá. Que esos elementos contribuyen al valor de la corriente que sale de V1. Ese elemento tiene una propiedad relevante que debes identificar. ¿Qué propiedad de ese elemento podrías analizar para decidirlo?</t>
  </si>
  <si>
    <t>Has mencionado correctamente que esos elementos son parte de la respuesta. Ese elemento tiene una propiedad relevante que debes identificar. ¿Qué propiedad de ese elemento podrías analizar para decidirlo?</t>
  </si>
  <si>
    <t>A ese conjunto de elementos como las resistencias por las que pasa la corriente.
¿Puedes pensar en cómo la corriente se distribuye entre estas resistencias y por qué R3 no contribuye?</t>
  </si>
  <si>
    <t>Casi. Hay algo que debemos revisar antes de continuar. Que esos elementos son las resistencias por las que pasa la corriente.
¿Puedes explicar cómo el voltaje en ese conjunto de elementos es el mismo debido a su conexión en paralelo?</t>
  </si>
  <si>
    <t>A ese conjunto de elementos como contribuyentes a la corriente de V1. Ese elemento tiene una propiedad relevante que debes identificar. ¿Qué pasaría con la corriente si ese interruptor se cerrara?</t>
  </si>
  <si>
    <t>Estás avanzando, pero falta justificar tu razonamiento. Que esos elementos son las resistencias que contribuyen a la corriente de V1.
¿Podrías explicar por qué R3 no influye en el valor de la corriente que sale de V1?</t>
  </si>
  <si>
    <t>¿Cómo afectaría el estado del interruptor entre N1 y N2 al valor de la corriente que sale de V1?</t>
  </si>
  <si>
    <t>Has mencionado correctamente que R1 contribuye a la corriente que sale de V1. Ese elemento tiene una propiedad relevante que debes identificar. ¿Qué propiedad de ese elemento podrías analizar para decidirlo?</t>
  </si>
  <si>
    <t>No es exactamente así. Vamos a repasar algo importante. A R1 como un elemento que contribuye. Eso es muy bueno.
¿Por qué pensaste que R3 también contribuiría a la corriente que sale de V1?</t>
  </si>
  <si>
    <t>No del todo. Vamos a pensarlo de otra manera. Que R1 contribuye a la corriente que sale de V1.
¿Por qué pensaste que R3 también contribuiría a la corriente?</t>
  </si>
  <si>
    <t>Que esos elementos contribuyen a la corriente de V1. Ese elemento tiene una propiedad relevante que debes identificar. ¿Qué pasa con la corriente que llegaría a R3 en ese caso?</t>
  </si>
  <si>
    <t>Estás cerca. Piensa en qué más podría influir. esos elementos son los elementos que contribuyen a la corriente de V1.
¿Cómo se comporta la corriente en una conexión en serie?</t>
  </si>
  <si>
    <t>Bien, veamos la contribución de ese conjunto de elementos.
¿Hacia qué nodo sale la corriente que sale del + de V1?</t>
  </si>
  <si>
    <t>¡Hola! Veamos este circuito juntos. Primero, observa que la corriente sale del polo positivo de la fuente V1 y llega al nodo N1. ¿Hacia qué nodo crees que continuará la corriente desde el nodo N1?</t>
  </si>
  <si>
    <t>Estás avanzando, pero falta justificar tu razonamiento. Ese elemento tiene una propiedad relevante que debes identificar. Ahora, piensa un momento: ¿qué resistencias están conectadas directamente entre el nodo N1 y la tierra?</t>
  </si>
  <si>
    <t>Bien encaminado, aunque falta completar la respuesta. Hay una característica clave de ese elemento que aún no has nombrado. Ahora, piensa en las resistencias conectadas directamente entre el nodo N1 y la tierra. ¿Qué otras resistencias estarían en el camino principal de la corriente desde N1 hasta la tierra?</t>
  </si>
  <si>
    <t>Casi. Hay algo que debemos revisar antes de continuar. Que R1 contribuye al valor de la corriente que sale de V1.
¿Crees que R2 también podría influir en el valor de esa corriente?</t>
  </si>
  <si>
    <t>¿Crees que R3 podría influir en el valor de esa corriente?</t>
  </si>
  <si>
    <t>Estás avanzando, pero falta justificar tu razonamiento. R1 contribuye al valor de la corriente que sale de V1. Ese elemento tiene una propiedad relevante que debes identificar. ¿Qué propiedad de ese elemento podrías analizar para decidirlo?</t>
  </si>
  <si>
    <t>Estás cerca. Piensa en qué más podría influir. R2 contribuye al valor de la corriente que sale de V1. ¿Crees que R1 también influya en el valor de esa corriente?</t>
  </si>
  <si>
    <t>Bien encaminado, aunque falta completar la respuesta. Que R2 contribuye al valor de la corriente que sale de V1.
¿Crees que R1 también influye en el valor de esa corriente? Recuerda, aunque R2 esté más cerca del nodo común, ambas resistencias están conectadas en paralelo entre N1 y 0.</t>
  </si>
  <si>
    <t>Casi. Hay algo que debemos revisar antes de continuar. R2 contribuye al valor de la corriente que sale de V1.
¿Crees que también contribuye ese conjunto de elementos? Recuerda, ambas resistencias esos elementos están conectadas en paralelo entre N1 y 0.</t>
  </si>
  <si>
    <t>Ese elemento tiene una propiedad relevante que debes identificar. ¿Hacia qué nodo piensas que la corriente de V1 podría ir en su lugar?</t>
  </si>
  <si>
    <t>Entiendo que piensas que todas las resistencias contribuyen a la corriente de V1. ¿Crees que R3 podría influir en la cantidad de corriente que sale de V1?</t>
  </si>
  <si>
    <t>Hay una característica clave de ese elemento que aún no has nombrado. ¿Crees que R3 podría influir en la cantidad de corriente que sale de V1?</t>
  </si>
  <si>
    <t>Estás avanzando, pero falta justificar tu razonamiento. Que R2 contribuye a la corriente de V1.
¿Por qué pensaste que R3 también sería relevante si está en el mismo nodo que R2?</t>
  </si>
  <si>
    <t>Bien encaminado, aunque falta completar la respuesta. Sobre R1! Ahora, ¿por qué crees que ese conjunto de elementos también depende del valor de la corriente que sale de V1?</t>
  </si>
  <si>
    <t>Hay algo que no encaja. Vamos a revisarlo juntos. Que R1 contribuye, pero falta considerar el estado del interruptor entre N1 y N2.
¿Por qué crees que la rama formada por R3 está desactivada?</t>
  </si>
  <si>
    <t>No es correcto incluir R3, ya que el interruptor entre N1 y N2 lo tiene cortocircuitado.
¿Por qué crees que R3 no contribuye a la corriente que sale de V1?</t>
  </si>
  <si>
    <t>Ese elemento tiene una propiedad relevante que debes identificar. ¿Crees que R3 podría influir en la corriente si el interruptor estuviera cerrado?</t>
  </si>
  <si>
    <t>Algunos de los elementos que has propuesto contribuyen directamente a la corriente que sale de V1. ¿Hacia qué nodo crees que va la corriente desde el nodo N1?</t>
  </si>
  <si>
    <t>Hay conceptos que debemos revisar. Que R1 y R2 contribuyen a la corriente que sale de V1.
¿Crees que R4 también influye en el valor de la corriente, dada su conexión entre N3 y 0?</t>
  </si>
  <si>
    <t>Cuidado, hay un error en ese razonamiento. Que R1 y R2 contribuyen a la corriente que sale de V1.
¿Crees que el voltaje en R4 es el mismo que en R1 y R2, dada su conexión en paralelo?</t>
  </si>
  <si>
    <t>Que esos elementos contribuyen a la corriente.
¿Crees que el voltaje en ese conjunto de elementos es el mismo que en ese conjunto de elementos, dada su conexión en paralelo?</t>
  </si>
  <si>
    <t>Estás cerca. Piensa en qué más podría influir. ese conjunto de elementos como contribuyentes a la corriente.
¿Por qué crees que esa resistencia no contribuye a la corriente que sale de V1?</t>
  </si>
  <si>
    <t>Has nombrado correctamente a ese conjunto de elementos, pero parece que R3 también fue incluido en tu respuesta. ¿Por qué crees que R3 contribuye a la corriente que sale de V1?</t>
  </si>
  <si>
    <t>Has nombrado correctamente a R1 y R2, pero parece que R3 también fue incluido en tu respuesta. ¿Por qué crees que R3 contribuye a la corriente que sale de V1?</t>
  </si>
  <si>
    <t>Que esos elementos contribuyen a la corriente. ¿Hacia qué nodo crees que la corriente sale del + de V1?</t>
  </si>
  <si>
    <t>Que esos elementos contribuyen a la corriente de V1. 
¿Cómo afecta el hecho de que R3 esté en un circuito abierto a la corriente que sale de V1?</t>
  </si>
  <si>
    <t>Buen comienzo, pero necesitamos ir un poco más allá. Que esos elementos contribuyen a la corriente de V1.
¿Puedes pensar por un momento en cómo el interruptor abierto entre N3 y N4 afecta a las resistencias que están conectadas después de él?</t>
  </si>
  <si>
    <t>Entiendo que crees que todas las resistencias contribuyen, pero vamos a pensar un poco más en cómo se conectan estos componentes.
¿Crees que R1 y R2 tienen alguna influencia en la corriente que sale de V1?</t>
  </si>
  <si>
    <t>Esa es una buena observación sobre el divisor de tensión, pero ¿crees que R4 también podría influir en la corriente que sale de V1? Considera cómo está conectado R4 en relación con las otras resistencias.</t>
  </si>
  <si>
    <t>Eso es correcto sobre el divisor de tensión con R1 y R2, pero ¿crees que R4 también podría influir en la corriente que sale de V1? Considera cómo está conectado R4 en relación con las otras resistencias.</t>
  </si>
  <si>
    <t>Eso no es del todo preciso. Pensemos un momento. Sobre el divisor de tensión con R1 y R2. ¿Crees que R4 también podría influir en la corriente que sale de V1? Considera cómo está conectado R4 en relación con las otras resistencias.</t>
  </si>
  <si>
    <t>¡Hola! Veamos este circuito juntos. La fuente de tensión V1 está conectada entre el nodo N1 y la tierra (nodo 0). Hay varias resistencias en el camino de la corriente que sale de V1. ¿Puedes decirme hacia qué nodo crees que va la corriente después de salir del + de V1?</t>
  </si>
  <si>
    <t>Entiendo que no estás seguro. Vamos a pensar en esto paso por paso. La corriente sale del + de la fuente V1 y llega al nodo N1. ¿Crees que esa corriente pueda seguir directamente hacia el nodo 0 sin pasar por ninguna resistencia?</t>
  </si>
  <si>
    <t>Entiendo que tienes esa idea. Cuando la corriente sale del + de V1, ¿cree que podría ir directamente al nodo 0 sin pasar por ninguna resistencia?</t>
  </si>
  <si>
    <t>Parte de tu respuesta es correcta, pero falta algo. R1 contribuye al valor de la corriente que sale de V1. ¿Crees que las resistencias R2 y R4 también influyan en el valor de esa corriente?</t>
  </si>
  <si>
    <t>Casi. Hay algo que debemos revisar antes de continuar. Sobre R2! Efectivamente, R2 contribuye al valor de la corriente que sale de V1.
¿Crees que R1 también influye en esa corriente?</t>
  </si>
  <si>
    <t>R3 no contribuye al valor de la corriente que sale de V1. ¿Crees que la corriente puede cruzar un interruptor abierto entre N3 y N4?</t>
  </si>
  <si>
    <t>Verdict: partial_correct
 ese elemento tiene una propiedad relevante que debes identificar. ¿Cómo piensas que las resistencias R1 y R2 influyen en el valor de la corriente que sale de V1?</t>
  </si>
  <si>
    <t>Verdict: partial_correct
Ese elemento tiene una propiedad relevante, pero hay más resistencias que influyen en el valor de la corriente que sale de V1. ¿Crees que las resistencias R1 y R2 tengan alguna influencia sobre esa corriente?</t>
  </si>
  <si>
    <t>Bien encaminado, aunque falta completar la respuesta. R1 contribuye. ¿Crees que R2 forme parte del camino de corriente desde N1 hasta la tierra?</t>
  </si>
  <si>
    <t>Bien encaminado, aunque falta completar la respuesta. Que la resistencia R2 contribuye al valor de la corriente que sale de V1.
¿Crees que las resistencias R1 y R4 también influyen en el valor de esa corriente?</t>
  </si>
  <si>
    <t>No del todo. Vamos a pensarlo de otra manera. R2 contribuye al valor de la corriente que sale de V1. Ese elemento tiene una propiedad relevante que debes identificar. ¿Puedes cruzar un interruptor abierto con la corriente?</t>
  </si>
  <si>
    <t>Bien encaminado, aunque falta completar la respuesta. Hay una característica clave de ese elemento que aún no has nombrado. ¿Crees que las resistencias R1 y R2 también influyen en el valor de la corriente que sale de V1?</t>
  </si>
  <si>
    <t>Entiendo que no estás seguro. Vamos a empezar por la fuente de tensión V1. La corriente sale del polo positivo de V1 y llega al primer nodo, N1. ¿Hacia qué nodo crees que continuará la corriente?</t>
  </si>
  <si>
    <t>No acaba de ser correcto. Vamos a verlo de otra forma. Que R1 y R2 están conectados en serie. Esto significa que la corriente que sale de V1 pasa por ambos.
¿Crees que R4 contribuye a la corriente que sale de V1?</t>
  </si>
  <si>
    <t>Cuidado, hay un error en ese razonamiento. Que R1 y R2 contribuyen a la corriente que sale de V1.
¿Crees que R4 también contribuye a la corriente que sale de V1?</t>
  </si>
  <si>
    <t>Hay algo que no encaja. Vamos a revisarlo juntos. Que R1 y R2 contribuyen a la corriente que sale de V1. Ese elemento tiene una propiedad relevante que debes identificar. ¿Hacia qué nodo crees que va la corriente después de pasar por R2?</t>
  </si>
  <si>
    <t>Estás cerca. Piensa en qué más podría influir. esos elementos contribuyen a la corriente que sale de V1.
Ahora, considera el interruptor abierto entre N3 y N4. ¿Crees que este interruptor afecta esas resistencias o ese conjunto de elementos en serie con la fuente?</t>
  </si>
  <si>
    <t>¡Correcto! Eso es exactamente lo que sucede con R3.
¿Crees que las resistencias R1, R2 y R4 contribuyen de alguna manera a la corriente que sale de V1?</t>
  </si>
  <si>
    <t>Correct.
¿Cómo afecta que R3 esté en circuito abierto a la corriente que sale de V1?</t>
  </si>
  <si>
    <t>Casi. Hay algo que debemos revisar antes de continuar. A ese conjunto de elementos! Estas resistencias están en el camino de la corriente desde V1.
¿Puedes pensar por un momento en qué afecta que R3 esté en circuito abierto?</t>
  </si>
  <si>
    <t>Algunos de los elementos que has propuesto contribuyen a la corriente desde V1.
¿Puedes pensar un momento en qué hace que R3 no influya en el valor de la corriente que sale de V1?</t>
  </si>
  <si>
    <t>La corriente sale del + de V1 y llega al nudo N1. ¿Hacia qué nodo crees que continuará desde ese nudo?</t>
  </si>
  <si>
    <t>¿Crees que esos elementos están en serie entre sí?</t>
  </si>
  <si>
    <t>Bien encaminado, aunque falta completar la respuesta. Que R1 y R2 contribuyen a la corriente que sale de V1. Ese elemento tiene una propiedad relevante que debes identificar. ¿Puedes pensar por un momento en por qué R4, aunque está conectado en paralelo con la fuente, también es relevante para determinar el valor de la corriente que sale de V1?</t>
  </si>
  <si>
    <t>Entiendo que consideras que todas las resistencias contribuyen, pero vamos a pensar un poco más en la conexión de R4. ¿Crees que aunque esté en paralelo con la fuente V1, afecta de alguna manera el valor de la corriente que sale de V1?</t>
  </si>
  <si>
    <t>Ese es un buen pensamiento, pero vamos a pensar más en cómo R4 afecta la corriente que sale de V1. Hay una característica clave de ese elemento que aún no has nombrado. ¿Qué propiedad de ese elemento podrías analizar para decidirlo?</t>
  </si>
  <si>
    <t>Pero hay que pulir algunos conceptos. Que esos elementos son las resistencias relevantes para el valor de la corriente que sale de V1.
¿Consideras que estas tres resistencias están en serie entre sí?</t>
  </si>
  <si>
    <t>Hay conceptos que debemos revisar. R1 y R2 forman parte del divisor de corriente que afecta la corriente desde V1.
¿Consideras que R4 también contribuye a determinar el valor de la corriente que sale de V1?</t>
  </si>
  <si>
    <t>Eso no es del todo preciso. Pensemos un momento. Que R4 contribuye al valor de la corriente.
¿Consideras que R1 y R2 también están en serie entre sí?</t>
  </si>
  <si>
    <t>¡Genial! Vamos a analizar el circuito paso a paso para entender de qué resistencias depende la corriente que sale de la fuente V1. Primero, observa que hay un interruptor abierto entre N3 y N4. ¿Crees que esto tenga alguna influencia en la corriente que sale de V1?</t>
  </si>
  <si>
    <t>¡Perfecto! Eso sugiere que estás considerando la influencia de los diferentes elementos en el circuito. Ese elemento tiene una propiedad relevante que debes identificar. ¿Hacia qué nodo crees que deberíamos seguir analizando para entender mejor cómo se distribuye la corriente?</t>
  </si>
  <si>
    <t>Buen comienzo, pero necesitamos ir un poco más allá. R1 es una de las resistencias que contribuye al valor de la corriente que sale de V1.
¿Crees que R2 también tenga alguna influencia en la corriente que fluye desde V1 hasta N1?</t>
  </si>
  <si>
    <t>Estás cerca. Piensa en qué más podría influir. Que R2 contribuye a la corriente de V1.
¿Crees que las resistencias R1 y R4 podrían influir en el valor de la corriente que sale de V1?</t>
  </si>
  <si>
    <t>¿Crees que la corriente puede fluir a través de un interruptor abierto?</t>
  </si>
  <si>
    <t>Hay conceptos que debemos revisar. ¿Crees que las resistencias R1 y R2 podrían influir en el valor de la corriente que sale de V1?</t>
  </si>
  <si>
    <t>Hay algo que no encaja. Vamos a revisarlo juntos. ¿Crees que las resistencias R1 y R2 también influyen en el valor de la corriente que sale de V1?</t>
  </si>
  <si>
    <t>Buen comienzo, pero necesitamos ir un poco más allá. R1 influye en la corriente que sale de V1. ¿Crees que R2 también contribuya al valor de esa corriente?</t>
  </si>
  <si>
    <t>R2 contribuye al valor de la corriente.
¿Crees que R1 forma parte del camino de la corriente que sale de V1?</t>
  </si>
  <si>
    <t>No incluyes ese conjunto de elementos en tu respuesta.
¿Consideraste que esas resistencias están en circuito cerrado y contribuyen a la corriente que sale de V1?</t>
  </si>
  <si>
    <t>Buen comienzo, pero necesitamos ir un poco más allá. R4 contribuye a la corriente que sale de V1.
¿Consideraste qué resistencias están en serie con R4 y podrían influir en el valor de la corriente?</t>
  </si>
  <si>
    <t>La corriente sale del + de V1 y llega al nodo N2. Ese elemento tiene una propiedad relevante que debes identificar. ¿Qué propiedad de ese elemento podrías analizar para decidirlo?</t>
  </si>
  <si>
    <t>No del todo. Vamos a pensarlo de otra manera. Que R1 y R2 contribuyen a la corriente de V1.
¿Crees que el interruptor abierto entre N3 y 0 afecta al valor de la corriente que sale de V1?</t>
  </si>
  <si>
    <t>Por ninguna, todas las resistencias poseen la misma corriente ya que  están conectadas en serie</t>
  </si>
  <si>
    <t>Eso es un buen pensamiento inicial. ¿Podrías explicar por qué crees que todas las resistencias tienen la misma corriente?</t>
  </si>
  <si>
    <t>Eso es un buen comienzo. ¿Podrías pensarlo de esta manera: si todas las resistencias están conectadas en serie, ¿cómo se comporta la corriente a través de ellas?</t>
  </si>
  <si>
    <t>Eso es correcto, y has acertado que en una conexión en serie la corriente es uniforme a lo largo de todo el circuito. ¿Podrías pensar ahora en cómo se comporta la corriente al pasar por cada resistencia?</t>
  </si>
  <si>
    <t>La corriente sale del + de V1 y llega al nodo N1. ¿Crees que la corriente se divida entre las diferentes resistencias en serie?</t>
  </si>
  <si>
    <t>La corriente sale del + de V1 y llega al nodo N1. ¿Crees que la corriente se divide entre las diferentes resistencias en serie?</t>
  </si>
  <si>
    <t>Cuidado, hay un error en ese razonamiento. Por qué pensaste que en R6 circula menos corriente porque es la última resistencia?</t>
  </si>
  <si>
    <t>¿Por qué pensaste que en R3 la corriente es menor porque está más adelante en el circuito?</t>
  </si>
  <si>
    <t>¿Por qué pensaste que en R4 la corriente podría ser menor?</t>
  </si>
  <si>
    <t>La corriente sale del + de V1 y llega al nudo N6. ¿Crees que la corriente se va consumiendo en cada resistencia, por lo que por R5 (cerca de la fuente) pasaría más corriente que por R6 (al final)?</t>
  </si>
  <si>
    <t>¡Eso es correcto! Todas las resistencias están conectadas en serie, formando un solo camino para la corriente desde el + de V1 hasta la tierra. ¿Crees que la corriente se divide entre las resistencias o sigue siendo la misma a lo largo del circuito?</t>
  </si>
  <si>
    <t>Entiendo que piensas que la corriente se reduce al pasar por cada resistencia. ¿Crees que la corriente sea mayor en R5 o R6?</t>
  </si>
  <si>
    <t>Eso es un buen principio, ¿puedes explicar por qué crees que todas las resistencias tienen la misma corriente?</t>
  </si>
  <si>
    <t>Eso es un buen punto de partida. ¿Crees que todas las resistencias están conectadas en una sola línea, formando un único camino para la corriente?</t>
  </si>
  <si>
    <t>Eso es una idea muy buena, ¿puedes decirme por qué crees que la corriente es la misma en todas las resistencias?</t>
  </si>
  <si>
    <t>Entiendo tu respuesta. ¿Crees que la corriente se disminuye o atenúa al pasar por las resistencias?</t>
  </si>
  <si>
    <t>Entiendo tu respuesta. ¿Crees que por dos resistencias en serie atraviesa la misma corriente o corrientes distintas?</t>
  </si>
  <si>
    <t>La corriente no se atenúa o disminuye en cada resistencia; por todas las resistencias pasa la misma corriente. ¿Crees que la corriente sea diferente entre dos resistencias en serie?</t>
  </si>
  <si>
    <t>La corriente no se consume en cada resistencia como crees, sino que atraviesa por todas ellas la misma cantidad. ¿Crees que la corriente sea la misma en dos resistencias en serie o puede ser diferente?</t>
  </si>
  <si>
    <t>La corriente no se consume en cada resistencia como crees. ¿Crees que por dos resistencias en serie atraviesa la misma corriente o corrientes distintas?</t>
  </si>
  <si>
    <t>No es correcto que la corriente se vaya consumiendo en cada resistencia. ¿Crees que por dos resistencias en serie atraviesa la misma corriente o corrientes distintas?</t>
  </si>
  <si>
    <t>La corriente sale del + de V1 y llega al nudo N6. ¿Crees que por todas las resistencias atraviesa la misma corriente o que se divide en diferentes cantidades?</t>
  </si>
  <si>
    <t>La corriente sale del + de V1 y llega al nudo N6. ¿Crees que la corriente se divide en diferentes cantidades cuando pasa por R5, o sigue siendo la misma cantidad que antes?</t>
  </si>
  <si>
    <t>No hay ninguna resistencia que atraviese mayor corriente que las demás. Según el experto, por todas las resistencias pasa la misma corriente.
¿Crees que la corriente se va consumiendo en cada resistencia, de manera que por R1 (cerca de la fuente) circula más que por R6 (al final)?</t>
  </si>
  <si>
    <t>No hay ninguna resistencia que atraviese mayor corriente que las demás. Según el experto, por todas las resistencias pasa la misma corriente.
¿Crees que la corriente se divide al pasar por diferentes resistencias?</t>
  </si>
  <si>
    <t>No, por todas las resistencias pasa la misma corriente.
¿Por qué pensaste que en R3 y R4 podría pasar más corriente que en el resto?</t>
  </si>
  <si>
    <t>No, por todas las resistencias pasa la misma corriente.
¿Por qué pensaste que en R4 y R5 podría pasar más corriente que en el resto?</t>
  </si>
  <si>
    <t>No, por todas las resistencias pasa la misma corriente.
¿Por qué pensaste que en R5 y R6 podría pasar más corriente que en el resto?</t>
  </si>
  <si>
    <t>Eso es interesante, ¿cómo piensas que el concepto del divisor de corriente se aplica a este circuito en particular?</t>
  </si>
  <si>
    <t>Eso suena como una idea interesante sobre el divisor de tensión. ¿Crees que la misma cantidad de corriente podría pasar a través de todas las resistencias debido a este concepto?</t>
  </si>
  <si>
    <t>Eso es una observación interesante sobre cómo se conectan las resistencias. ¿Crees que la misma tensión se aplica a todas las resistencias debido a esta conexión en paralelo?</t>
  </si>
  <si>
    <t>¿Crees que esto significa que la corriente será la misma a través de todas ellas?</t>
  </si>
  <si>
    <t>¿Crees que la corriente se reduzca al pasar por cada resistencia?</t>
  </si>
  <si>
    <t>Entiendo tu respuesta, pero ¿por qué pensaste que también R1 recibe más corriente?</t>
  </si>
  <si>
    <t>Entiendo tu respuesta, pero ¿por qué pensaste que también R2 recibe menos corriente?</t>
  </si>
  <si>
    <t>Hay una característica clave de ese elemento que aún no has nombrado. ¿Crees que dos resistencias en paralelo a la misma fuente tienen la misma diferencia de potencial?</t>
  </si>
  <si>
    <t>Eso es un buen comienzo, pero permíteme guiarte un poco más. Cuando decimos que las resistencias R1, R2 y R3 están conectadas en paralelo, ¿significa que comparten el mismo voltaje entre sí?</t>
  </si>
  <si>
    <t>Eso está muy bien, pero permíteme guiarte un poco más. Si R1, R2 y R3 están conectadas en paralelo, ¿significa que cada una de ellas verá exactamente el mismo voltaje?</t>
  </si>
  <si>
    <t>Eso es correcto, la corriente se reparte igualmente entre las tres resistencias. Ahora, ¿hacia qué nodo crees que R2 conecta desde N1?</t>
  </si>
  <si>
    <t>¿Recuerdas cómo se conectan las resistencias R1, R2 y R3?</t>
  </si>
  <si>
    <t>¿Cómo se conectan R1, R2 y R3 entre sí?</t>
  </si>
  <si>
    <t>No, R1, R2 y R3 están conectadas en paralelo entre sí. ¿Hacia qué nodo crees que se conecta R2?</t>
  </si>
  <si>
    <t>AC14-near, AC14-series</t>
  </si>
  <si>
    <t>Ese elemento tiene una propiedad relevante que debes identificar. Según el razonamiento experto, en una conexión en paralelo, ¿crees que el voltaje será el mismo en todas las resistencias?</t>
  </si>
  <si>
    <t>Ese elemento tiene una propiedad relevante, pero hay algo más importante sobre las resistencias en paralelo que debemos considerar. Según el razonamiento experto, ¿crees que dos resistencias en paralelo a la misma fuente tienen la misma diferencia de potencial?</t>
  </si>
  <si>
    <t>Según el razonamiento experto, ¿crees que la posición física de una resistencia en paralelo determina cuánta corriente circula a través de ella?</t>
  </si>
  <si>
    <t>Ese elemento tiene una propiedad relevante que debes identificar. ¿Crees que la posición física de una resistencia determine cuánta corriente pasa por ella?</t>
  </si>
  <si>
    <t>Ese es un buen inicio. ¿Crees que la posición de una resistencia en el circuito determine cuánta corriente pasa a través de ella?</t>
  </si>
  <si>
    <t>Ese es un buen pensamiento. ¿Crees que la posición física de las resistencias R2 y R3 determine cuánta corriente pasa a través de ellas?</t>
  </si>
  <si>
    <t>No has mencionado que todas las resistencias circulen la misma corriente, ¿por qué crees que R1 y R3 podrían tener una corriente diferente a R2?</t>
  </si>
  <si>
    <t>Entiendo que estás pensando en cómo la corriente se reparte entre las resistencias, pero recuerda que todas estas resistencias R1, R2 y R3 tienen el mismo valor. ¿Crees que la resistencia de menor valor podría influir en que una circule más corriente?</t>
  </si>
  <si>
    <t>Entiendo tu respuesta, pero recuerda que todas las resistencias R1, R2 y R3 tienen el mismo valor y están conectadas entre N1 y 0. ¿Crees que la posición central de una resistencia influye en cuánta corriente circula a través de ella?</t>
  </si>
  <si>
    <t>¡Hola! Veamos este circuito juntos. La fuente V1 está conectada entre el nodo N1 y la tierra (0). R1, R2 y R3 están todas conectadas entre N1 y la tierra. ¿Puedes decirme en qué dirección va la corriente que sale de la fuente V1?</t>
  </si>
  <si>
    <t>Entiendo que dijiste "no". Vamos a pensar en esto paso a paso. La corriente sale del + de la fuente V1 y llega al nodo N1. ¿Hacia qué nodo crees que va desde ahí?</t>
  </si>
  <si>
    <t>Por la que está más cerca de la fuente fí­sicamente</t>
  </si>
  <si>
    <t>Entiendo que dijiste "por la que está más cerca de la fuente física". Vamos a pensar en esto un poco más. La corriente sale del + de la fuente V1 y llega al nodo N1, pero luego se divide entre R1, R2 y R3. ¿Crees que la corriente se atenúa (se reduce) al pasar por cada resistencia?</t>
  </si>
  <si>
    <t>Entiendo tu respuesta, pero veamos esto desde otra perspectiva. Si piensas en el camino de la corriente global, ¿crees que su distancia respecto a la fuente de tensión V1 afecte cuánta corriente pasa por una resistencia?</t>
  </si>
  <si>
    <t>Eso es un buen punto sobre el voltaje, pero veamos cómo se relaciona con la corriente en este circuito. Según la ley de Ohm, la corriente depende del voltaje y la resistencia. ¿Crees que la distancia a la fuente o la cantidad de voltaje aplicado afecten directamente cuánta corriente pasa por cada resistencia?</t>
  </si>
  <si>
    <t>Entiendo tu respuesta. Veamos esto desde otra perspectiva. La topología del circuito es crucial para entender cómo se distribuye la corriente. ¿Crees que la posición de una resistencia en el esquema afecte cuánta corriente pasa a través de ella?</t>
  </si>
  <si>
    <t>Ese elemento tiene una propiedad relevante que debes identificar. ¿Crees que la corriente podría ser diferente en alguna de estas resistencias?</t>
  </si>
  <si>
    <t>Eso es un buen punto sobre cómo las resistencias están conectadas al mismo tiempo que la fuente de tensión. ¿Crees que la corriente podría ser diferente entre ellas debido a la conexión en paralelo?</t>
  </si>
  <si>
    <t>No es exactamente así. Vamos a repasar algo importante. Un buen punto sobre las resistencias en paralelo. ¿Crees que dos resistencias en paralelo a la misma fuente tienen la misma diferencia de potencial?</t>
  </si>
  <si>
    <t>Entiendo tu respuesta. ¿Consideraste la topología del circuito y cómo se reparte la corriente entre las tres resistencias conectadas en paralelo?</t>
  </si>
  <si>
    <t>Entiendo tu respuesta. ¿Consideraste cómo se reparte la corriente entre las tres resistencias conectadas en paralelo?</t>
  </si>
  <si>
    <t>Entiendo tu respuesta. Ese elemento tiene una propiedad relevante que debes identificar. ¿Qué propiedad de ese elemento podrías analizar para decidirlo?</t>
  </si>
  <si>
    <t>Entiendo tu respuesta. Ese elemento tiene una propiedad relevante que debes identificar. ¿Qué piensas sobre las dos resistencias R1 y R2 en relación a la fuente de tensión V1?</t>
  </si>
  <si>
    <t>Eso es un buen principio, ¡bien hecho! ¿Podrías pensarlo un poco más?</t>
  </si>
  <si>
    <t>Eso es correcto, ¡bien hecho! ¿Podrías explicar por qué crees que la corriente es la misma en todas las resistencias R1, R2 y R3?</t>
  </si>
  <si>
    <t>Eso es un pensamiento interesante, pero veamos esto desde otra perspectiva. ¿Crees que la corriente podría ser diferente en cada una de las resistencias R1, R2 y R3?</t>
  </si>
  <si>
    <t>Eso no parece correcto según el experto. ¿Recuerdas cómo se conectan las resistencias R1, R2 y R3 entre N1 y 0?</t>
  </si>
  <si>
    <t>Eso es un interesante punto de vista, pero vamos a pensar un poco más en cómo se comporta la corriente en una conexión en paralelo. ¿Crees que la corriente sea igual en todas las ramas de resistencias conectadas en paralelo?</t>
  </si>
  <si>
    <t>Eso es un interesante punto de vista, pero vamos a pensar en cómo se conectan realmente las resistencias R1, R2 y R3 entre N1 y 0. ¿Crees que podrías identificar cuál es el camino principal por donde fluye la corriente desde V1 hasta la tierra?</t>
  </si>
  <si>
    <t>Ese elemento tiene una propiedad relevante que debes identificar. Según el razonamiento experto, en una conexión en paralelo, ¿cómo se reparte la corriente?</t>
  </si>
  <si>
    <t>No acaba de ser correcto. Vamos a verlo de otra forma. Un buen inicio. Según el razonamiento experto, en una conexión en paralelo, ¿cómo se reparte la corriente entre las resistencias?</t>
  </si>
  <si>
    <t>No del todo. Vamos a pensarlo de otra manera. Un buen inicio. Según el razonamiento experto, en una conexión en paralelo, ¿cómo se reparte la corriente entre las resistencias?</t>
  </si>
  <si>
    <t>Ese elemento tiene una propiedad relevante que debes identificar. ¿Crees que la posición física de R3 determine cuánta corriente pasa a través de ella?</t>
  </si>
  <si>
    <t>Ese es un buen inicio. ¿Crees que la posición física de R3 determine cuánta corriente pasa a través de ella?</t>
  </si>
  <si>
    <t>No acaba de ser correcto. Vamos a verlo de otra forma. Un buen pensamiento inicial. ¿Crees que la posición física de R3 determine cuánta corriente pasa a través de ella?</t>
  </si>
  <si>
    <t>No has mencionado por qué pensaste que R1 o R3 atravesaría mayor corriente. ¿Crees que la corriente se atenúa al pasar por una resistencia?</t>
  </si>
  <si>
    <t>Interesante observación. ¿Crees que el valor de una resistencia tenga alguna influencia en cuánta corriente atraviesa?</t>
  </si>
  <si>
    <t>Interesante consideración. ¿Crees que la posición de una resistencia en el circuito influya en cuánta corriente atraviesa?</t>
  </si>
  <si>
    <t>¡Hola! Veamos este ejercicio juntos. Observa que la fuente V1 está conectada entre el nodo N1 y tierra (0). ¿Crees que las resistencias R1, R2 y R3 están conectadas en serie o en paralelo?</t>
  </si>
  <si>
    <t>Entiendo que no lo tienes claro. Vamos a pensar en las resistencias R1, R2 y R3 como ramas de un árbol. ¿Crees que la corriente sale del + de V1 y llega directamente al nudo N1 o tiene que pasar por cada una de esas resistencias para llegar a tierra?</t>
  </si>
  <si>
    <t>Entiendo tu respuesta. La ubicación física no determina el flujo de corriente en un circuito eléctrico. Vamos a pensar en las resistencias R1, R2 y R3 como ramas. ¿Crees que la corriente puede tomar más de una ruta para llegar a tierra?</t>
  </si>
  <si>
    <t>Esa es una idea interesante, pero veamos si podemos entender mejor cómo se distribuye la corriente en este circuito. La corriente no se atenúa al avanzar por el circuito; cada resistencia ve exactamente la misma tensión. ¿Crees que podrías pensar un poco más en cómo las tres resistencias R1, R2 y R3 están conectadas entre N1 y 0?</t>
  </si>
  <si>
    <t>Eso es un buen pensamiento, pero veamos cómo se distribuye realmente la corriente en este circuito. ¿Crees que podrías considerar cómo las tres resistencias R1, R2 y R3 están conectadas entre N1 y 0?</t>
  </si>
  <si>
    <t>Eso es un buen punto de partida. ¿Crees que podrías decirme hacia qué nodo crees que la corriente va desde R1?</t>
  </si>
  <si>
    <t>Interesante respuesta, pero veamos si podemos explorar esto un poco más. ¿Crees que las tres resistencias R1, R2 y R3 tienen la misma oposición a la corriente?</t>
  </si>
  <si>
    <t>Eso es un pensamiento interesante, pero veamos si podemos explorar esto un poco más. ¿Crees que todas las resistencias R1, R2 y R3 tienen el mismo voltaje?</t>
  </si>
  <si>
    <t>No es exactamente así. Vamos a repasar algo importante. Idea, pero veamos si podemos explorar esto un poco más. ¿Crees que dos resistencias en paralelo a la misma fuente tienen la misma diferencia de potencial?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</si>
</sst>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53"/>
  <sheetViews>
    <sheetView tabSelected="1" topLeftCell="A543" workbookViewId="0">
      <selection activeCell="A551" sqref="A551:XFD551"/>
    </sheetView>
  </sheetViews>
  <sheetFormatPr baseColWidth="10" defaultColWidth="8.88671875" defaultRowHeight="14.4" x14ac:dyDescent="0.3"/>
  <cols>
    <col min="20" max="20" width="59.33203125"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c r="T1" s="1" t="s">
        <v>445</v>
      </c>
      <c r="U1" s="1"/>
      <c r="V1" s="1"/>
    </row>
    <row r="2" spans="1:22" x14ac:dyDescent="0.3">
      <c r="A2">
        <v>1</v>
      </c>
      <c r="B2">
        <v>1</v>
      </c>
      <c r="C2">
        <v>1</v>
      </c>
      <c r="D2" t="s">
        <v>18</v>
      </c>
      <c r="E2" t="s">
        <v>19</v>
      </c>
      <c r="F2">
        <v>5</v>
      </c>
      <c r="G2">
        <v>4</v>
      </c>
      <c r="H2">
        <v>3</v>
      </c>
      <c r="I2">
        <v>5</v>
      </c>
      <c r="J2">
        <f>SUM(F2:I2)</f>
        <v>17</v>
      </c>
      <c r="K2">
        <v>8.65</v>
      </c>
      <c r="L2">
        <v>61</v>
      </c>
      <c r="M2">
        <v>6.94</v>
      </c>
      <c r="N2" t="s">
        <v>20</v>
      </c>
      <c r="O2" t="s">
        <v>20</v>
      </c>
      <c r="P2">
        <v>1</v>
      </c>
      <c r="Q2">
        <v>1</v>
      </c>
      <c r="R2">
        <v>1</v>
      </c>
      <c r="T2" s="2"/>
    </row>
    <row r="3" spans="1:22" x14ac:dyDescent="0.3">
      <c r="A3">
        <v>2</v>
      </c>
      <c r="B3">
        <v>2</v>
      </c>
      <c r="C3">
        <v>1</v>
      </c>
      <c r="D3" t="s">
        <v>21</v>
      </c>
      <c r="E3" t="s">
        <v>22</v>
      </c>
      <c r="F3">
        <v>4</v>
      </c>
      <c r="G3">
        <v>4</v>
      </c>
      <c r="H3">
        <v>3</v>
      </c>
      <c r="I3">
        <v>5</v>
      </c>
      <c r="J3">
        <f t="shared" ref="J3:J66" si="0">SUM(F3:I3)</f>
        <v>16</v>
      </c>
      <c r="K3">
        <v>7.8259999999999996</v>
      </c>
      <c r="L3">
        <v>36</v>
      </c>
      <c r="M3">
        <v>7.67</v>
      </c>
      <c r="N3" t="s">
        <v>20</v>
      </c>
      <c r="O3" t="s">
        <v>23</v>
      </c>
      <c r="P3">
        <v>0.5</v>
      </c>
      <c r="Q3">
        <v>1</v>
      </c>
      <c r="R3">
        <v>0.66700000000000004</v>
      </c>
    </row>
    <row r="4" spans="1:22" x14ac:dyDescent="0.3">
      <c r="A4">
        <v>3</v>
      </c>
      <c r="B4">
        <v>3</v>
      </c>
      <c r="C4">
        <v>1</v>
      </c>
      <c r="D4" t="s">
        <v>24</v>
      </c>
      <c r="E4" t="s">
        <v>25</v>
      </c>
      <c r="F4">
        <v>3</v>
      </c>
      <c r="G4">
        <v>5</v>
      </c>
      <c r="H4">
        <v>3</v>
      </c>
      <c r="I4">
        <v>5</v>
      </c>
      <c r="J4">
        <f t="shared" si="0"/>
        <v>16</v>
      </c>
      <c r="K4">
        <v>9.6460000000000008</v>
      </c>
      <c r="L4">
        <v>53</v>
      </c>
      <c r="M4">
        <v>6.22</v>
      </c>
      <c r="N4" t="s">
        <v>20</v>
      </c>
      <c r="O4" t="s">
        <v>20</v>
      </c>
      <c r="P4">
        <v>1</v>
      </c>
      <c r="Q4">
        <v>1</v>
      </c>
      <c r="R4">
        <v>1</v>
      </c>
    </row>
    <row r="5" spans="1:22" x14ac:dyDescent="0.3">
      <c r="A5">
        <v>4</v>
      </c>
      <c r="B5">
        <v>1</v>
      </c>
      <c r="C5">
        <v>1</v>
      </c>
      <c r="D5" t="s">
        <v>26</v>
      </c>
      <c r="E5" t="s">
        <v>27</v>
      </c>
      <c r="F5">
        <v>4</v>
      </c>
      <c r="G5">
        <v>3</v>
      </c>
      <c r="H5">
        <v>2</v>
      </c>
      <c r="I5">
        <v>3</v>
      </c>
      <c r="J5">
        <f t="shared" si="0"/>
        <v>12</v>
      </c>
      <c r="K5">
        <v>10.824</v>
      </c>
      <c r="L5">
        <v>54</v>
      </c>
      <c r="M5">
        <v>5.54</v>
      </c>
      <c r="N5" t="s">
        <v>20</v>
      </c>
      <c r="O5" t="s">
        <v>23</v>
      </c>
      <c r="P5">
        <v>0.5</v>
      </c>
      <c r="Q5">
        <v>1</v>
      </c>
      <c r="R5">
        <v>0.66700000000000004</v>
      </c>
    </row>
    <row r="6" spans="1:22" x14ac:dyDescent="0.3">
      <c r="A6">
        <v>5</v>
      </c>
      <c r="B6">
        <v>2</v>
      </c>
      <c r="C6">
        <v>1</v>
      </c>
      <c r="D6" t="s">
        <v>28</v>
      </c>
      <c r="E6" t="s">
        <v>29</v>
      </c>
      <c r="F6">
        <v>4</v>
      </c>
      <c r="G6">
        <v>5</v>
      </c>
      <c r="H6">
        <v>2</v>
      </c>
      <c r="I6">
        <v>5</v>
      </c>
      <c r="J6">
        <f t="shared" si="0"/>
        <v>16</v>
      </c>
      <c r="K6">
        <v>22.059000000000001</v>
      </c>
      <c r="L6">
        <v>40</v>
      </c>
      <c r="M6">
        <v>2.72</v>
      </c>
      <c r="N6" t="s">
        <v>30</v>
      </c>
      <c r="O6" t="s">
        <v>20</v>
      </c>
      <c r="P6">
        <v>0</v>
      </c>
      <c r="Q6">
        <v>0</v>
      </c>
      <c r="R6">
        <v>0</v>
      </c>
    </row>
    <row r="7" spans="1:22" x14ac:dyDescent="0.3">
      <c r="A7">
        <v>6</v>
      </c>
      <c r="B7">
        <v>3</v>
      </c>
      <c r="C7">
        <v>1</v>
      </c>
      <c r="D7" t="s">
        <v>31</v>
      </c>
      <c r="E7" t="s">
        <v>32</v>
      </c>
      <c r="F7">
        <v>4</v>
      </c>
      <c r="G7">
        <v>5</v>
      </c>
      <c r="H7">
        <v>4</v>
      </c>
      <c r="I7">
        <v>5</v>
      </c>
      <c r="J7">
        <f t="shared" si="0"/>
        <v>18</v>
      </c>
      <c r="K7">
        <v>9.5869999999999997</v>
      </c>
      <c r="L7">
        <v>39</v>
      </c>
      <c r="M7">
        <v>6.26</v>
      </c>
      <c r="N7" t="s">
        <v>30</v>
      </c>
      <c r="O7" t="s">
        <v>33</v>
      </c>
      <c r="P7">
        <v>1</v>
      </c>
      <c r="Q7">
        <v>0.5</v>
      </c>
      <c r="R7">
        <v>0.66700000000000004</v>
      </c>
    </row>
    <row r="8" spans="1:22" x14ac:dyDescent="0.3">
      <c r="A8">
        <v>7</v>
      </c>
      <c r="B8">
        <v>1</v>
      </c>
      <c r="C8">
        <v>1</v>
      </c>
      <c r="D8" t="s">
        <v>34</v>
      </c>
      <c r="E8" t="s">
        <v>35</v>
      </c>
      <c r="F8">
        <v>4</v>
      </c>
      <c r="G8">
        <v>5</v>
      </c>
      <c r="H8">
        <v>4</v>
      </c>
      <c r="I8">
        <v>5</v>
      </c>
      <c r="J8">
        <f t="shared" si="0"/>
        <v>18</v>
      </c>
      <c r="K8">
        <v>9.2579999999999991</v>
      </c>
      <c r="L8">
        <v>48</v>
      </c>
      <c r="M8">
        <v>6.48</v>
      </c>
      <c r="N8" t="s">
        <v>30</v>
      </c>
      <c r="O8" t="s">
        <v>23</v>
      </c>
      <c r="P8">
        <v>0.5</v>
      </c>
      <c r="Q8">
        <v>0.5</v>
      </c>
      <c r="R8">
        <v>0.5</v>
      </c>
    </row>
    <row r="9" spans="1:22" x14ac:dyDescent="0.3">
      <c r="A9">
        <v>8</v>
      </c>
      <c r="B9">
        <v>2</v>
      </c>
      <c r="C9">
        <v>1</v>
      </c>
      <c r="D9" t="s">
        <v>36</v>
      </c>
      <c r="E9" t="s">
        <v>37</v>
      </c>
      <c r="F9">
        <v>3</v>
      </c>
      <c r="G9">
        <v>3</v>
      </c>
      <c r="H9">
        <v>2</v>
      </c>
      <c r="I9">
        <v>3</v>
      </c>
      <c r="J9">
        <f t="shared" si="0"/>
        <v>11</v>
      </c>
      <c r="K9">
        <v>9.8610000000000007</v>
      </c>
      <c r="L9">
        <v>54</v>
      </c>
      <c r="M9">
        <v>6.08</v>
      </c>
      <c r="N9" t="s">
        <v>30</v>
      </c>
      <c r="O9" t="s">
        <v>20</v>
      </c>
      <c r="P9">
        <v>0</v>
      </c>
      <c r="Q9">
        <v>0</v>
      </c>
      <c r="R9">
        <v>0</v>
      </c>
    </row>
    <row r="10" spans="1:22" x14ac:dyDescent="0.3">
      <c r="A10">
        <v>9</v>
      </c>
      <c r="B10">
        <v>3</v>
      </c>
      <c r="C10">
        <v>1</v>
      </c>
      <c r="D10" t="s">
        <v>38</v>
      </c>
      <c r="E10" t="s">
        <v>39</v>
      </c>
      <c r="F10">
        <v>3</v>
      </c>
      <c r="G10">
        <v>1</v>
      </c>
      <c r="H10">
        <v>1</v>
      </c>
      <c r="I10">
        <v>1</v>
      </c>
      <c r="J10">
        <f t="shared" si="0"/>
        <v>6</v>
      </c>
      <c r="K10">
        <v>13.058999999999999</v>
      </c>
      <c r="L10">
        <v>41</v>
      </c>
      <c r="M10">
        <v>4.59</v>
      </c>
      <c r="N10" t="s">
        <v>30</v>
      </c>
      <c r="O10" t="s">
        <v>20</v>
      </c>
      <c r="P10">
        <v>0</v>
      </c>
      <c r="Q10">
        <v>0</v>
      </c>
      <c r="R10">
        <v>0</v>
      </c>
    </row>
    <row r="11" spans="1:22" x14ac:dyDescent="0.3">
      <c r="A11">
        <v>10</v>
      </c>
      <c r="B11">
        <v>1</v>
      </c>
      <c r="C11">
        <v>1</v>
      </c>
      <c r="D11" t="s">
        <v>40</v>
      </c>
      <c r="E11" t="s">
        <v>41</v>
      </c>
      <c r="F11">
        <v>5</v>
      </c>
      <c r="G11">
        <v>5</v>
      </c>
      <c r="H11">
        <v>5</v>
      </c>
      <c r="I11">
        <v>5</v>
      </c>
      <c r="J11">
        <f t="shared" si="0"/>
        <v>20</v>
      </c>
      <c r="K11">
        <v>8.9009999999999998</v>
      </c>
      <c r="L11">
        <v>20</v>
      </c>
      <c r="M11">
        <v>6.74</v>
      </c>
      <c r="N11" t="s">
        <v>30</v>
      </c>
      <c r="O11" t="s">
        <v>20</v>
      </c>
      <c r="P11">
        <v>0</v>
      </c>
      <c r="Q11">
        <v>0</v>
      </c>
      <c r="R11">
        <v>0</v>
      </c>
    </row>
    <row r="12" spans="1:22" x14ac:dyDescent="0.3">
      <c r="A12">
        <v>11</v>
      </c>
      <c r="B12">
        <v>2</v>
      </c>
      <c r="C12">
        <v>1</v>
      </c>
      <c r="D12" t="s">
        <v>42</v>
      </c>
      <c r="E12" t="s">
        <v>43</v>
      </c>
      <c r="F12">
        <v>4</v>
      </c>
      <c r="G12">
        <v>4</v>
      </c>
      <c r="H12">
        <v>4</v>
      </c>
      <c r="I12">
        <v>5</v>
      </c>
      <c r="J12">
        <f t="shared" si="0"/>
        <v>17</v>
      </c>
      <c r="K12">
        <v>8.4779999999999998</v>
      </c>
      <c r="L12">
        <v>36</v>
      </c>
      <c r="M12">
        <v>7.08</v>
      </c>
      <c r="N12" t="s">
        <v>23</v>
      </c>
      <c r="O12" t="s">
        <v>20</v>
      </c>
      <c r="P12">
        <v>1</v>
      </c>
      <c r="Q12">
        <v>0.5</v>
      </c>
      <c r="R12">
        <v>0.66700000000000004</v>
      </c>
    </row>
    <row r="13" spans="1:22" x14ac:dyDescent="0.3">
      <c r="A13">
        <v>12</v>
      </c>
      <c r="B13">
        <v>3</v>
      </c>
      <c r="C13">
        <v>1</v>
      </c>
      <c r="D13" t="s">
        <v>44</v>
      </c>
      <c r="E13" t="s">
        <v>45</v>
      </c>
      <c r="F13">
        <v>4</v>
      </c>
      <c r="G13">
        <v>5</v>
      </c>
      <c r="H13">
        <v>2</v>
      </c>
      <c r="I13">
        <v>1</v>
      </c>
      <c r="J13">
        <f t="shared" si="0"/>
        <v>12</v>
      </c>
      <c r="K13">
        <v>14.977</v>
      </c>
      <c r="L13">
        <v>54</v>
      </c>
      <c r="M13">
        <v>4.01</v>
      </c>
      <c r="N13" t="s">
        <v>30</v>
      </c>
      <c r="O13" t="s">
        <v>23</v>
      </c>
      <c r="P13">
        <v>0.5</v>
      </c>
      <c r="Q13">
        <v>0.5</v>
      </c>
      <c r="R13">
        <v>0.5</v>
      </c>
    </row>
    <row r="14" spans="1:22" x14ac:dyDescent="0.3">
      <c r="A14">
        <v>13</v>
      </c>
      <c r="B14">
        <v>1</v>
      </c>
      <c r="C14">
        <v>1</v>
      </c>
      <c r="D14" t="s">
        <v>46</v>
      </c>
      <c r="E14" t="s">
        <v>47</v>
      </c>
      <c r="F14">
        <v>3</v>
      </c>
      <c r="G14">
        <v>0</v>
      </c>
      <c r="H14">
        <v>2</v>
      </c>
      <c r="I14">
        <v>1</v>
      </c>
      <c r="J14">
        <f t="shared" si="0"/>
        <v>6</v>
      </c>
      <c r="K14">
        <v>9.5709999999999997</v>
      </c>
      <c r="L14">
        <v>33</v>
      </c>
      <c r="M14">
        <v>6.27</v>
      </c>
      <c r="N14" t="s">
        <v>30</v>
      </c>
      <c r="O14" t="s">
        <v>23</v>
      </c>
      <c r="P14">
        <v>0.5</v>
      </c>
      <c r="Q14">
        <v>0.5</v>
      </c>
      <c r="R14">
        <v>0.5</v>
      </c>
    </row>
    <row r="15" spans="1:22" x14ac:dyDescent="0.3">
      <c r="A15">
        <v>14</v>
      </c>
      <c r="B15">
        <v>2</v>
      </c>
      <c r="C15">
        <v>1</v>
      </c>
      <c r="D15" t="s">
        <v>48</v>
      </c>
      <c r="E15" t="s">
        <v>49</v>
      </c>
      <c r="F15">
        <v>4</v>
      </c>
      <c r="G15">
        <v>5</v>
      </c>
      <c r="H15">
        <v>5</v>
      </c>
      <c r="I15">
        <v>5</v>
      </c>
      <c r="J15">
        <f t="shared" si="0"/>
        <v>19</v>
      </c>
      <c r="K15">
        <v>14.978999999999999</v>
      </c>
      <c r="L15">
        <v>31</v>
      </c>
      <c r="M15">
        <v>4.01</v>
      </c>
      <c r="N15" t="s">
        <v>30</v>
      </c>
      <c r="O15" t="s">
        <v>20</v>
      </c>
      <c r="P15">
        <v>0</v>
      </c>
      <c r="Q15">
        <v>0</v>
      </c>
      <c r="R15">
        <v>0</v>
      </c>
    </row>
    <row r="16" spans="1:22" x14ac:dyDescent="0.3">
      <c r="A16">
        <v>15</v>
      </c>
      <c r="B16">
        <v>3</v>
      </c>
      <c r="C16">
        <v>1</v>
      </c>
      <c r="D16" t="s">
        <v>50</v>
      </c>
      <c r="E16" t="s">
        <v>51</v>
      </c>
      <c r="F16">
        <v>2</v>
      </c>
      <c r="G16">
        <v>5</v>
      </c>
      <c r="H16">
        <v>2</v>
      </c>
      <c r="I16">
        <v>5</v>
      </c>
      <c r="J16">
        <f t="shared" si="0"/>
        <v>14</v>
      </c>
      <c r="K16">
        <v>7.1740000000000004</v>
      </c>
      <c r="L16">
        <v>14</v>
      </c>
      <c r="M16">
        <v>8.36</v>
      </c>
      <c r="O16" t="s">
        <v>20</v>
      </c>
      <c r="P16">
        <v>0</v>
      </c>
      <c r="Q16">
        <v>1</v>
      </c>
      <c r="R16">
        <v>0</v>
      </c>
    </row>
    <row r="17" spans="1:18" x14ac:dyDescent="0.3">
      <c r="A17">
        <v>16</v>
      </c>
      <c r="B17">
        <v>1</v>
      </c>
      <c r="C17">
        <v>1</v>
      </c>
      <c r="D17" t="s">
        <v>52</v>
      </c>
      <c r="E17" t="s">
        <v>53</v>
      </c>
      <c r="F17">
        <v>3</v>
      </c>
      <c r="G17">
        <v>5</v>
      </c>
      <c r="H17">
        <v>4</v>
      </c>
      <c r="I17">
        <v>5</v>
      </c>
      <c r="J17">
        <f t="shared" si="0"/>
        <v>17</v>
      </c>
      <c r="K17">
        <v>9.9540000000000006</v>
      </c>
      <c r="L17">
        <v>59</v>
      </c>
      <c r="M17">
        <v>6.03</v>
      </c>
      <c r="O17" t="s">
        <v>20</v>
      </c>
      <c r="P17">
        <v>0</v>
      </c>
      <c r="Q17">
        <v>1</v>
      </c>
      <c r="R17">
        <v>0</v>
      </c>
    </row>
    <row r="18" spans="1:18" x14ac:dyDescent="0.3">
      <c r="A18">
        <v>17</v>
      </c>
      <c r="B18">
        <v>2</v>
      </c>
      <c r="C18">
        <v>1</v>
      </c>
      <c r="D18" t="s">
        <v>54</v>
      </c>
      <c r="E18" t="s">
        <v>55</v>
      </c>
      <c r="F18">
        <v>3</v>
      </c>
      <c r="G18">
        <v>5</v>
      </c>
      <c r="H18">
        <v>2</v>
      </c>
      <c r="I18">
        <v>5</v>
      </c>
      <c r="J18">
        <f t="shared" si="0"/>
        <v>15</v>
      </c>
      <c r="K18">
        <v>13.249000000000001</v>
      </c>
      <c r="L18">
        <v>45</v>
      </c>
      <c r="M18">
        <v>4.53</v>
      </c>
      <c r="N18" t="s">
        <v>30</v>
      </c>
      <c r="O18" t="s">
        <v>23</v>
      </c>
      <c r="P18">
        <v>0.5</v>
      </c>
      <c r="Q18">
        <v>0.5</v>
      </c>
      <c r="R18">
        <v>0.5</v>
      </c>
    </row>
    <row r="19" spans="1:18" x14ac:dyDescent="0.3">
      <c r="A19">
        <v>18</v>
      </c>
      <c r="B19">
        <v>3</v>
      </c>
      <c r="C19">
        <v>1</v>
      </c>
      <c r="D19" t="s">
        <v>56</v>
      </c>
      <c r="E19" t="s">
        <v>57</v>
      </c>
      <c r="F19">
        <v>5</v>
      </c>
      <c r="G19">
        <v>5</v>
      </c>
      <c r="H19">
        <v>5</v>
      </c>
      <c r="I19">
        <v>5</v>
      </c>
      <c r="J19">
        <f t="shared" si="0"/>
        <v>20</v>
      </c>
      <c r="K19">
        <v>1.2210000000000001</v>
      </c>
      <c r="L19">
        <v>35</v>
      </c>
      <c r="M19">
        <v>49.14</v>
      </c>
      <c r="P19">
        <v>1</v>
      </c>
      <c r="Q19">
        <v>1</v>
      </c>
      <c r="R19">
        <v>1</v>
      </c>
    </row>
    <row r="20" spans="1:18" x14ac:dyDescent="0.3">
      <c r="A20">
        <v>19</v>
      </c>
      <c r="B20">
        <v>1</v>
      </c>
      <c r="C20">
        <v>1</v>
      </c>
      <c r="D20" t="s">
        <v>58</v>
      </c>
      <c r="E20" t="s">
        <v>59</v>
      </c>
      <c r="F20">
        <v>5</v>
      </c>
      <c r="G20">
        <v>5</v>
      </c>
      <c r="H20">
        <v>5</v>
      </c>
      <c r="I20">
        <v>5</v>
      </c>
      <c r="J20">
        <f t="shared" si="0"/>
        <v>20</v>
      </c>
      <c r="K20">
        <v>7.5330000000000004</v>
      </c>
      <c r="L20">
        <v>28</v>
      </c>
      <c r="M20">
        <v>7.97</v>
      </c>
      <c r="N20" t="s">
        <v>30</v>
      </c>
      <c r="O20" t="s">
        <v>33</v>
      </c>
      <c r="P20">
        <v>1</v>
      </c>
      <c r="Q20">
        <v>0.5</v>
      </c>
      <c r="R20">
        <v>0.66700000000000004</v>
      </c>
    </row>
    <row r="21" spans="1:18" x14ac:dyDescent="0.3">
      <c r="A21">
        <v>20</v>
      </c>
      <c r="B21">
        <v>2</v>
      </c>
      <c r="C21">
        <v>1</v>
      </c>
      <c r="D21" t="s">
        <v>60</v>
      </c>
      <c r="E21" t="s">
        <v>61</v>
      </c>
      <c r="F21">
        <v>3</v>
      </c>
      <c r="G21">
        <v>5</v>
      </c>
      <c r="H21">
        <v>4</v>
      </c>
      <c r="I21">
        <v>5</v>
      </c>
      <c r="J21">
        <f t="shared" si="0"/>
        <v>17</v>
      </c>
      <c r="K21">
        <v>14.775</v>
      </c>
      <c r="L21">
        <v>40</v>
      </c>
      <c r="M21">
        <v>4.0599999999999996</v>
      </c>
      <c r="N21" t="s">
        <v>30</v>
      </c>
      <c r="O21" t="s">
        <v>23</v>
      </c>
      <c r="P21">
        <v>0.5</v>
      </c>
      <c r="Q21">
        <v>0.5</v>
      </c>
      <c r="R21">
        <v>0.5</v>
      </c>
    </row>
    <row r="22" spans="1:18" x14ac:dyDescent="0.3">
      <c r="A22">
        <v>21</v>
      </c>
      <c r="B22">
        <v>3</v>
      </c>
      <c r="C22">
        <v>1</v>
      </c>
      <c r="D22" t="s">
        <v>62</v>
      </c>
      <c r="E22" t="s">
        <v>63</v>
      </c>
      <c r="F22">
        <v>3</v>
      </c>
      <c r="G22">
        <v>5</v>
      </c>
      <c r="H22">
        <v>4</v>
      </c>
      <c r="I22">
        <v>5</v>
      </c>
      <c r="J22">
        <f t="shared" si="0"/>
        <v>17</v>
      </c>
      <c r="K22">
        <v>9.5470000000000006</v>
      </c>
      <c r="L22">
        <v>55</v>
      </c>
      <c r="M22">
        <v>6.28</v>
      </c>
      <c r="N22" t="s">
        <v>30</v>
      </c>
      <c r="O22" t="s">
        <v>23</v>
      </c>
      <c r="P22">
        <v>0.5</v>
      </c>
      <c r="Q22">
        <v>0.5</v>
      </c>
      <c r="R22">
        <v>0.5</v>
      </c>
    </row>
    <row r="23" spans="1:18" x14ac:dyDescent="0.3">
      <c r="A23">
        <v>22</v>
      </c>
      <c r="B23">
        <v>1</v>
      </c>
      <c r="C23">
        <v>1</v>
      </c>
      <c r="D23" t="s">
        <v>64</v>
      </c>
      <c r="E23" t="s">
        <v>65</v>
      </c>
      <c r="F23">
        <v>4</v>
      </c>
      <c r="G23">
        <v>5</v>
      </c>
      <c r="H23">
        <v>4</v>
      </c>
      <c r="I23">
        <v>5</v>
      </c>
      <c r="J23">
        <f t="shared" si="0"/>
        <v>18</v>
      </c>
      <c r="K23">
        <v>8.6890000000000001</v>
      </c>
      <c r="L23">
        <v>45</v>
      </c>
      <c r="M23">
        <v>6.9</v>
      </c>
      <c r="N23" t="s">
        <v>30</v>
      </c>
      <c r="O23" t="s">
        <v>20</v>
      </c>
      <c r="P23">
        <v>0</v>
      </c>
      <c r="Q23">
        <v>0</v>
      </c>
      <c r="R23">
        <v>0</v>
      </c>
    </row>
    <row r="24" spans="1:18" x14ac:dyDescent="0.3">
      <c r="A24">
        <v>23</v>
      </c>
      <c r="B24">
        <v>2</v>
      </c>
      <c r="C24">
        <v>1</v>
      </c>
      <c r="D24" t="s">
        <v>66</v>
      </c>
      <c r="E24" t="s">
        <v>67</v>
      </c>
      <c r="F24">
        <v>4</v>
      </c>
      <c r="G24">
        <v>5</v>
      </c>
      <c r="H24">
        <v>4</v>
      </c>
      <c r="I24">
        <v>5</v>
      </c>
      <c r="J24">
        <f t="shared" si="0"/>
        <v>18</v>
      </c>
      <c r="K24">
        <v>9.8070000000000004</v>
      </c>
      <c r="L24">
        <v>32</v>
      </c>
      <c r="M24">
        <v>6.12</v>
      </c>
      <c r="N24" t="s">
        <v>33</v>
      </c>
      <c r="O24" t="s">
        <v>23</v>
      </c>
      <c r="P24">
        <v>0.5</v>
      </c>
      <c r="Q24">
        <v>1</v>
      </c>
      <c r="R24">
        <v>0.66700000000000004</v>
      </c>
    </row>
    <row r="25" spans="1:18" x14ac:dyDescent="0.3">
      <c r="A25">
        <v>24</v>
      </c>
      <c r="B25">
        <v>3</v>
      </c>
      <c r="C25">
        <v>1</v>
      </c>
      <c r="D25" t="s">
        <v>68</v>
      </c>
      <c r="E25" t="s">
        <v>57</v>
      </c>
      <c r="F25">
        <v>0</v>
      </c>
      <c r="G25">
        <v>3</v>
      </c>
      <c r="H25">
        <v>1</v>
      </c>
      <c r="I25">
        <v>5</v>
      </c>
      <c r="J25">
        <f t="shared" si="0"/>
        <v>9</v>
      </c>
      <c r="K25">
        <v>1.2130000000000001</v>
      </c>
      <c r="L25">
        <v>35</v>
      </c>
      <c r="M25">
        <v>49.47</v>
      </c>
      <c r="N25" t="s">
        <v>69</v>
      </c>
      <c r="P25">
        <v>1</v>
      </c>
      <c r="Q25">
        <v>0</v>
      </c>
      <c r="R25">
        <v>0</v>
      </c>
    </row>
    <row r="26" spans="1:18" x14ac:dyDescent="0.3">
      <c r="A26">
        <v>25</v>
      </c>
      <c r="B26">
        <v>1</v>
      </c>
      <c r="C26">
        <v>1</v>
      </c>
      <c r="D26" t="s">
        <v>70</v>
      </c>
      <c r="E26" t="s">
        <v>71</v>
      </c>
      <c r="F26">
        <v>4</v>
      </c>
      <c r="G26">
        <v>3</v>
      </c>
      <c r="H26">
        <v>2</v>
      </c>
      <c r="I26">
        <v>5</v>
      </c>
      <c r="J26">
        <f t="shared" si="0"/>
        <v>14</v>
      </c>
      <c r="K26">
        <v>6.7949999999999999</v>
      </c>
      <c r="L26">
        <v>19</v>
      </c>
      <c r="M26">
        <v>8.83</v>
      </c>
      <c r="N26" t="s">
        <v>33</v>
      </c>
      <c r="O26" t="s">
        <v>23</v>
      </c>
      <c r="P26">
        <v>0.5</v>
      </c>
      <c r="Q26">
        <v>1</v>
      </c>
      <c r="R26">
        <v>0.66700000000000004</v>
      </c>
    </row>
    <row r="27" spans="1:18" x14ac:dyDescent="0.3">
      <c r="A27">
        <v>26</v>
      </c>
      <c r="B27">
        <v>2</v>
      </c>
      <c r="C27">
        <v>1</v>
      </c>
      <c r="D27" t="s">
        <v>72</v>
      </c>
      <c r="E27" t="s">
        <v>57</v>
      </c>
      <c r="F27">
        <v>3</v>
      </c>
      <c r="G27">
        <v>3</v>
      </c>
      <c r="H27">
        <v>1</v>
      </c>
      <c r="I27">
        <v>3</v>
      </c>
      <c r="J27">
        <f t="shared" si="0"/>
        <v>10</v>
      </c>
      <c r="K27">
        <v>1.1970000000000001</v>
      </c>
      <c r="L27">
        <v>35</v>
      </c>
      <c r="M27">
        <v>50.14</v>
      </c>
      <c r="N27" t="s">
        <v>69</v>
      </c>
      <c r="P27">
        <v>1</v>
      </c>
      <c r="Q27">
        <v>0</v>
      </c>
      <c r="R27">
        <v>0</v>
      </c>
    </row>
    <row r="28" spans="1:18" x14ac:dyDescent="0.3">
      <c r="A28">
        <v>27</v>
      </c>
      <c r="B28">
        <v>3</v>
      </c>
      <c r="C28">
        <v>1</v>
      </c>
      <c r="D28" t="s">
        <v>73</v>
      </c>
      <c r="E28" t="s">
        <v>57</v>
      </c>
      <c r="F28">
        <v>3</v>
      </c>
      <c r="G28">
        <v>3</v>
      </c>
      <c r="H28">
        <v>1</v>
      </c>
      <c r="I28">
        <v>3</v>
      </c>
      <c r="J28">
        <f t="shared" si="0"/>
        <v>10</v>
      </c>
      <c r="K28">
        <v>2.5999999999999999E-2</v>
      </c>
      <c r="L28">
        <v>35</v>
      </c>
      <c r="M28">
        <v>2286.9899999999998</v>
      </c>
      <c r="N28" t="s">
        <v>33</v>
      </c>
      <c r="P28">
        <v>1</v>
      </c>
      <c r="Q28">
        <v>0</v>
      </c>
      <c r="R28">
        <v>0</v>
      </c>
    </row>
    <row r="29" spans="1:18" x14ac:dyDescent="0.3">
      <c r="A29">
        <v>28</v>
      </c>
      <c r="B29">
        <v>1</v>
      </c>
      <c r="C29">
        <v>1</v>
      </c>
      <c r="D29" t="s">
        <v>74</v>
      </c>
      <c r="E29" t="s">
        <v>75</v>
      </c>
      <c r="F29">
        <v>3</v>
      </c>
      <c r="G29">
        <v>5</v>
      </c>
      <c r="H29">
        <v>3</v>
      </c>
      <c r="I29">
        <v>5</v>
      </c>
      <c r="J29">
        <f t="shared" si="0"/>
        <v>16</v>
      </c>
      <c r="K29">
        <v>8.1120000000000001</v>
      </c>
      <c r="L29">
        <v>19</v>
      </c>
      <c r="M29">
        <v>7.4</v>
      </c>
      <c r="N29" t="s">
        <v>69</v>
      </c>
      <c r="O29" t="s">
        <v>30</v>
      </c>
      <c r="P29">
        <v>0.5</v>
      </c>
      <c r="Q29">
        <v>1</v>
      </c>
      <c r="R29">
        <v>0.66700000000000004</v>
      </c>
    </row>
    <row r="30" spans="1:18" x14ac:dyDescent="0.3">
      <c r="A30">
        <v>29</v>
      </c>
      <c r="B30">
        <v>2</v>
      </c>
      <c r="C30">
        <v>1</v>
      </c>
      <c r="D30" t="s">
        <v>76</v>
      </c>
      <c r="E30" t="s">
        <v>77</v>
      </c>
      <c r="F30">
        <v>4</v>
      </c>
      <c r="G30">
        <v>4</v>
      </c>
      <c r="H30">
        <v>3</v>
      </c>
      <c r="I30">
        <v>5</v>
      </c>
      <c r="J30">
        <f t="shared" si="0"/>
        <v>16</v>
      </c>
      <c r="K30">
        <v>9.4429999999999996</v>
      </c>
      <c r="L30">
        <v>62</v>
      </c>
      <c r="M30">
        <v>6.35</v>
      </c>
      <c r="N30" t="s">
        <v>33</v>
      </c>
      <c r="O30" t="s">
        <v>23</v>
      </c>
      <c r="P30">
        <v>0.5</v>
      </c>
      <c r="Q30">
        <v>1</v>
      </c>
      <c r="R30">
        <v>0.66700000000000004</v>
      </c>
    </row>
    <row r="31" spans="1:18" x14ac:dyDescent="0.3">
      <c r="A31">
        <v>30</v>
      </c>
      <c r="B31">
        <v>3</v>
      </c>
      <c r="C31">
        <v>1</v>
      </c>
      <c r="D31" t="s">
        <v>78</v>
      </c>
      <c r="E31" t="s">
        <v>79</v>
      </c>
      <c r="F31">
        <v>1</v>
      </c>
      <c r="G31">
        <v>5</v>
      </c>
      <c r="H31">
        <v>3</v>
      </c>
      <c r="I31">
        <v>5</v>
      </c>
      <c r="J31">
        <f t="shared" si="0"/>
        <v>14</v>
      </c>
      <c r="K31">
        <v>9.484</v>
      </c>
      <c r="L31">
        <v>61</v>
      </c>
      <c r="M31">
        <v>6.33</v>
      </c>
      <c r="N31" t="s">
        <v>69</v>
      </c>
      <c r="O31" t="s">
        <v>80</v>
      </c>
      <c r="P31">
        <v>0.33300000000000002</v>
      </c>
      <c r="Q31">
        <v>1</v>
      </c>
      <c r="R31">
        <v>0.5</v>
      </c>
    </row>
    <row r="32" spans="1:18" x14ac:dyDescent="0.3">
      <c r="A32">
        <v>31</v>
      </c>
      <c r="B32">
        <v>1</v>
      </c>
      <c r="C32">
        <v>1</v>
      </c>
      <c r="D32" t="s">
        <v>81</v>
      </c>
      <c r="E32" t="s">
        <v>82</v>
      </c>
      <c r="F32">
        <v>5</v>
      </c>
      <c r="G32">
        <v>5</v>
      </c>
      <c r="H32">
        <v>5</v>
      </c>
      <c r="I32">
        <v>5</v>
      </c>
      <c r="J32">
        <f t="shared" si="0"/>
        <v>20</v>
      </c>
      <c r="K32">
        <v>8.7629999999999999</v>
      </c>
      <c r="L32">
        <v>33</v>
      </c>
      <c r="M32">
        <v>6.85</v>
      </c>
      <c r="N32" t="s">
        <v>33</v>
      </c>
      <c r="O32" t="s">
        <v>23</v>
      </c>
      <c r="P32">
        <v>0.5</v>
      </c>
      <c r="Q32">
        <v>1</v>
      </c>
      <c r="R32">
        <v>0.66700000000000004</v>
      </c>
    </row>
    <row r="33" spans="1:18" x14ac:dyDescent="0.3">
      <c r="A33">
        <v>32</v>
      </c>
      <c r="B33">
        <v>2</v>
      </c>
      <c r="C33">
        <v>1</v>
      </c>
      <c r="D33" t="s">
        <v>83</v>
      </c>
      <c r="E33" t="s">
        <v>57</v>
      </c>
      <c r="F33">
        <v>0</v>
      </c>
      <c r="G33">
        <v>3</v>
      </c>
      <c r="H33">
        <v>1</v>
      </c>
      <c r="I33">
        <v>5</v>
      </c>
      <c r="J33">
        <f t="shared" si="0"/>
        <v>9</v>
      </c>
      <c r="K33">
        <v>1.1719999999999999</v>
      </c>
      <c r="L33">
        <v>35</v>
      </c>
      <c r="M33">
        <v>51.2</v>
      </c>
      <c r="N33" t="s">
        <v>69</v>
      </c>
      <c r="P33">
        <v>1</v>
      </c>
      <c r="Q33">
        <v>0</v>
      </c>
      <c r="R33">
        <v>0</v>
      </c>
    </row>
    <row r="34" spans="1:18" x14ac:dyDescent="0.3">
      <c r="A34">
        <v>33</v>
      </c>
      <c r="B34">
        <v>3</v>
      </c>
      <c r="C34">
        <v>1</v>
      </c>
      <c r="D34" t="s">
        <v>84</v>
      </c>
      <c r="E34" t="s">
        <v>85</v>
      </c>
      <c r="F34">
        <v>4</v>
      </c>
      <c r="G34">
        <v>5</v>
      </c>
      <c r="H34">
        <v>5</v>
      </c>
      <c r="I34">
        <v>5</v>
      </c>
      <c r="J34">
        <f t="shared" si="0"/>
        <v>19</v>
      </c>
      <c r="K34">
        <v>5.468</v>
      </c>
      <c r="L34">
        <v>27</v>
      </c>
      <c r="M34">
        <v>10.97</v>
      </c>
      <c r="N34" t="s">
        <v>20</v>
      </c>
      <c r="O34" t="s">
        <v>33</v>
      </c>
      <c r="P34">
        <v>0</v>
      </c>
      <c r="Q34">
        <v>0</v>
      </c>
      <c r="R34">
        <v>0</v>
      </c>
    </row>
    <row r="35" spans="1:18" x14ac:dyDescent="0.3">
      <c r="A35">
        <v>34</v>
      </c>
      <c r="B35">
        <v>1</v>
      </c>
      <c r="C35">
        <v>1</v>
      </c>
      <c r="D35" t="s">
        <v>86</v>
      </c>
      <c r="E35" t="s">
        <v>87</v>
      </c>
      <c r="F35">
        <v>5</v>
      </c>
      <c r="G35">
        <v>5</v>
      </c>
      <c r="H35">
        <v>4</v>
      </c>
      <c r="I35">
        <v>5</v>
      </c>
      <c r="J35">
        <f t="shared" si="0"/>
        <v>19</v>
      </c>
      <c r="K35">
        <v>12.18</v>
      </c>
      <c r="L35">
        <v>23</v>
      </c>
      <c r="M35">
        <v>4.93</v>
      </c>
      <c r="N35" t="s">
        <v>20</v>
      </c>
      <c r="O35" t="s">
        <v>20</v>
      </c>
      <c r="P35">
        <v>1</v>
      </c>
      <c r="Q35">
        <v>1</v>
      </c>
      <c r="R35">
        <v>1</v>
      </c>
    </row>
    <row r="36" spans="1:18" x14ac:dyDescent="0.3">
      <c r="A36">
        <v>35</v>
      </c>
      <c r="B36">
        <v>2</v>
      </c>
      <c r="C36">
        <v>1</v>
      </c>
      <c r="D36" t="s">
        <v>88</v>
      </c>
      <c r="E36" t="s">
        <v>89</v>
      </c>
      <c r="F36">
        <v>3</v>
      </c>
      <c r="G36">
        <v>5</v>
      </c>
      <c r="H36">
        <v>4</v>
      </c>
      <c r="I36">
        <v>5</v>
      </c>
      <c r="J36">
        <f t="shared" si="0"/>
        <v>17</v>
      </c>
      <c r="K36">
        <v>8.9030000000000005</v>
      </c>
      <c r="L36">
        <v>35</v>
      </c>
      <c r="M36">
        <v>6.74</v>
      </c>
      <c r="N36" t="s">
        <v>20</v>
      </c>
      <c r="O36" t="s">
        <v>20</v>
      </c>
      <c r="P36">
        <v>1</v>
      </c>
      <c r="Q36">
        <v>1</v>
      </c>
      <c r="R36">
        <v>1</v>
      </c>
    </row>
    <row r="37" spans="1:18" x14ac:dyDescent="0.3">
      <c r="A37">
        <v>36</v>
      </c>
      <c r="B37">
        <v>3</v>
      </c>
      <c r="C37">
        <v>1</v>
      </c>
      <c r="D37" t="s">
        <v>90</v>
      </c>
      <c r="E37" t="s">
        <v>91</v>
      </c>
      <c r="F37">
        <v>5</v>
      </c>
      <c r="G37">
        <v>5</v>
      </c>
      <c r="H37">
        <v>2</v>
      </c>
      <c r="I37">
        <v>5</v>
      </c>
      <c r="J37">
        <f t="shared" si="0"/>
        <v>17</v>
      </c>
      <c r="K37">
        <v>16.062000000000001</v>
      </c>
      <c r="L37">
        <v>27</v>
      </c>
      <c r="M37">
        <v>3.74</v>
      </c>
      <c r="O37" t="s">
        <v>92</v>
      </c>
      <c r="P37">
        <v>0</v>
      </c>
      <c r="Q37">
        <v>1</v>
      </c>
      <c r="R37">
        <v>0</v>
      </c>
    </row>
    <row r="38" spans="1:18" x14ac:dyDescent="0.3">
      <c r="A38">
        <v>37</v>
      </c>
      <c r="B38">
        <v>1</v>
      </c>
      <c r="C38">
        <v>1</v>
      </c>
      <c r="D38" t="s">
        <v>93</v>
      </c>
      <c r="E38" t="s">
        <v>94</v>
      </c>
      <c r="F38">
        <v>5</v>
      </c>
      <c r="G38">
        <v>5</v>
      </c>
      <c r="H38">
        <v>5</v>
      </c>
      <c r="I38">
        <v>5</v>
      </c>
      <c r="J38">
        <f t="shared" si="0"/>
        <v>20</v>
      </c>
      <c r="K38">
        <v>8.3879999999999999</v>
      </c>
      <c r="L38">
        <v>31</v>
      </c>
      <c r="M38">
        <v>7.15</v>
      </c>
      <c r="N38" t="s">
        <v>69</v>
      </c>
      <c r="O38" t="s">
        <v>33</v>
      </c>
      <c r="P38">
        <v>0</v>
      </c>
      <c r="Q38">
        <v>0</v>
      </c>
      <c r="R38">
        <v>0</v>
      </c>
    </row>
    <row r="39" spans="1:18" x14ac:dyDescent="0.3">
      <c r="A39">
        <v>38</v>
      </c>
      <c r="B39">
        <v>2</v>
      </c>
      <c r="C39">
        <v>1</v>
      </c>
      <c r="D39" t="s">
        <v>95</v>
      </c>
      <c r="E39" t="s">
        <v>96</v>
      </c>
      <c r="F39">
        <v>4</v>
      </c>
      <c r="G39">
        <v>5</v>
      </c>
      <c r="H39">
        <v>5</v>
      </c>
      <c r="I39">
        <v>5</v>
      </c>
      <c r="J39">
        <f t="shared" si="0"/>
        <v>19</v>
      </c>
      <c r="K39">
        <v>10.063000000000001</v>
      </c>
      <c r="L39">
        <v>50</v>
      </c>
      <c r="M39">
        <v>5.96</v>
      </c>
      <c r="N39" t="s">
        <v>33</v>
      </c>
      <c r="P39">
        <v>1</v>
      </c>
      <c r="Q39">
        <v>0</v>
      </c>
      <c r="R39">
        <v>0</v>
      </c>
    </row>
    <row r="40" spans="1:18" x14ac:dyDescent="0.3">
      <c r="A40">
        <v>39</v>
      </c>
      <c r="B40">
        <v>3</v>
      </c>
      <c r="C40">
        <v>1</v>
      </c>
      <c r="D40" t="s">
        <v>97</v>
      </c>
      <c r="E40" t="s">
        <v>98</v>
      </c>
      <c r="F40">
        <v>3</v>
      </c>
      <c r="G40">
        <v>3</v>
      </c>
      <c r="H40">
        <v>4</v>
      </c>
      <c r="I40">
        <v>5</v>
      </c>
      <c r="J40">
        <f t="shared" si="0"/>
        <v>15</v>
      </c>
      <c r="K40">
        <v>14.727</v>
      </c>
      <c r="L40">
        <v>45</v>
      </c>
      <c r="M40">
        <v>4.07</v>
      </c>
      <c r="O40" t="s">
        <v>33</v>
      </c>
      <c r="P40">
        <v>0</v>
      </c>
      <c r="Q40">
        <v>1</v>
      </c>
      <c r="R40">
        <v>0</v>
      </c>
    </row>
    <row r="41" spans="1:18" x14ac:dyDescent="0.3">
      <c r="A41">
        <v>40</v>
      </c>
      <c r="B41">
        <v>1</v>
      </c>
      <c r="C41">
        <v>1</v>
      </c>
      <c r="D41" t="s">
        <v>99</v>
      </c>
      <c r="E41" t="s">
        <v>100</v>
      </c>
      <c r="F41">
        <v>4</v>
      </c>
      <c r="G41">
        <v>5</v>
      </c>
      <c r="H41">
        <v>5</v>
      </c>
      <c r="I41">
        <v>5</v>
      </c>
      <c r="J41">
        <f t="shared" si="0"/>
        <v>19</v>
      </c>
      <c r="K41">
        <v>9.1069999999999993</v>
      </c>
      <c r="L41">
        <v>33</v>
      </c>
      <c r="M41">
        <v>6.59</v>
      </c>
      <c r="N41" t="s">
        <v>33</v>
      </c>
      <c r="O41" t="s">
        <v>23</v>
      </c>
      <c r="P41">
        <v>0.5</v>
      </c>
      <c r="Q41">
        <v>1</v>
      </c>
      <c r="R41">
        <v>0.66700000000000004</v>
      </c>
    </row>
    <row r="42" spans="1:18" x14ac:dyDescent="0.3">
      <c r="A42">
        <v>41</v>
      </c>
      <c r="B42">
        <v>2</v>
      </c>
      <c r="C42">
        <v>1</v>
      </c>
      <c r="D42" t="s">
        <v>101</v>
      </c>
      <c r="E42" t="s">
        <v>102</v>
      </c>
      <c r="F42">
        <v>5</v>
      </c>
      <c r="G42">
        <v>5</v>
      </c>
      <c r="H42">
        <v>5</v>
      </c>
      <c r="I42">
        <v>5</v>
      </c>
      <c r="J42">
        <f t="shared" si="0"/>
        <v>20</v>
      </c>
      <c r="K42">
        <v>8.99</v>
      </c>
      <c r="L42">
        <v>19</v>
      </c>
      <c r="M42">
        <v>6.67</v>
      </c>
      <c r="N42" t="s">
        <v>23</v>
      </c>
      <c r="O42" t="s">
        <v>33</v>
      </c>
      <c r="P42">
        <v>1</v>
      </c>
      <c r="Q42">
        <v>0.5</v>
      </c>
      <c r="R42">
        <v>0.66700000000000004</v>
      </c>
    </row>
    <row r="43" spans="1:18" x14ac:dyDescent="0.3">
      <c r="A43">
        <v>42</v>
      </c>
      <c r="B43">
        <v>3</v>
      </c>
      <c r="C43">
        <v>1</v>
      </c>
      <c r="D43" t="s">
        <v>103</v>
      </c>
      <c r="E43" t="s">
        <v>104</v>
      </c>
      <c r="F43">
        <v>5</v>
      </c>
      <c r="G43">
        <v>5</v>
      </c>
      <c r="H43">
        <v>5</v>
      </c>
      <c r="I43">
        <v>5</v>
      </c>
      <c r="J43">
        <f t="shared" si="0"/>
        <v>20</v>
      </c>
      <c r="K43">
        <v>7.3090000000000002</v>
      </c>
      <c r="L43">
        <v>15</v>
      </c>
      <c r="M43">
        <v>8.2100000000000009</v>
      </c>
      <c r="N43" t="s">
        <v>92</v>
      </c>
      <c r="O43" t="s">
        <v>69</v>
      </c>
      <c r="P43">
        <v>1</v>
      </c>
      <c r="Q43">
        <v>0.5</v>
      </c>
      <c r="R43">
        <v>0.66700000000000004</v>
      </c>
    </row>
    <row r="44" spans="1:18" x14ac:dyDescent="0.3">
      <c r="A44">
        <v>43</v>
      </c>
      <c r="B44">
        <v>1</v>
      </c>
      <c r="C44">
        <v>3</v>
      </c>
      <c r="D44" t="s">
        <v>105</v>
      </c>
      <c r="E44" t="s">
        <v>106</v>
      </c>
      <c r="F44">
        <v>4</v>
      </c>
      <c r="G44">
        <v>5</v>
      </c>
      <c r="H44">
        <v>4</v>
      </c>
      <c r="I44">
        <v>5</v>
      </c>
      <c r="J44">
        <f t="shared" si="0"/>
        <v>18</v>
      </c>
      <c r="K44">
        <v>9.093</v>
      </c>
      <c r="L44">
        <v>63</v>
      </c>
      <c r="M44">
        <v>6.6</v>
      </c>
      <c r="N44" t="s">
        <v>20</v>
      </c>
      <c r="O44" t="s">
        <v>107</v>
      </c>
      <c r="P44">
        <v>0</v>
      </c>
      <c r="Q44">
        <v>0</v>
      </c>
      <c r="R44">
        <v>0</v>
      </c>
    </row>
    <row r="45" spans="1:18" x14ac:dyDescent="0.3">
      <c r="A45">
        <v>44</v>
      </c>
      <c r="B45">
        <v>2</v>
      </c>
      <c r="C45">
        <v>3</v>
      </c>
      <c r="D45" t="s">
        <v>108</v>
      </c>
      <c r="E45" t="s">
        <v>109</v>
      </c>
      <c r="F45">
        <v>4</v>
      </c>
      <c r="G45">
        <v>5</v>
      </c>
      <c r="H45">
        <v>4</v>
      </c>
      <c r="I45">
        <v>5</v>
      </c>
      <c r="J45">
        <f t="shared" si="0"/>
        <v>18</v>
      </c>
      <c r="K45">
        <v>11.609</v>
      </c>
      <c r="L45">
        <v>40</v>
      </c>
      <c r="M45">
        <v>5.17</v>
      </c>
      <c r="N45" t="s">
        <v>20</v>
      </c>
      <c r="O45" t="s">
        <v>107</v>
      </c>
      <c r="P45">
        <v>0</v>
      </c>
      <c r="Q45">
        <v>0</v>
      </c>
      <c r="R45">
        <v>0</v>
      </c>
    </row>
    <row r="46" spans="1:18" x14ac:dyDescent="0.3">
      <c r="A46">
        <v>45</v>
      </c>
      <c r="B46">
        <v>3</v>
      </c>
      <c r="C46">
        <v>3</v>
      </c>
      <c r="D46" t="s">
        <v>110</v>
      </c>
      <c r="E46" t="s">
        <v>111</v>
      </c>
      <c r="F46">
        <v>3</v>
      </c>
      <c r="G46">
        <v>5</v>
      </c>
      <c r="H46">
        <v>3</v>
      </c>
      <c r="I46">
        <v>5</v>
      </c>
      <c r="J46">
        <f t="shared" si="0"/>
        <v>16</v>
      </c>
      <c r="K46">
        <v>11.917999999999999</v>
      </c>
      <c r="L46">
        <v>48</v>
      </c>
      <c r="M46">
        <v>5.03</v>
      </c>
      <c r="N46" t="s">
        <v>20</v>
      </c>
      <c r="O46" t="s">
        <v>107</v>
      </c>
      <c r="P46">
        <v>0</v>
      </c>
      <c r="Q46">
        <v>0</v>
      </c>
      <c r="R46">
        <v>0</v>
      </c>
    </row>
    <row r="47" spans="1:18" x14ac:dyDescent="0.3">
      <c r="A47">
        <v>46</v>
      </c>
      <c r="B47">
        <v>1</v>
      </c>
      <c r="C47">
        <v>3</v>
      </c>
      <c r="D47" t="s">
        <v>112</v>
      </c>
      <c r="E47" t="s">
        <v>113</v>
      </c>
      <c r="F47">
        <v>4</v>
      </c>
      <c r="G47">
        <v>5</v>
      </c>
      <c r="H47">
        <v>4</v>
      </c>
      <c r="I47">
        <v>5</v>
      </c>
      <c r="J47">
        <f t="shared" si="0"/>
        <v>18</v>
      </c>
      <c r="K47">
        <v>13.611000000000001</v>
      </c>
      <c r="L47">
        <v>65</v>
      </c>
      <c r="M47">
        <v>4.41</v>
      </c>
      <c r="N47" t="s">
        <v>20</v>
      </c>
      <c r="O47" t="s">
        <v>107</v>
      </c>
      <c r="P47">
        <v>0</v>
      </c>
      <c r="Q47">
        <v>0</v>
      </c>
      <c r="R47">
        <v>0</v>
      </c>
    </row>
    <row r="48" spans="1:18" x14ac:dyDescent="0.3">
      <c r="A48">
        <v>47</v>
      </c>
      <c r="B48">
        <v>2</v>
      </c>
      <c r="C48">
        <v>3</v>
      </c>
      <c r="D48" t="s">
        <v>114</v>
      </c>
      <c r="E48" t="s">
        <v>115</v>
      </c>
      <c r="F48">
        <v>4</v>
      </c>
      <c r="G48">
        <v>5</v>
      </c>
      <c r="H48">
        <v>4</v>
      </c>
      <c r="I48">
        <v>5</v>
      </c>
      <c r="J48">
        <f t="shared" si="0"/>
        <v>18</v>
      </c>
      <c r="K48">
        <v>12.693</v>
      </c>
      <c r="L48">
        <v>33</v>
      </c>
      <c r="M48">
        <v>4.7300000000000004</v>
      </c>
      <c r="O48" t="s">
        <v>116</v>
      </c>
      <c r="P48">
        <v>0</v>
      </c>
      <c r="Q48">
        <v>1</v>
      </c>
      <c r="R48">
        <v>0</v>
      </c>
    </row>
    <row r="49" spans="1:18" x14ac:dyDescent="0.3">
      <c r="A49">
        <v>48</v>
      </c>
      <c r="B49">
        <v>3</v>
      </c>
      <c r="C49">
        <v>3</v>
      </c>
      <c r="D49" t="s">
        <v>117</v>
      </c>
      <c r="E49" t="s">
        <v>118</v>
      </c>
      <c r="F49">
        <v>5</v>
      </c>
      <c r="G49">
        <v>5</v>
      </c>
      <c r="H49">
        <v>5</v>
      </c>
      <c r="I49">
        <v>5</v>
      </c>
      <c r="J49">
        <f t="shared" si="0"/>
        <v>20</v>
      </c>
      <c r="K49">
        <v>11.000999999999999</v>
      </c>
      <c r="L49">
        <v>40</v>
      </c>
      <c r="M49">
        <v>5.45</v>
      </c>
      <c r="O49" t="s">
        <v>116</v>
      </c>
      <c r="P49">
        <v>0</v>
      </c>
      <c r="Q49">
        <v>1</v>
      </c>
      <c r="R49">
        <v>0</v>
      </c>
    </row>
    <row r="50" spans="1:18" x14ac:dyDescent="0.3">
      <c r="A50">
        <v>49</v>
      </c>
      <c r="B50">
        <v>1</v>
      </c>
      <c r="C50">
        <v>3</v>
      </c>
      <c r="D50" t="s">
        <v>119</v>
      </c>
      <c r="E50" t="s">
        <v>120</v>
      </c>
      <c r="F50">
        <v>4</v>
      </c>
      <c r="G50">
        <v>5</v>
      </c>
      <c r="H50">
        <v>5</v>
      </c>
      <c r="I50">
        <v>5</v>
      </c>
      <c r="J50">
        <f t="shared" si="0"/>
        <v>19</v>
      </c>
      <c r="K50">
        <v>11.14</v>
      </c>
      <c r="L50">
        <v>44</v>
      </c>
      <c r="M50">
        <v>5.39</v>
      </c>
      <c r="O50" t="s">
        <v>116</v>
      </c>
      <c r="P50">
        <v>0</v>
      </c>
      <c r="Q50">
        <v>1</v>
      </c>
      <c r="R50">
        <v>0</v>
      </c>
    </row>
    <row r="51" spans="1:18" x14ac:dyDescent="0.3">
      <c r="A51">
        <v>50</v>
      </c>
      <c r="B51">
        <v>2</v>
      </c>
      <c r="C51">
        <v>3</v>
      </c>
      <c r="D51" t="s">
        <v>121</v>
      </c>
      <c r="E51" t="s">
        <v>122</v>
      </c>
      <c r="F51">
        <v>5</v>
      </c>
      <c r="G51">
        <v>5</v>
      </c>
      <c r="H51">
        <v>5</v>
      </c>
      <c r="I51">
        <v>5</v>
      </c>
      <c r="J51">
        <f t="shared" si="0"/>
        <v>20</v>
      </c>
      <c r="K51">
        <v>10.766999999999999</v>
      </c>
      <c r="L51">
        <v>24</v>
      </c>
      <c r="M51">
        <v>5.57</v>
      </c>
      <c r="N51" t="s">
        <v>123</v>
      </c>
      <c r="O51" t="s">
        <v>107</v>
      </c>
      <c r="P51">
        <v>1</v>
      </c>
      <c r="Q51">
        <v>0.5</v>
      </c>
      <c r="R51">
        <v>0.66700000000000004</v>
      </c>
    </row>
    <row r="52" spans="1:18" x14ac:dyDescent="0.3">
      <c r="A52">
        <v>51</v>
      </c>
      <c r="B52">
        <v>3</v>
      </c>
      <c r="C52">
        <v>3</v>
      </c>
      <c r="D52" t="s">
        <v>124</v>
      </c>
      <c r="E52" t="s">
        <v>125</v>
      </c>
      <c r="F52">
        <v>5</v>
      </c>
      <c r="G52">
        <v>5</v>
      </c>
      <c r="H52">
        <v>5</v>
      </c>
      <c r="I52">
        <v>5</v>
      </c>
      <c r="J52">
        <f t="shared" si="0"/>
        <v>20</v>
      </c>
      <c r="K52">
        <v>15.409000000000001</v>
      </c>
      <c r="L52">
        <v>32</v>
      </c>
      <c r="M52">
        <v>3.89</v>
      </c>
      <c r="N52" t="s">
        <v>123</v>
      </c>
      <c r="O52" t="s">
        <v>107</v>
      </c>
      <c r="P52">
        <v>1</v>
      </c>
      <c r="Q52">
        <v>0.5</v>
      </c>
      <c r="R52">
        <v>0.66700000000000004</v>
      </c>
    </row>
    <row r="53" spans="1:18" x14ac:dyDescent="0.3">
      <c r="A53">
        <v>52</v>
      </c>
      <c r="B53">
        <v>1</v>
      </c>
      <c r="C53">
        <v>3</v>
      </c>
      <c r="D53" t="s">
        <v>126</v>
      </c>
      <c r="E53" t="s">
        <v>127</v>
      </c>
      <c r="F53">
        <v>5</v>
      </c>
      <c r="G53">
        <v>5</v>
      </c>
      <c r="H53">
        <v>5</v>
      </c>
      <c r="I53">
        <v>5</v>
      </c>
      <c r="J53">
        <f t="shared" si="0"/>
        <v>20</v>
      </c>
      <c r="K53">
        <v>8.5410000000000004</v>
      </c>
      <c r="L53">
        <v>53</v>
      </c>
      <c r="M53">
        <v>7.03</v>
      </c>
      <c r="N53" t="s">
        <v>123</v>
      </c>
      <c r="O53" t="s">
        <v>107</v>
      </c>
      <c r="P53">
        <v>1</v>
      </c>
      <c r="Q53">
        <v>0.5</v>
      </c>
      <c r="R53">
        <v>0.66700000000000004</v>
      </c>
    </row>
    <row r="54" spans="1:18" x14ac:dyDescent="0.3">
      <c r="A54">
        <v>53</v>
      </c>
      <c r="B54">
        <v>2</v>
      </c>
      <c r="C54">
        <v>3</v>
      </c>
      <c r="D54" t="s">
        <v>128</v>
      </c>
      <c r="E54" t="s">
        <v>129</v>
      </c>
      <c r="F54">
        <v>3</v>
      </c>
      <c r="G54">
        <v>2</v>
      </c>
      <c r="H54">
        <v>2</v>
      </c>
      <c r="I54">
        <v>5</v>
      </c>
      <c r="J54">
        <f t="shared" si="0"/>
        <v>12</v>
      </c>
      <c r="K54">
        <v>7.923</v>
      </c>
      <c r="L54">
        <v>45</v>
      </c>
      <c r="M54">
        <v>7.57</v>
      </c>
      <c r="N54" t="s">
        <v>130</v>
      </c>
      <c r="O54" t="s">
        <v>107</v>
      </c>
      <c r="P54">
        <v>1</v>
      </c>
      <c r="Q54">
        <v>0.33300000000000002</v>
      </c>
      <c r="R54">
        <v>0.5</v>
      </c>
    </row>
    <row r="55" spans="1:18" x14ac:dyDescent="0.3">
      <c r="A55">
        <v>54</v>
      </c>
      <c r="B55">
        <v>3</v>
      </c>
      <c r="C55">
        <v>3</v>
      </c>
      <c r="D55" t="s">
        <v>131</v>
      </c>
      <c r="E55" t="s">
        <v>132</v>
      </c>
      <c r="F55">
        <v>4</v>
      </c>
      <c r="G55">
        <v>4</v>
      </c>
      <c r="H55">
        <v>3</v>
      </c>
      <c r="I55">
        <v>5</v>
      </c>
      <c r="J55">
        <f t="shared" si="0"/>
        <v>16</v>
      </c>
      <c r="K55">
        <v>9.3650000000000002</v>
      </c>
      <c r="L55">
        <v>27</v>
      </c>
      <c r="M55">
        <v>6.41</v>
      </c>
      <c r="N55" t="s">
        <v>130</v>
      </c>
      <c r="P55">
        <v>1</v>
      </c>
      <c r="Q55">
        <v>0</v>
      </c>
      <c r="R55">
        <v>0</v>
      </c>
    </row>
    <row r="56" spans="1:18" x14ac:dyDescent="0.3">
      <c r="A56">
        <v>55</v>
      </c>
      <c r="B56">
        <v>1</v>
      </c>
      <c r="C56">
        <v>3</v>
      </c>
      <c r="D56" t="s">
        <v>133</v>
      </c>
      <c r="E56" t="s">
        <v>134</v>
      </c>
      <c r="F56">
        <v>4</v>
      </c>
      <c r="G56">
        <v>5</v>
      </c>
      <c r="H56">
        <v>4</v>
      </c>
      <c r="I56">
        <v>5</v>
      </c>
      <c r="J56">
        <f t="shared" si="0"/>
        <v>18</v>
      </c>
      <c r="K56">
        <v>8.1869999999999994</v>
      </c>
      <c r="L56">
        <v>61</v>
      </c>
      <c r="M56">
        <v>7.33</v>
      </c>
      <c r="N56" t="s">
        <v>20</v>
      </c>
      <c r="O56" t="s">
        <v>107</v>
      </c>
      <c r="P56">
        <v>0</v>
      </c>
      <c r="Q56">
        <v>0</v>
      </c>
      <c r="R56">
        <v>0</v>
      </c>
    </row>
    <row r="57" spans="1:18" x14ac:dyDescent="0.3">
      <c r="A57">
        <v>56</v>
      </c>
      <c r="B57">
        <v>2</v>
      </c>
      <c r="C57">
        <v>3</v>
      </c>
      <c r="D57" t="s">
        <v>135</v>
      </c>
      <c r="E57" t="s">
        <v>136</v>
      </c>
      <c r="F57">
        <v>4</v>
      </c>
      <c r="G57">
        <v>5</v>
      </c>
      <c r="H57">
        <v>5</v>
      </c>
      <c r="I57">
        <v>5</v>
      </c>
      <c r="J57">
        <f t="shared" si="0"/>
        <v>19</v>
      </c>
      <c r="K57">
        <v>17.158000000000001</v>
      </c>
      <c r="L57">
        <v>70</v>
      </c>
      <c r="M57">
        <v>3.5</v>
      </c>
      <c r="N57" t="s">
        <v>123</v>
      </c>
      <c r="O57" t="s">
        <v>123</v>
      </c>
      <c r="P57">
        <v>1</v>
      </c>
      <c r="Q57">
        <v>1</v>
      </c>
      <c r="R57">
        <v>1</v>
      </c>
    </row>
    <row r="58" spans="1:18" x14ac:dyDescent="0.3">
      <c r="A58">
        <v>57</v>
      </c>
      <c r="B58">
        <v>3</v>
      </c>
      <c r="C58">
        <v>3</v>
      </c>
      <c r="D58" t="s">
        <v>137</v>
      </c>
      <c r="E58" t="s">
        <v>138</v>
      </c>
      <c r="F58">
        <v>4</v>
      </c>
      <c r="G58">
        <v>5</v>
      </c>
      <c r="H58">
        <v>4</v>
      </c>
      <c r="I58">
        <v>5</v>
      </c>
      <c r="J58">
        <f t="shared" si="0"/>
        <v>18</v>
      </c>
      <c r="K58">
        <v>15.41</v>
      </c>
      <c r="L58">
        <v>46</v>
      </c>
      <c r="M58">
        <v>3.89</v>
      </c>
      <c r="N58" t="s">
        <v>123</v>
      </c>
      <c r="O58" t="s">
        <v>107</v>
      </c>
      <c r="P58">
        <v>1</v>
      </c>
      <c r="Q58">
        <v>0.5</v>
      </c>
      <c r="R58">
        <v>0.66700000000000004</v>
      </c>
    </row>
    <row r="59" spans="1:18" x14ac:dyDescent="0.3">
      <c r="A59">
        <v>58</v>
      </c>
      <c r="B59">
        <v>1</v>
      </c>
      <c r="C59">
        <v>3</v>
      </c>
      <c r="D59" t="s">
        <v>139</v>
      </c>
      <c r="E59" t="s">
        <v>140</v>
      </c>
      <c r="F59">
        <v>4</v>
      </c>
      <c r="G59">
        <v>5</v>
      </c>
      <c r="H59">
        <v>4</v>
      </c>
      <c r="I59">
        <v>5</v>
      </c>
      <c r="J59">
        <f t="shared" si="0"/>
        <v>18</v>
      </c>
      <c r="K59">
        <v>10.500999999999999</v>
      </c>
      <c r="L59">
        <v>55</v>
      </c>
      <c r="M59">
        <v>5.71</v>
      </c>
      <c r="N59" t="s">
        <v>123</v>
      </c>
      <c r="O59" t="s">
        <v>116</v>
      </c>
      <c r="P59">
        <v>0.5</v>
      </c>
      <c r="Q59">
        <v>0.5</v>
      </c>
      <c r="R59">
        <v>0.5</v>
      </c>
    </row>
    <row r="60" spans="1:18" x14ac:dyDescent="0.3">
      <c r="A60">
        <v>59</v>
      </c>
      <c r="B60">
        <v>2</v>
      </c>
      <c r="C60">
        <v>3</v>
      </c>
      <c r="D60" t="s">
        <v>141</v>
      </c>
      <c r="E60" t="s">
        <v>142</v>
      </c>
      <c r="F60">
        <v>4</v>
      </c>
      <c r="G60">
        <v>5</v>
      </c>
      <c r="H60">
        <v>4</v>
      </c>
      <c r="I60">
        <v>5</v>
      </c>
      <c r="J60">
        <f t="shared" si="0"/>
        <v>18</v>
      </c>
      <c r="K60">
        <v>14.961</v>
      </c>
      <c r="L60">
        <v>46</v>
      </c>
      <c r="M60">
        <v>4.01</v>
      </c>
      <c r="N60" t="s">
        <v>123</v>
      </c>
      <c r="O60" t="s">
        <v>116</v>
      </c>
      <c r="P60">
        <v>0.5</v>
      </c>
      <c r="Q60">
        <v>0.5</v>
      </c>
      <c r="R60">
        <v>0.5</v>
      </c>
    </row>
    <row r="61" spans="1:18" x14ac:dyDescent="0.3">
      <c r="A61">
        <v>60</v>
      </c>
      <c r="B61">
        <v>3</v>
      </c>
      <c r="C61">
        <v>3</v>
      </c>
      <c r="D61" t="s">
        <v>143</v>
      </c>
      <c r="E61" t="s">
        <v>144</v>
      </c>
      <c r="F61">
        <v>3</v>
      </c>
      <c r="G61">
        <v>5</v>
      </c>
      <c r="H61">
        <v>3</v>
      </c>
      <c r="I61">
        <v>5</v>
      </c>
      <c r="J61">
        <f t="shared" si="0"/>
        <v>16</v>
      </c>
      <c r="K61">
        <v>9.7490000000000006</v>
      </c>
      <c r="L61">
        <v>53</v>
      </c>
      <c r="M61">
        <v>6.15</v>
      </c>
      <c r="N61" t="s">
        <v>130</v>
      </c>
      <c r="O61" t="s">
        <v>107</v>
      </c>
      <c r="P61">
        <v>1</v>
      </c>
      <c r="Q61">
        <v>0.33300000000000002</v>
      </c>
      <c r="R61">
        <v>0.5</v>
      </c>
    </row>
    <row r="62" spans="1:18" x14ac:dyDescent="0.3">
      <c r="A62">
        <v>61</v>
      </c>
      <c r="B62">
        <v>1</v>
      </c>
      <c r="C62">
        <v>3</v>
      </c>
      <c r="D62" t="s">
        <v>145</v>
      </c>
      <c r="E62" t="s">
        <v>146</v>
      </c>
      <c r="F62">
        <v>4</v>
      </c>
      <c r="G62">
        <v>5</v>
      </c>
      <c r="H62">
        <v>4</v>
      </c>
      <c r="I62">
        <v>5</v>
      </c>
      <c r="J62">
        <f t="shared" si="0"/>
        <v>18</v>
      </c>
      <c r="K62">
        <v>8.3689999999999998</v>
      </c>
      <c r="L62">
        <v>46</v>
      </c>
      <c r="M62">
        <v>7.17</v>
      </c>
      <c r="N62" t="s">
        <v>130</v>
      </c>
      <c r="O62" t="s">
        <v>107</v>
      </c>
      <c r="P62">
        <v>1</v>
      </c>
      <c r="Q62">
        <v>0.33300000000000002</v>
      </c>
      <c r="R62">
        <v>0.5</v>
      </c>
    </row>
    <row r="63" spans="1:18" x14ac:dyDescent="0.3">
      <c r="A63">
        <v>62</v>
      </c>
      <c r="B63">
        <v>2</v>
      </c>
      <c r="C63">
        <v>3</v>
      </c>
      <c r="D63" t="s">
        <v>147</v>
      </c>
      <c r="E63" t="s">
        <v>148</v>
      </c>
      <c r="F63">
        <v>4</v>
      </c>
      <c r="G63">
        <v>5</v>
      </c>
      <c r="H63">
        <v>4</v>
      </c>
      <c r="I63">
        <v>5</v>
      </c>
      <c r="J63">
        <f t="shared" si="0"/>
        <v>18</v>
      </c>
      <c r="K63">
        <v>14.436999999999999</v>
      </c>
      <c r="L63">
        <v>40</v>
      </c>
      <c r="M63">
        <v>4.16</v>
      </c>
      <c r="N63" t="s">
        <v>123</v>
      </c>
      <c r="O63" t="s">
        <v>116</v>
      </c>
      <c r="P63">
        <v>0.5</v>
      </c>
      <c r="Q63">
        <v>0.5</v>
      </c>
      <c r="R63">
        <v>0.5</v>
      </c>
    </row>
    <row r="64" spans="1:18" x14ac:dyDescent="0.3">
      <c r="A64">
        <v>63</v>
      </c>
      <c r="B64">
        <v>3</v>
      </c>
      <c r="C64">
        <v>3</v>
      </c>
      <c r="D64" t="s">
        <v>149</v>
      </c>
      <c r="E64" t="s">
        <v>150</v>
      </c>
      <c r="F64">
        <v>4</v>
      </c>
      <c r="G64">
        <v>5</v>
      </c>
      <c r="H64">
        <v>4</v>
      </c>
      <c r="I64">
        <v>5</v>
      </c>
      <c r="J64">
        <f t="shared" si="0"/>
        <v>18</v>
      </c>
      <c r="K64">
        <v>13.64</v>
      </c>
      <c r="L64">
        <v>37</v>
      </c>
      <c r="M64">
        <v>4.4000000000000004</v>
      </c>
      <c r="N64" t="s">
        <v>123</v>
      </c>
      <c r="O64" t="s">
        <v>116</v>
      </c>
      <c r="P64">
        <v>0.5</v>
      </c>
      <c r="Q64">
        <v>0.5</v>
      </c>
      <c r="R64">
        <v>0.5</v>
      </c>
    </row>
    <row r="65" spans="1:18" x14ac:dyDescent="0.3">
      <c r="A65">
        <v>64</v>
      </c>
      <c r="B65">
        <v>1</v>
      </c>
      <c r="C65">
        <v>3</v>
      </c>
      <c r="D65" t="s">
        <v>151</v>
      </c>
      <c r="E65" t="s">
        <v>152</v>
      </c>
      <c r="F65">
        <v>5</v>
      </c>
      <c r="G65">
        <v>5</v>
      </c>
      <c r="H65">
        <v>5</v>
      </c>
      <c r="I65">
        <v>5</v>
      </c>
      <c r="J65">
        <f t="shared" si="0"/>
        <v>20</v>
      </c>
      <c r="K65">
        <v>8.202</v>
      </c>
      <c r="L65">
        <v>46</v>
      </c>
      <c r="M65">
        <v>7.32</v>
      </c>
      <c r="N65" t="s">
        <v>123</v>
      </c>
      <c r="O65" t="s">
        <v>116</v>
      </c>
      <c r="P65">
        <v>0.5</v>
      </c>
      <c r="Q65">
        <v>0.5</v>
      </c>
      <c r="R65">
        <v>0.5</v>
      </c>
    </row>
    <row r="66" spans="1:18" x14ac:dyDescent="0.3">
      <c r="A66">
        <v>65</v>
      </c>
      <c r="B66">
        <v>2</v>
      </c>
      <c r="C66">
        <v>3</v>
      </c>
      <c r="D66" t="s">
        <v>153</v>
      </c>
      <c r="E66" t="s">
        <v>154</v>
      </c>
      <c r="F66">
        <v>4</v>
      </c>
      <c r="G66">
        <v>5</v>
      </c>
      <c r="H66">
        <v>4</v>
      </c>
      <c r="I66">
        <v>5</v>
      </c>
      <c r="J66">
        <f t="shared" si="0"/>
        <v>18</v>
      </c>
      <c r="K66">
        <v>14.340999999999999</v>
      </c>
      <c r="L66">
        <v>29</v>
      </c>
      <c r="M66">
        <v>4.18</v>
      </c>
      <c r="N66" t="s">
        <v>130</v>
      </c>
      <c r="O66" t="s">
        <v>123</v>
      </c>
      <c r="P66">
        <v>1</v>
      </c>
      <c r="Q66">
        <v>0.66700000000000004</v>
      </c>
      <c r="R66">
        <v>0.8</v>
      </c>
    </row>
    <row r="67" spans="1:18" x14ac:dyDescent="0.3">
      <c r="A67">
        <v>66</v>
      </c>
      <c r="B67">
        <v>3</v>
      </c>
      <c r="C67">
        <v>3</v>
      </c>
      <c r="D67" t="s">
        <v>155</v>
      </c>
      <c r="E67" t="s">
        <v>156</v>
      </c>
      <c r="F67">
        <v>3</v>
      </c>
      <c r="G67">
        <v>5</v>
      </c>
      <c r="H67">
        <v>3</v>
      </c>
      <c r="I67">
        <v>5</v>
      </c>
      <c r="J67">
        <f t="shared" ref="J67:J130" si="1">SUM(F67:I67)</f>
        <v>16</v>
      </c>
      <c r="K67">
        <v>12.907</v>
      </c>
      <c r="L67">
        <v>45</v>
      </c>
      <c r="M67">
        <v>4.6500000000000004</v>
      </c>
      <c r="N67" t="s">
        <v>130</v>
      </c>
      <c r="O67" t="s">
        <v>123</v>
      </c>
      <c r="P67">
        <v>1</v>
      </c>
      <c r="Q67">
        <v>0.66700000000000004</v>
      </c>
      <c r="R67">
        <v>0.8</v>
      </c>
    </row>
    <row r="68" spans="1:18" x14ac:dyDescent="0.3">
      <c r="A68">
        <v>67</v>
      </c>
      <c r="B68">
        <v>1</v>
      </c>
      <c r="C68">
        <v>3</v>
      </c>
      <c r="D68" t="s">
        <v>157</v>
      </c>
      <c r="E68" t="s">
        <v>158</v>
      </c>
      <c r="F68">
        <v>2</v>
      </c>
      <c r="G68">
        <v>5</v>
      </c>
      <c r="H68">
        <v>2</v>
      </c>
      <c r="I68">
        <v>5</v>
      </c>
      <c r="J68">
        <f t="shared" si="1"/>
        <v>14</v>
      </c>
      <c r="K68">
        <v>10.026</v>
      </c>
      <c r="L68">
        <v>62</v>
      </c>
      <c r="M68">
        <v>5.98</v>
      </c>
      <c r="N68" t="s">
        <v>20</v>
      </c>
      <c r="O68" t="s">
        <v>130</v>
      </c>
      <c r="P68">
        <v>0.33300000000000002</v>
      </c>
      <c r="Q68">
        <v>1</v>
      </c>
      <c r="R68">
        <v>0.5</v>
      </c>
    </row>
    <row r="69" spans="1:18" x14ac:dyDescent="0.3">
      <c r="A69">
        <v>68</v>
      </c>
      <c r="B69">
        <v>2</v>
      </c>
      <c r="C69">
        <v>3</v>
      </c>
      <c r="D69" t="s">
        <v>159</v>
      </c>
      <c r="E69" t="s">
        <v>160</v>
      </c>
      <c r="F69">
        <v>4</v>
      </c>
      <c r="G69">
        <v>5</v>
      </c>
      <c r="H69">
        <v>4</v>
      </c>
      <c r="I69">
        <v>5</v>
      </c>
      <c r="J69">
        <f t="shared" si="1"/>
        <v>18</v>
      </c>
      <c r="K69">
        <v>16.739000000000001</v>
      </c>
      <c r="L69">
        <v>67</v>
      </c>
      <c r="M69">
        <v>3.58</v>
      </c>
      <c r="N69" t="s">
        <v>20</v>
      </c>
      <c r="O69" t="s">
        <v>116</v>
      </c>
      <c r="P69">
        <v>0.5</v>
      </c>
      <c r="Q69">
        <v>1</v>
      </c>
      <c r="R69">
        <v>0.66700000000000004</v>
      </c>
    </row>
    <row r="70" spans="1:18" x14ac:dyDescent="0.3">
      <c r="A70">
        <v>69</v>
      </c>
      <c r="B70">
        <v>3</v>
      </c>
      <c r="C70">
        <v>3</v>
      </c>
      <c r="D70" t="s">
        <v>161</v>
      </c>
      <c r="E70" t="s">
        <v>162</v>
      </c>
      <c r="F70">
        <v>3</v>
      </c>
      <c r="G70">
        <v>5</v>
      </c>
      <c r="H70">
        <v>4</v>
      </c>
      <c r="I70">
        <v>5</v>
      </c>
      <c r="J70">
        <f t="shared" si="1"/>
        <v>17</v>
      </c>
      <c r="K70">
        <v>13.032</v>
      </c>
      <c r="L70">
        <v>39</v>
      </c>
      <c r="M70">
        <v>4.5999999999999996</v>
      </c>
      <c r="N70" t="s">
        <v>20</v>
      </c>
      <c r="O70" t="s">
        <v>107</v>
      </c>
      <c r="P70">
        <v>0</v>
      </c>
      <c r="Q70">
        <v>0</v>
      </c>
      <c r="R70">
        <v>0</v>
      </c>
    </row>
    <row r="71" spans="1:18" x14ac:dyDescent="0.3">
      <c r="A71">
        <v>70</v>
      </c>
      <c r="B71">
        <v>1</v>
      </c>
      <c r="C71">
        <v>3</v>
      </c>
      <c r="D71" t="s">
        <v>163</v>
      </c>
      <c r="E71" t="s">
        <v>164</v>
      </c>
      <c r="F71">
        <v>1</v>
      </c>
      <c r="G71">
        <v>0</v>
      </c>
      <c r="H71">
        <v>1</v>
      </c>
      <c r="I71">
        <v>1</v>
      </c>
      <c r="J71">
        <f t="shared" si="1"/>
        <v>3</v>
      </c>
      <c r="K71">
        <v>13.433999999999999</v>
      </c>
      <c r="L71">
        <v>57</v>
      </c>
      <c r="M71">
        <v>4.47</v>
      </c>
      <c r="N71" t="s">
        <v>20</v>
      </c>
      <c r="O71" t="s">
        <v>107</v>
      </c>
      <c r="P71">
        <v>0</v>
      </c>
      <c r="Q71">
        <v>0</v>
      </c>
      <c r="R71">
        <v>0</v>
      </c>
    </row>
    <row r="72" spans="1:18" x14ac:dyDescent="0.3">
      <c r="A72">
        <v>71</v>
      </c>
      <c r="B72">
        <v>2</v>
      </c>
      <c r="C72">
        <v>3</v>
      </c>
      <c r="D72" t="s">
        <v>165</v>
      </c>
      <c r="E72" t="s">
        <v>166</v>
      </c>
      <c r="F72">
        <v>2</v>
      </c>
      <c r="G72">
        <v>0</v>
      </c>
      <c r="H72">
        <v>2</v>
      </c>
      <c r="I72">
        <v>1</v>
      </c>
      <c r="J72">
        <f t="shared" si="1"/>
        <v>5</v>
      </c>
      <c r="K72">
        <v>12.988</v>
      </c>
      <c r="L72">
        <v>41</v>
      </c>
      <c r="M72">
        <v>4.62</v>
      </c>
      <c r="N72" t="s">
        <v>20</v>
      </c>
      <c r="O72" t="s">
        <v>107</v>
      </c>
      <c r="P72">
        <v>0</v>
      </c>
      <c r="Q72">
        <v>0</v>
      </c>
      <c r="R72">
        <v>0</v>
      </c>
    </row>
    <row r="73" spans="1:18" x14ac:dyDescent="0.3">
      <c r="A73">
        <v>72</v>
      </c>
      <c r="B73">
        <v>3</v>
      </c>
      <c r="C73">
        <v>3</v>
      </c>
      <c r="D73" t="s">
        <v>167</v>
      </c>
      <c r="E73" t="s">
        <v>166</v>
      </c>
      <c r="F73">
        <v>2</v>
      </c>
      <c r="G73">
        <v>0</v>
      </c>
      <c r="H73">
        <v>2</v>
      </c>
      <c r="I73">
        <v>1</v>
      </c>
      <c r="J73">
        <f t="shared" si="1"/>
        <v>5</v>
      </c>
      <c r="K73">
        <v>12.608000000000001</v>
      </c>
      <c r="L73">
        <v>41</v>
      </c>
      <c r="M73">
        <v>4.76</v>
      </c>
      <c r="N73" t="s">
        <v>20</v>
      </c>
      <c r="O73" t="s">
        <v>107</v>
      </c>
      <c r="P73">
        <v>0</v>
      </c>
      <c r="Q73">
        <v>0</v>
      </c>
      <c r="R73">
        <v>0</v>
      </c>
    </row>
    <row r="74" spans="1:18" x14ac:dyDescent="0.3">
      <c r="A74">
        <v>73</v>
      </c>
      <c r="B74">
        <v>1</v>
      </c>
      <c r="C74">
        <v>3</v>
      </c>
      <c r="D74" t="s">
        <v>168</v>
      </c>
      <c r="E74" t="s">
        <v>169</v>
      </c>
      <c r="F74">
        <v>4</v>
      </c>
      <c r="G74">
        <v>5</v>
      </c>
      <c r="H74">
        <v>4</v>
      </c>
      <c r="I74">
        <v>5</v>
      </c>
      <c r="J74">
        <f t="shared" si="1"/>
        <v>18</v>
      </c>
      <c r="K74">
        <v>10.773</v>
      </c>
      <c r="L74">
        <v>57</v>
      </c>
      <c r="M74">
        <v>5.57</v>
      </c>
      <c r="N74" t="s">
        <v>20</v>
      </c>
      <c r="O74" t="s">
        <v>107</v>
      </c>
      <c r="P74">
        <v>0</v>
      </c>
      <c r="Q74">
        <v>0</v>
      </c>
      <c r="R74">
        <v>0</v>
      </c>
    </row>
    <row r="75" spans="1:18" x14ac:dyDescent="0.3">
      <c r="A75">
        <v>74</v>
      </c>
      <c r="B75">
        <v>2</v>
      </c>
      <c r="C75">
        <v>3</v>
      </c>
      <c r="D75" t="s">
        <v>170</v>
      </c>
      <c r="E75" t="s">
        <v>171</v>
      </c>
      <c r="F75">
        <v>4</v>
      </c>
      <c r="G75">
        <v>5</v>
      </c>
      <c r="H75">
        <v>4</v>
      </c>
      <c r="I75">
        <v>5</v>
      </c>
      <c r="J75">
        <f t="shared" si="1"/>
        <v>18</v>
      </c>
      <c r="K75">
        <v>8.4090000000000007</v>
      </c>
      <c r="L75">
        <v>37</v>
      </c>
      <c r="M75">
        <v>7.14</v>
      </c>
      <c r="N75" t="s">
        <v>130</v>
      </c>
      <c r="O75" t="s">
        <v>107</v>
      </c>
      <c r="P75">
        <v>1</v>
      </c>
      <c r="Q75">
        <v>0.33300000000000002</v>
      </c>
      <c r="R75">
        <v>0.5</v>
      </c>
    </row>
    <row r="76" spans="1:18" x14ac:dyDescent="0.3">
      <c r="A76">
        <v>75</v>
      </c>
      <c r="B76">
        <v>3</v>
      </c>
      <c r="C76">
        <v>3</v>
      </c>
      <c r="D76" t="s">
        <v>172</v>
      </c>
      <c r="E76" t="s">
        <v>173</v>
      </c>
      <c r="F76">
        <v>1</v>
      </c>
      <c r="G76">
        <v>0</v>
      </c>
      <c r="H76">
        <v>2</v>
      </c>
      <c r="I76">
        <v>1</v>
      </c>
      <c r="J76">
        <f t="shared" si="1"/>
        <v>4</v>
      </c>
      <c r="K76">
        <v>11.933999999999999</v>
      </c>
      <c r="L76">
        <v>28</v>
      </c>
      <c r="M76">
        <v>5.03</v>
      </c>
      <c r="N76" t="s">
        <v>20</v>
      </c>
      <c r="O76" t="s">
        <v>107</v>
      </c>
      <c r="P76">
        <v>0</v>
      </c>
      <c r="Q76">
        <v>0</v>
      </c>
      <c r="R76">
        <v>0</v>
      </c>
    </row>
    <row r="77" spans="1:18" x14ac:dyDescent="0.3">
      <c r="A77">
        <v>76</v>
      </c>
      <c r="B77">
        <v>1</v>
      </c>
      <c r="C77">
        <v>3</v>
      </c>
      <c r="D77" t="s">
        <v>174</v>
      </c>
      <c r="E77" t="s">
        <v>175</v>
      </c>
      <c r="F77">
        <v>4</v>
      </c>
      <c r="G77">
        <v>5</v>
      </c>
      <c r="H77">
        <v>4</v>
      </c>
      <c r="I77">
        <v>5</v>
      </c>
      <c r="J77">
        <f t="shared" si="1"/>
        <v>18</v>
      </c>
      <c r="K77">
        <v>11.42</v>
      </c>
      <c r="L77">
        <v>62</v>
      </c>
      <c r="M77">
        <v>5.25</v>
      </c>
      <c r="N77" t="s">
        <v>20</v>
      </c>
      <c r="O77" t="s">
        <v>107</v>
      </c>
      <c r="P77">
        <v>0</v>
      </c>
      <c r="Q77">
        <v>0</v>
      </c>
      <c r="R77">
        <v>0</v>
      </c>
    </row>
    <row r="78" spans="1:18" x14ac:dyDescent="0.3">
      <c r="A78">
        <v>77</v>
      </c>
      <c r="B78">
        <v>2</v>
      </c>
      <c r="C78">
        <v>3</v>
      </c>
      <c r="D78" t="s">
        <v>176</v>
      </c>
      <c r="E78" t="s">
        <v>175</v>
      </c>
      <c r="F78">
        <v>3</v>
      </c>
      <c r="G78">
        <v>5</v>
      </c>
      <c r="H78">
        <v>3</v>
      </c>
      <c r="I78">
        <v>5</v>
      </c>
      <c r="J78">
        <f t="shared" si="1"/>
        <v>16</v>
      </c>
      <c r="K78">
        <v>14.564</v>
      </c>
      <c r="L78">
        <v>62</v>
      </c>
      <c r="M78">
        <v>4.12</v>
      </c>
      <c r="N78" t="s">
        <v>20</v>
      </c>
      <c r="O78" t="s">
        <v>107</v>
      </c>
      <c r="P78">
        <v>0</v>
      </c>
      <c r="Q78">
        <v>0</v>
      </c>
      <c r="R78">
        <v>0</v>
      </c>
    </row>
    <row r="79" spans="1:18" x14ac:dyDescent="0.3">
      <c r="A79">
        <v>78</v>
      </c>
      <c r="B79">
        <v>3</v>
      </c>
      <c r="C79">
        <v>3</v>
      </c>
      <c r="D79" t="s">
        <v>177</v>
      </c>
      <c r="E79" t="s">
        <v>178</v>
      </c>
      <c r="F79">
        <v>4</v>
      </c>
      <c r="G79">
        <v>5</v>
      </c>
      <c r="H79">
        <v>4</v>
      </c>
      <c r="I79">
        <v>5</v>
      </c>
      <c r="J79">
        <f t="shared" si="1"/>
        <v>18</v>
      </c>
      <c r="K79">
        <v>8.0839999999999996</v>
      </c>
      <c r="L79">
        <v>41</v>
      </c>
      <c r="M79">
        <v>7.42</v>
      </c>
      <c r="N79" t="s">
        <v>130</v>
      </c>
      <c r="O79" t="s">
        <v>107</v>
      </c>
      <c r="P79">
        <v>1</v>
      </c>
      <c r="Q79">
        <v>0.33300000000000002</v>
      </c>
      <c r="R79">
        <v>0.5</v>
      </c>
    </row>
    <row r="80" spans="1:18" x14ac:dyDescent="0.3">
      <c r="A80">
        <v>79</v>
      </c>
      <c r="B80">
        <v>1</v>
      </c>
      <c r="C80">
        <v>3</v>
      </c>
      <c r="D80" t="s">
        <v>179</v>
      </c>
      <c r="E80" t="s">
        <v>180</v>
      </c>
      <c r="F80">
        <v>3</v>
      </c>
      <c r="G80">
        <v>5</v>
      </c>
      <c r="H80">
        <v>5</v>
      </c>
      <c r="I80">
        <v>5</v>
      </c>
      <c r="J80">
        <f t="shared" si="1"/>
        <v>18</v>
      </c>
      <c r="K80">
        <v>8.1790000000000003</v>
      </c>
      <c r="L80">
        <v>46</v>
      </c>
      <c r="M80">
        <v>7.34</v>
      </c>
      <c r="N80" t="s">
        <v>130</v>
      </c>
      <c r="O80" t="s">
        <v>107</v>
      </c>
      <c r="P80">
        <v>1</v>
      </c>
      <c r="Q80">
        <v>0.33300000000000002</v>
      </c>
      <c r="R80">
        <v>0.5</v>
      </c>
    </row>
    <row r="81" spans="1:18" x14ac:dyDescent="0.3">
      <c r="A81">
        <v>80</v>
      </c>
      <c r="B81">
        <v>2</v>
      </c>
      <c r="C81">
        <v>3</v>
      </c>
      <c r="D81" t="s">
        <v>181</v>
      </c>
      <c r="E81" t="s">
        <v>182</v>
      </c>
      <c r="F81">
        <v>4</v>
      </c>
      <c r="G81">
        <v>5</v>
      </c>
      <c r="H81">
        <v>4</v>
      </c>
      <c r="I81">
        <v>5</v>
      </c>
      <c r="J81">
        <f t="shared" si="1"/>
        <v>18</v>
      </c>
      <c r="K81">
        <v>9.76</v>
      </c>
      <c r="L81">
        <v>55</v>
      </c>
      <c r="M81">
        <v>6.15</v>
      </c>
      <c r="O81" t="s">
        <v>116</v>
      </c>
      <c r="P81">
        <v>0</v>
      </c>
      <c r="Q81">
        <v>1</v>
      </c>
      <c r="R81">
        <v>0</v>
      </c>
    </row>
    <row r="82" spans="1:18" x14ac:dyDescent="0.3">
      <c r="A82">
        <v>81</v>
      </c>
      <c r="B82">
        <v>1</v>
      </c>
      <c r="C82">
        <v>4</v>
      </c>
      <c r="D82" t="s">
        <v>183</v>
      </c>
      <c r="E82" t="s">
        <v>184</v>
      </c>
      <c r="F82">
        <v>4</v>
      </c>
      <c r="G82">
        <v>5</v>
      </c>
      <c r="H82">
        <v>4</v>
      </c>
      <c r="I82">
        <v>5</v>
      </c>
      <c r="J82">
        <f t="shared" si="1"/>
        <v>18</v>
      </c>
      <c r="K82">
        <v>7.1920000000000002</v>
      </c>
      <c r="L82">
        <v>41</v>
      </c>
      <c r="M82">
        <v>8.34</v>
      </c>
      <c r="N82" t="s">
        <v>33</v>
      </c>
      <c r="O82" t="s">
        <v>107</v>
      </c>
      <c r="P82">
        <v>0</v>
      </c>
      <c r="Q82">
        <v>0</v>
      </c>
      <c r="R82">
        <v>0</v>
      </c>
    </row>
    <row r="83" spans="1:18" x14ac:dyDescent="0.3">
      <c r="A83">
        <v>82</v>
      </c>
      <c r="B83">
        <v>2</v>
      </c>
      <c r="C83">
        <v>4</v>
      </c>
      <c r="D83" t="s">
        <v>185</v>
      </c>
      <c r="E83" t="s">
        <v>186</v>
      </c>
      <c r="F83">
        <v>2</v>
      </c>
      <c r="G83">
        <v>0</v>
      </c>
      <c r="H83">
        <v>2</v>
      </c>
      <c r="I83">
        <v>1</v>
      </c>
      <c r="J83">
        <f t="shared" si="1"/>
        <v>5</v>
      </c>
      <c r="K83">
        <v>15.442</v>
      </c>
      <c r="L83">
        <v>44</v>
      </c>
      <c r="M83">
        <v>3.89</v>
      </c>
      <c r="N83" t="s">
        <v>33</v>
      </c>
      <c r="O83" t="s">
        <v>107</v>
      </c>
      <c r="P83">
        <v>0</v>
      </c>
      <c r="Q83">
        <v>0</v>
      </c>
      <c r="R83">
        <v>0</v>
      </c>
    </row>
    <row r="84" spans="1:18" x14ac:dyDescent="0.3">
      <c r="A84">
        <v>83</v>
      </c>
      <c r="B84">
        <v>3</v>
      </c>
      <c r="C84">
        <v>4</v>
      </c>
      <c r="D84" t="s">
        <v>187</v>
      </c>
      <c r="E84" t="s">
        <v>188</v>
      </c>
      <c r="F84">
        <v>2</v>
      </c>
      <c r="G84">
        <v>0</v>
      </c>
      <c r="H84">
        <v>2</v>
      </c>
      <c r="I84">
        <v>1</v>
      </c>
      <c r="J84">
        <f t="shared" si="1"/>
        <v>5</v>
      </c>
      <c r="K84">
        <v>14.884</v>
      </c>
      <c r="L84">
        <v>44</v>
      </c>
      <c r="M84">
        <v>4.03</v>
      </c>
      <c r="N84" t="s">
        <v>33</v>
      </c>
      <c r="O84" t="s">
        <v>107</v>
      </c>
      <c r="P84">
        <v>0</v>
      </c>
      <c r="Q84">
        <v>0</v>
      </c>
      <c r="R84">
        <v>0</v>
      </c>
    </row>
    <row r="85" spans="1:18" x14ac:dyDescent="0.3">
      <c r="A85">
        <v>84</v>
      </c>
      <c r="B85">
        <v>1</v>
      </c>
      <c r="C85">
        <v>4</v>
      </c>
      <c r="D85" t="s">
        <v>189</v>
      </c>
      <c r="E85" t="s">
        <v>190</v>
      </c>
      <c r="F85">
        <v>4</v>
      </c>
      <c r="G85">
        <v>5</v>
      </c>
      <c r="H85">
        <v>4</v>
      </c>
      <c r="I85">
        <v>5</v>
      </c>
      <c r="J85">
        <f t="shared" si="1"/>
        <v>18</v>
      </c>
      <c r="K85">
        <v>15.585000000000001</v>
      </c>
      <c r="L85">
        <v>37</v>
      </c>
      <c r="M85">
        <v>3.85</v>
      </c>
      <c r="N85" t="s">
        <v>33</v>
      </c>
      <c r="O85" t="s">
        <v>191</v>
      </c>
      <c r="P85">
        <v>0</v>
      </c>
      <c r="Q85">
        <v>0</v>
      </c>
      <c r="R85">
        <v>0</v>
      </c>
    </row>
    <row r="86" spans="1:18" x14ac:dyDescent="0.3">
      <c r="A86">
        <v>85</v>
      </c>
      <c r="B86">
        <v>2</v>
      </c>
      <c r="C86">
        <v>4</v>
      </c>
      <c r="D86" t="s">
        <v>192</v>
      </c>
      <c r="E86" t="s">
        <v>193</v>
      </c>
      <c r="F86">
        <v>5</v>
      </c>
      <c r="G86">
        <v>5</v>
      </c>
      <c r="H86">
        <v>5</v>
      </c>
      <c r="I86">
        <v>5</v>
      </c>
      <c r="J86">
        <f t="shared" si="1"/>
        <v>20</v>
      </c>
      <c r="K86">
        <v>6.7539999999999996</v>
      </c>
      <c r="L86">
        <v>18</v>
      </c>
      <c r="M86">
        <v>8.8800000000000008</v>
      </c>
      <c r="O86" t="s">
        <v>107</v>
      </c>
      <c r="P86">
        <v>0</v>
      </c>
      <c r="Q86">
        <v>1</v>
      </c>
      <c r="R86">
        <v>0</v>
      </c>
    </row>
    <row r="87" spans="1:18" x14ac:dyDescent="0.3">
      <c r="A87">
        <v>86</v>
      </c>
      <c r="B87">
        <v>3</v>
      </c>
      <c r="C87">
        <v>4</v>
      </c>
      <c r="D87" t="s">
        <v>194</v>
      </c>
      <c r="E87" t="s">
        <v>195</v>
      </c>
      <c r="F87">
        <v>4</v>
      </c>
      <c r="G87">
        <v>5</v>
      </c>
      <c r="H87">
        <v>4</v>
      </c>
      <c r="I87">
        <v>5</v>
      </c>
      <c r="J87">
        <f t="shared" si="1"/>
        <v>18</v>
      </c>
      <c r="K87">
        <v>9.5969999999999995</v>
      </c>
      <c r="L87">
        <v>45</v>
      </c>
      <c r="M87">
        <v>6.25</v>
      </c>
      <c r="O87" t="s">
        <v>107</v>
      </c>
      <c r="P87">
        <v>0</v>
      </c>
      <c r="Q87">
        <v>1</v>
      </c>
      <c r="R87">
        <v>0</v>
      </c>
    </row>
    <row r="88" spans="1:18" x14ac:dyDescent="0.3">
      <c r="A88">
        <v>87</v>
      </c>
      <c r="B88">
        <v>1</v>
      </c>
      <c r="C88">
        <v>4</v>
      </c>
      <c r="D88" t="s">
        <v>196</v>
      </c>
      <c r="E88" t="s">
        <v>197</v>
      </c>
      <c r="F88">
        <v>4</v>
      </c>
      <c r="G88">
        <v>5</v>
      </c>
      <c r="H88">
        <v>5</v>
      </c>
      <c r="I88">
        <v>5</v>
      </c>
      <c r="J88">
        <f t="shared" si="1"/>
        <v>19</v>
      </c>
      <c r="K88">
        <v>8.0399999999999991</v>
      </c>
      <c r="L88">
        <v>42</v>
      </c>
      <c r="M88">
        <v>7.46</v>
      </c>
      <c r="N88" t="s">
        <v>33</v>
      </c>
      <c r="O88" t="s">
        <v>107</v>
      </c>
      <c r="P88">
        <v>0</v>
      </c>
      <c r="Q88">
        <v>0</v>
      </c>
      <c r="R88">
        <v>0</v>
      </c>
    </row>
    <row r="89" spans="1:18" x14ac:dyDescent="0.3">
      <c r="A89">
        <v>88</v>
      </c>
      <c r="B89">
        <v>2</v>
      </c>
      <c r="C89">
        <v>4</v>
      </c>
      <c r="D89" t="s">
        <v>88</v>
      </c>
      <c r="E89" t="s">
        <v>198</v>
      </c>
      <c r="F89">
        <v>3</v>
      </c>
      <c r="G89">
        <v>5</v>
      </c>
      <c r="H89">
        <v>3</v>
      </c>
      <c r="I89">
        <v>5</v>
      </c>
      <c r="J89">
        <f t="shared" si="1"/>
        <v>16</v>
      </c>
      <c r="K89">
        <v>8.2859999999999996</v>
      </c>
      <c r="L89">
        <v>61</v>
      </c>
      <c r="M89">
        <v>7.24</v>
      </c>
      <c r="O89" t="s">
        <v>107</v>
      </c>
      <c r="P89">
        <v>0</v>
      </c>
      <c r="Q89">
        <v>1</v>
      </c>
      <c r="R89">
        <v>0</v>
      </c>
    </row>
    <row r="90" spans="1:18" x14ac:dyDescent="0.3">
      <c r="A90">
        <v>89</v>
      </c>
      <c r="B90">
        <v>3</v>
      </c>
      <c r="C90">
        <v>4</v>
      </c>
      <c r="D90" t="s">
        <v>199</v>
      </c>
      <c r="E90" t="s">
        <v>193</v>
      </c>
      <c r="F90">
        <v>5</v>
      </c>
      <c r="G90">
        <v>5</v>
      </c>
      <c r="H90">
        <v>5</v>
      </c>
      <c r="I90">
        <v>5</v>
      </c>
      <c r="J90">
        <f t="shared" si="1"/>
        <v>20</v>
      </c>
      <c r="K90">
        <v>8.6590000000000007</v>
      </c>
      <c r="L90">
        <v>18</v>
      </c>
      <c r="M90">
        <v>6.93</v>
      </c>
      <c r="N90" t="s">
        <v>33</v>
      </c>
      <c r="O90" t="s">
        <v>107</v>
      </c>
      <c r="P90">
        <v>0</v>
      </c>
      <c r="Q90">
        <v>0</v>
      </c>
      <c r="R90">
        <v>0</v>
      </c>
    </row>
    <row r="91" spans="1:18" x14ac:dyDescent="0.3">
      <c r="A91">
        <v>90</v>
      </c>
      <c r="B91">
        <v>1</v>
      </c>
      <c r="C91">
        <v>4</v>
      </c>
      <c r="D91" t="s">
        <v>200</v>
      </c>
      <c r="E91" t="s">
        <v>201</v>
      </c>
      <c r="F91">
        <v>4</v>
      </c>
      <c r="G91">
        <v>5</v>
      </c>
      <c r="H91">
        <v>5</v>
      </c>
      <c r="I91">
        <v>5</v>
      </c>
      <c r="J91">
        <f t="shared" si="1"/>
        <v>19</v>
      </c>
      <c r="K91">
        <v>11.016999999999999</v>
      </c>
      <c r="L91">
        <v>28</v>
      </c>
      <c r="M91">
        <v>5.45</v>
      </c>
      <c r="N91" t="s">
        <v>202</v>
      </c>
      <c r="O91" t="s">
        <v>191</v>
      </c>
      <c r="P91">
        <v>0.5</v>
      </c>
      <c r="Q91">
        <v>1</v>
      </c>
      <c r="R91">
        <v>0.66700000000000004</v>
      </c>
    </row>
    <row r="92" spans="1:18" x14ac:dyDescent="0.3">
      <c r="A92">
        <v>91</v>
      </c>
      <c r="B92">
        <v>2</v>
      </c>
      <c r="C92">
        <v>4</v>
      </c>
      <c r="D92" t="s">
        <v>203</v>
      </c>
      <c r="E92" t="s">
        <v>204</v>
      </c>
      <c r="F92">
        <v>3</v>
      </c>
      <c r="G92">
        <v>4</v>
      </c>
      <c r="H92">
        <v>2</v>
      </c>
      <c r="I92">
        <v>5</v>
      </c>
      <c r="J92">
        <f t="shared" si="1"/>
        <v>14</v>
      </c>
      <c r="K92">
        <v>8.7840000000000007</v>
      </c>
      <c r="L92">
        <v>20</v>
      </c>
      <c r="M92">
        <v>6.83</v>
      </c>
      <c r="N92" t="s">
        <v>33</v>
      </c>
      <c r="P92">
        <v>1</v>
      </c>
      <c r="Q92">
        <v>0</v>
      </c>
      <c r="R92">
        <v>0</v>
      </c>
    </row>
    <row r="93" spans="1:18" x14ac:dyDescent="0.3">
      <c r="A93">
        <v>92</v>
      </c>
      <c r="B93">
        <v>3</v>
      </c>
      <c r="C93">
        <v>4</v>
      </c>
      <c r="D93" t="s">
        <v>205</v>
      </c>
      <c r="E93" t="s">
        <v>206</v>
      </c>
      <c r="F93">
        <v>3</v>
      </c>
      <c r="G93">
        <v>3</v>
      </c>
      <c r="H93">
        <v>3</v>
      </c>
      <c r="I93">
        <v>5</v>
      </c>
      <c r="J93">
        <f t="shared" si="1"/>
        <v>14</v>
      </c>
      <c r="K93">
        <v>8.25</v>
      </c>
      <c r="L93">
        <v>22</v>
      </c>
      <c r="M93">
        <v>7.27</v>
      </c>
      <c r="N93" t="s">
        <v>33</v>
      </c>
      <c r="P93">
        <v>1</v>
      </c>
      <c r="Q93">
        <v>0</v>
      </c>
      <c r="R93">
        <v>0</v>
      </c>
    </row>
    <row r="94" spans="1:18" x14ac:dyDescent="0.3">
      <c r="A94">
        <v>93</v>
      </c>
      <c r="B94">
        <v>1</v>
      </c>
      <c r="C94">
        <v>4</v>
      </c>
      <c r="D94" t="s">
        <v>207</v>
      </c>
      <c r="E94" t="s">
        <v>208</v>
      </c>
      <c r="F94">
        <v>4</v>
      </c>
      <c r="G94">
        <v>5</v>
      </c>
      <c r="H94">
        <v>5</v>
      </c>
      <c r="I94">
        <v>5</v>
      </c>
      <c r="J94">
        <f t="shared" si="1"/>
        <v>19</v>
      </c>
      <c r="K94">
        <v>15.285</v>
      </c>
      <c r="L94">
        <v>41</v>
      </c>
      <c r="M94">
        <v>3.93</v>
      </c>
      <c r="N94" t="s">
        <v>33</v>
      </c>
      <c r="O94" t="s">
        <v>107</v>
      </c>
      <c r="P94">
        <v>0</v>
      </c>
      <c r="Q94">
        <v>0</v>
      </c>
      <c r="R94">
        <v>0</v>
      </c>
    </row>
    <row r="95" spans="1:18" x14ac:dyDescent="0.3">
      <c r="A95">
        <v>94</v>
      </c>
      <c r="B95">
        <v>2</v>
      </c>
      <c r="C95">
        <v>4</v>
      </c>
      <c r="D95" t="s">
        <v>209</v>
      </c>
      <c r="E95" t="s">
        <v>210</v>
      </c>
      <c r="F95">
        <v>4</v>
      </c>
      <c r="G95">
        <v>5</v>
      </c>
      <c r="H95">
        <v>4</v>
      </c>
      <c r="I95">
        <v>5</v>
      </c>
      <c r="J95">
        <f t="shared" si="1"/>
        <v>18</v>
      </c>
      <c r="K95">
        <v>9.0340000000000007</v>
      </c>
      <c r="L95">
        <v>42</v>
      </c>
      <c r="M95">
        <v>6.64</v>
      </c>
      <c r="O95" t="s">
        <v>191</v>
      </c>
      <c r="P95">
        <v>0</v>
      </c>
      <c r="Q95">
        <v>1</v>
      </c>
      <c r="R95">
        <v>0</v>
      </c>
    </row>
    <row r="96" spans="1:18" x14ac:dyDescent="0.3">
      <c r="A96">
        <v>95</v>
      </c>
      <c r="B96">
        <v>3</v>
      </c>
      <c r="C96">
        <v>4</v>
      </c>
      <c r="D96" t="s">
        <v>211</v>
      </c>
      <c r="E96" t="s">
        <v>212</v>
      </c>
      <c r="F96">
        <v>2</v>
      </c>
      <c r="G96">
        <v>3</v>
      </c>
      <c r="H96">
        <v>1</v>
      </c>
      <c r="I96">
        <v>3</v>
      </c>
      <c r="J96">
        <f t="shared" si="1"/>
        <v>9</v>
      </c>
      <c r="K96">
        <v>9.6359999999999992</v>
      </c>
      <c r="L96">
        <v>49</v>
      </c>
      <c r="M96">
        <v>6.23</v>
      </c>
      <c r="N96" t="s">
        <v>202</v>
      </c>
      <c r="O96" t="s">
        <v>191</v>
      </c>
      <c r="P96">
        <v>0.5</v>
      </c>
      <c r="Q96">
        <v>1</v>
      </c>
      <c r="R96">
        <v>0.66700000000000004</v>
      </c>
    </row>
    <row r="97" spans="1:18" x14ac:dyDescent="0.3">
      <c r="A97">
        <v>96</v>
      </c>
      <c r="B97">
        <v>1</v>
      </c>
      <c r="C97">
        <v>4</v>
      </c>
      <c r="D97" t="s">
        <v>213</v>
      </c>
      <c r="E97" t="s">
        <v>214</v>
      </c>
      <c r="F97">
        <v>5</v>
      </c>
      <c r="G97">
        <v>5</v>
      </c>
      <c r="H97">
        <v>4</v>
      </c>
      <c r="I97">
        <v>5</v>
      </c>
      <c r="J97">
        <f t="shared" si="1"/>
        <v>19</v>
      </c>
      <c r="K97">
        <v>3.7919999999999998</v>
      </c>
      <c r="L97">
        <v>41</v>
      </c>
      <c r="M97">
        <v>15.82</v>
      </c>
      <c r="N97" t="s">
        <v>202</v>
      </c>
      <c r="O97" t="s">
        <v>107</v>
      </c>
      <c r="P97">
        <v>0</v>
      </c>
      <c r="Q97">
        <v>0</v>
      </c>
      <c r="R97">
        <v>0</v>
      </c>
    </row>
    <row r="98" spans="1:18" x14ac:dyDescent="0.3">
      <c r="A98">
        <v>97</v>
      </c>
      <c r="B98">
        <v>2</v>
      </c>
      <c r="C98">
        <v>4</v>
      </c>
      <c r="D98" t="s">
        <v>215</v>
      </c>
      <c r="E98" t="s">
        <v>216</v>
      </c>
      <c r="F98">
        <v>4</v>
      </c>
      <c r="G98">
        <v>5</v>
      </c>
      <c r="H98">
        <v>3</v>
      </c>
      <c r="I98">
        <v>5</v>
      </c>
      <c r="J98">
        <f t="shared" si="1"/>
        <v>17</v>
      </c>
      <c r="K98">
        <v>9.8450000000000006</v>
      </c>
      <c r="L98">
        <v>58</v>
      </c>
      <c r="M98">
        <v>6.09</v>
      </c>
      <c r="N98" t="s">
        <v>217</v>
      </c>
      <c r="O98" t="s">
        <v>107</v>
      </c>
      <c r="P98">
        <v>0</v>
      </c>
      <c r="Q98">
        <v>0</v>
      </c>
      <c r="R98">
        <v>0</v>
      </c>
    </row>
    <row r="99" spans="1:18" x14ac:dyDescent="0.3">
      <c r="A99">
        <v>98</v>
      </c>
      <c r="B99">
        <v>3</v>
      </c>
      <c r="C99">
        <v>4</v>
      </c>
      <c r="D99" t="s">
        <v>218</v>
      </c>
      <c r="E99" t="s">
        <v>219</v>
      </c>
      <c r="F99">
        <v>4</v>
      </c>
      <c r="G99">
        <v>5</v>
      </c>
      <c r="H99">
        <v>3</v>
      </c>
      <c r="I99">
        <v>5</v>
      </c>
      <c r="J99">
        <f t="shared" si="1"/>
        <v>17</v>
      </c>
      <c r="K99">
        <v>16.091999999999999</v>
      </c>
      <c r="L99">
        <v>52</v>
      </c>
      <c r="M99">
        <v>3.73</v>
      </c>
      <c r="N99" t="s">
        <v>217</v>
      </c>
      <c r="O99" t="s">
        <v>107</v>
      </c>
      <c r="P99">
        <v>0</v>
      </c>
      <c r="Q99">
        <v>0</v>
      </c>
      <c r="R99">
        <v>0</v>
      </c>
    </row>
    <row r="100" spans="1:18" x14ac:dyDescent="0.3">
      <c r="A100">
        <v>99</v>
      </c>
      <c r="B100">
        <v>1</v>
      </c>
      <c r="C100">
        <v>4</v>
      </c>
      <c r="D100" t="s">
        <v>220</v>
      </c>
      <c r="E100" t="s">
        <v>221</v>
      </c>
      <c r="F100">
        <v>5</v>
      </c>
      <c r="G100">
        <v>5</v>
      </c>
      <c r="H100">
        <v>5</v>
      </c>
      <c r="I100">
        <v>5</v>
      </c>
      <c r="J100">
        <f t="shared" si="1"/>
        <v>20</v>
      </c>
      <c r="K100">
        <v>9.68</v>
      </c>
      <c r="L100">
        <v>62</v>
      </c>
      <c r="M100">
        <v>6.2</v>
      </c>
      <c r="N100" t="s">
        <v>202</v>
      </c>
      <c r="O100" t="s">
        <v>107</v>
      </c>
      <c r="P100">
        <v>0</v>
      </c>
      <c r="Q100">
        <v>0</v>
      </c>
      <c r="R100">
        <v>0</v>
      </c>
    </row>
    <row r="101" spans="1:18" x14ac:dyDescent="0.3">
      <c r="A101">
        <v>100</v>
      </c>
      <c r="B101">
        <v>2</v>
      </c>
      <c r="C101">
        <v>4</v>
      </c>
      <c r="D101" t="s">
        <v>222</v>
      </c>
      <c r="E101" t="s">
        <v>223</v>
      </c>
      <c r="F101">
        <v>3</v>
      </c>
      <c r="G101">
        <v>3</v>
      </c>
      <c r="H101">
        <v>2</v>
      </c>
      <c r="I101">
        <v>5</v>
      </c>
      <c r="J101">
        <f t="shared" si="1"/>
        <v>13</v>
      </c>
      <c r="K101">
        <v>7.891</v>
      </c>
      <c r="L101">
        <v>19</v>
      </c>
      <c r="M101">
        <v>7.6</v>
      </c>
      <c r="O101" t="s">
        <v>107</v>
      </c>
      <c r="P101">
        <v>0</v>
      </c>
      <c r="Q101">
        <v>1</v>
      </c>
      <c r="R101">
        <v>0</v>
      </c>
    </row>
    <row r="102" spans="1:18" x14ac:dyDescent="0.3">
      <c r="A102">
        <v>101</v>
      </c>
      <c r="B102">
        <v>3</v>
      </c>
      <c r="C102">
        <v>4</v>
      </c>
      <c r="D102" t="s">
        <v>224</v>
      </c>
      <c r="E102" t="s">
        <v>225</v>
      </c>
      <c r="F102">
        <v>3</v>
      </c>
      <c r="G102">
        <v>5</v>
      </c>
      <c r="H102">
        <v>4</v>
      </c>
      <c r="I102">
        <v>5</v>
      </c>
      <c r="J102">
        <f t="shared" si="1"/>
        <v>17</v>
      </c>
      <c r="K102">
        <v>13.894</v>
      </c>
      <c r="L102">
        <v>45</v>
      </c>
      <c r="M102">
        <v>4.32</v>
      </c>
      <c r="N102" t="s">
        <v>217</v>
      </c>
      <c r="O102" t="s">
        <v>226</v>
      </c>
      <c r="P102">
        <v>0.5</v>
      </c>
      <c r="Q102">
        <v>0.5</v>
      </c>
      <c r="R102">
        <v>0.5</v>
      </c>
    </row>
    <row r="103" spans="1:18" x14ac:dyDescent="0.3">
      <c r="A103">
        <v>102</v>
      </c>
      <c r="B103">
        <v>1</v>
      </c>
      <c r="C103">
        <v>4</v>
      </c>
      <c r="D103" t="s">
        <v>227</v>
      </c>
      <c r="E103" t="s">
        <v>228</v>
      </c>
      <c r="F103">
        <v>4</v>
      </c>
      <c r="G103">
        <v>5</v>
      </c>
      <c r="H103">
        <v>4</v>
      </c>
      <c r="I103">
        <v>5</v>
      </c>
      <c r="J103">
        <f t="shared" si="1"/>
        <v>18</v>
      </c>
      <c r="K103">
        <v>6.6779999999999999</v>
      </c>
      <c r="L103">
        <v>37</v>
      </c>
      <c r="M103">
        <v>8.98</v>
      </c>
      <c r="N103" t="s">
        <v>202</v>
      </c>
      <c r="O103" t="s">
        <v>107</v>
      </c>
      <c r="P103">
        <v>0</v>
      </c>
      <c r="Q103">
        <v>0</v>
      </c>
      <c r="R103">
        <v>0</v>
      </c>
    </row>
    <row r="104" spans="1:18" x14ac:dyDescent="0.3">
      <c r="A104">
        <v>103</v>
      </c>
      <c r="B104">
        <v>2</v>
      </c>
      <c r="C104">
        <v>4</v>
      </c>
      <c r="D104" t="s">
        <v>229</v>
      </c>
      <c r="E104" t="s">
        <v>230</v>
      </c>
      <c r="F104">
        <v>4</v>
      </c>
      <c r="G104">
        <v>5</v>
      </c>
      <c r="H104">
        <v>4</v>
      </c>
      <c r="I104">
        <v>5</v>
      </c>
      <c r="J104">
        <f t="shared" si="1"/>
        <v>18</v>
      </c>
      <c r="K104">
        <v>7.5039999999999996</v>
      </c>
      <c r="L104">
        <v>48</v>
      </c>
      <c r="M104">
        <v>8</v>
      </c>
      <c r="N104" t="s">
        <v>202</v>
      </c>
      <c r="O104" t="s">
        <v>107</v>
      </c>
      <c r="P104">
        <v>0</v>
      </c>
      <c r="Q104">
        <v>0</v>
      </c>
      <c r="R104">
        <v>0</v>
      </c>
    </row>
    <row r="105" spans="1:18" x14ac:dyDescent="0.3">
      <c r="A105">
        <v>104</v>
      </c>
      <c r="B105">
        <v>3</v>
      </c>
      <c r="C105">
        <v>4</v>
      </c>
      <c r="D105" t="s">
        <v>231</v>
      </c>
      <c r="E105" t="s">
        <v>232</v>
      </c>
      <c r="F105">
        <v>4</v>
      </c>
      <c r="G105">
        <v>5</v>
      </c>
      <c r="H105">
        <v>4</v>
      </c>
      <c r="I105">
        <v>5</v>
      </c>
      <c r="J105">
        <f t="shared" si="1"/>
        <v>18</v>
      </c>
      <c r="K105">
        <v>12.755000000000001</v>
      </c>
      <c r="L105">
        <v>44</v>
      </c>
      <c r="M105">
        <v>4.7</v>
      </c>
      <c r="N105" t="s">
        <v>217</v>
      </c>
      <c r="O105" t="s">
        <v>226</v>
      </c>
      <c r="P105">
        <v>0.5</v>
      </c>
      <c r="Q105">
        <v>0.5</v>
      </c>
      <c r="R105">
        <v>0.5</v>
      </c>
    </row>
    <row r="106" spans="1:18" x14ac:dyDescent="0.3">
      <c r="A106">
        <v>105</v>
      </c>
      <c r="B106">
        <v>1</v>
      </c>
      <c r="C106">
        <v>4</v>
      </c>
      <c r="D106" t="s">
        <v>233</v>
      </c>
      <c r="E106" t="s">
        <v>234</v>
      </c>
      <c r="F106">
        <v>4</v>
      </c>
      <c r="G106">
        <v>5</v>
      </c>
      <c r="H106">
        <v>2</v>
      </c>
      <c r="I106">
        <v>5</v>
      </c>
      <c r="J106">
        <f t="shared" si="1"/>
        <v>16</v>
      </c>
      <c r="K106">
        <v>7.5330000000000004</v>
      </c>
      <c r="L106">
        <v>36</v>
      </c>
      <c r="M106">
        <v>7.96</v>
      </c>
      <c r="N106" t="s">
        <v>217</v>
      </c>
      <c r="O106" t="s">
        <v>107</v>
      </c>
      <c r="P106">
        <v>0</v>
      </c>
      <c r="Q106">
        <v>0</v>
      </c>
      <c r="R106">
        <v>0</v>
      </c>
    </row>
    <row r="107" spans="1:18" x14ac:dyDescent="0.3">
      <c r="A107">
        <v>106</v>
      </c>
      <c r="B107">
        <v>2</v>
      </c>
      <c r="C107">
        <v>4</v>
      </c>
      <c r="D107" t="s">
        <v>235</v>
      </c>
      <c r="E107" t="s">
        <v>236</v>
      </c>
      <c r="F107">
        <v>4</v>
      </c>
      <c r="G107">
        <v>5</v>
      </c>
      <c r="H107">
        <v>4</v>
      </c>
      <c r="I107">
        <v>5</v>
      </c>
      <c r="J107">
        <f t="shared" si="1"/>
        <v>18</v>
      </c>
      <c r="K107">
        <v>9.6790000000000003</v>
      </c>
      <c r="L107">
        <v>67</v>
      </c>
      <c r="M107">
        <v>6.2</v>
      </c>
      <c r="N107" t="s">
        <v>202</v>
      </c>
      <c r="O107" t="s">
        <v>237</v>
      </c>
      <c r="P107">
        <v>0.33300000000000002</v>
      </c>
      <c r="Q107">
        <v>1</v>
      </c>
      <c r="R107">
        <v>0.5</v>
      </c>
    </row>
    <row r="108" spans="1:18" x14ac:dyDescent="0.3">
      <c r="A108">
        <v>107</v>
      </c>
      <c r="B108">
        <v>3</v>
      </c>
      <c r="C108">
        <v>4</v>
      </c>
      <c r="D108" t="s">
        <v>238</v>
      </c>
      <c r="E108" t="s">
        <v>239</v>
      </c>
      <c r="F108">
        <v>5</v>
      </c>
      <c r="G108">
        <v>5</v>
      </c>
      <c r="H108">
        <v>4</v>
      </c>
      <c r="I108">
        <v>5</v>
      </c>
      <c r="J108">
        <f t="shared" si="1"/>
        <v>19</v>
      </c>
      <c r="K108">
        <v>7.5830000000000002</v>
      </c>
      <c r="L108">
        <v>45</v>
      </c>
      <c r="M108">
        <v>7.91</v>
      </c>
      <c r="N108" t="s">
        <v>202</v>
      </c>
      <c r="O108" t="s">
        <v>107</v>
      </c>
      <c r="P108">
        <v>0</v>
      </c>
      <c r="Q108">
        <v>0</v>
      </c>
      <c r="R108">
        <v>0</v>
      </c>
    </row>
    <row r="109" spans="1:18" x14ac:dyDescent="0.3">
      <c r="A109">
        <v>108</v>
      </c>
      <c r="B109">
        <v>1</v>
      </c>
      <c r="C109">
        <v>4</v>
      </c>
      <c r="D109" t="s">
        <v>240</v>
      </c>
      <c r="E109" t="s">
        <v>241</v>
      </c>
      <c r="F109">
        <v>4</v>
      </c>
      <c r="G109">
        <v>3</v>
      </c>
      <c r="H109">
        <v>4</v>
      </c>
      <c r="I109">
        <v>5</v>
      </c>
      <c r="J109">
        <f t="shared" si="1"/>
        <v>16</v>
      </c>
      <c r="K109">
        <v>8.3989999999999991</v>
      </c>
      <c r="L109">
        <v>42</v>
      </c>
      <c r="M109">
        <v>7.14</v>
      </c>
      <c r="N109" t="s">
        <v>217</v>
      </c>
      <c r="O109" t="s">
        <v>107</v>
      </c>
      <c r="P109">
        <v>0</v>
      </c>
      <c r="Q109">
        <v>0</v>
      </c>
      <c r="R109">
        <v>0</v>
      </c>
    </row>
    <row r="110" spans="1:18" x14ac:dyDescent="0.3">
      <c r="A110">
        <v>109</v>
      </c>
      <c r="B110">
        <v>2</v>
      </c>
      <c r="C110">
        <v>4</v>
      </c>
      <c r="D110" t="s">
        <v>242</v>
      </c>
      <c r="E110" t="s">
        <v>243</v>
      </c>
      <c r="F110">
        <v>5</v>
      </c>
      <c r="G110">
        <v>5</v>
      </c>
      <c r="H110">
        <v>4</v>
      </c>
      <c r="I110">
        <v>5</v>
      </c>
      <c r="J110">
        <f t="shared" si="1"/>
        <v>19</v>
      </c>
      <c r="K110">
        <v>8.4459999999999997</v>
      </c>
      <c r="L110">
        <v>50</v>
      </c>
      <c r="M110">
        <v>7.1</v>
      </c>
      <c r="N110" t="s">
        <v>202</v>
      </c>
      <c r="O110" t="s">
        <v>191</v>
      </c>
      <c r="P110">
        <v>0.5</v>
      </c>
      <c r="Q110">
        <v>1</v>
      </c>
      <c r="R110">
        <v>0.66700000000000004</v>
      </c>
    </row>
    <row r="111" spans="1:18" x14ac:dyDescent="0.3">
      <c r="A111">
        <v>110</v>
      </c>
      <c r="B111">
        <v>3</v>
      </c>
      <c r="C111">
        <v>4</v>
      </c>
      <c r="D111" t="s">
        <v>244</v>
      </c>
      <c r="E111" t="s">
        <v>245</v>
      </c>
      <c r="F111">
        <v>4</v>
      </c>
      <c r="G111">
        <v>5</v>
      </c>
      <c r="H111">
        <v>4</v>
      </c>
      <c r="I111">
        <v>1</v>
      </c>
      <c r="J111">
        <f t="shared" si="1"/>
        <v>14</v>
      </c>
      <c r="K111">
        <v>14.709</v>
      </c>
      <c r="L111">
        <v>50</v>
      </c>
      <c r="M111">
        <v>4.08</v>
      </c>
      <c r="N111" t="s">
        <v>217</v>
      </c>
      <c r="O111" t="s">
        <v>107</v>
      </c>
      <c r="P111">
        <v>0</v>
      </c>
      <c r="Q111">
        <v>0</v>
      </c>
      <c r="R111">
        <v>0</v>
      </c>
    </row>
    <row r="112" spans="1:18" x14ac:dyDescent="0.3">
      <c r="A112">
        <v>111</v>
      </c>
      <c r="B112">
        <v>1</v>
      </c>
      <c r="C112">
        <v>4</v>
      </c>
      <c r="D112" t="s">
        <v>246</v>
      </c>
      <c r="E112" t="s">
        <v>247</v>
      </c>
      <c r="F112">
        <v>3</v>
      </c>
      <c r="G112">
        <v>5</v>
      </c>
      <c r="H112">
        <v>4</v>
      </c>
      <c r="I112">
        <v>5</v>
      </c>
      <c r="J112">
        <f t="shared" si="1"/>
        <v>17</v>
      </c>
      <c r="K112">
        <v>6.9039999999999999</v>
      </c>
      <c r="L112">
        <v>32</v>
      </c>
      <c r="M112">
        <v>8.69</v>
      </c>
      <c r="N112" t="s">
        <v>217</v>
      </c>
      <c r="O112" t="s">
        <v>107</v>
      </c>
      <c r="P112">
        <v>0</v>
      </c>
      <c r="Q112">
        <v>0</v>
      </c>
      <c r="R112">
        <v>0</v>
      </c>
    </row>
    <row r="113" spans="1:18" x14ac:dyDescent="0.3">
      <c r="A113">
        <v>112</v>
      </c>
      <c r="B113">
        <v>2</v>
      </c>
      <c r="C113">
        <v>4</v>
      </c>
      <c r="D113" t="s">
        <v>248</v>
      </c>
      <c r="E113" t="s">
        <v>249</v>
      </c>
      <c r="F113">
        <v>4</v>
      </c>
      <c r="G113">
        <v>5</v>
      </c>
      <c r="H113">
        <v>4</v>
      </c>
      <c r="I113">
        <v>5</v>
      </c>
      <c r="J113">
        <f t="shared" si="1"/>
        <v>18</v>
      </c>
      <c r="K113">
        <v>8.6859999999999999</v>
      </c>
      <c r="L113">
        <v>31</v>
      </c>
      <c r="M113">
        <v>6.91</v>
      </c>
      <c r="N113" t="s">
        <v>202</v>
      </c>
      <c r="O113" t="s">
        <v>107</v>
      </c>
      <c r="P113">
        <v>0</v>
      </c>
      <c r="Q113">
        <v>0</v>
      </c>
      <c r="R113">
        <v>0</v>
      </c>
    </row>
    <row r="114" spans="1:18" x14ac:dyDescent="0.3">
      <c r="A114">
        <v>113</v>
      </c>
      <c r="B114">
        <v>3</v>
      </c>
      <c r="C114">
        <v>4</v>
      </c>
      <c r="D114" t="s">
        <v>250</v>
      </c>
      <c r="E114" t="s">
        <v>251</v>
      </c>
      <c r="F114">
        <v>3</v>
      </c>
      <c r="G114">
        <v>5</v>
      </c>
      <c r="H114">
        <v>3</v>
      </c>
      <c r="I114">
        <v>5</v>
      </c>
      <c r="J114">
        <f t="shared" si="1"/>
        <v>16</v>
      </c>
      <c r="K114">
        <v>11.238</v>
      </c>
      <c r="L114">
        <v>44</v>
      </c>
      <c r="M114">
        <v>5.34</v>
      </c>
      <c r="O114" t="s">
        <v>107</v>
      </c>
      <c r="P114">
        <v>0</v>
      </c>
      <c r="Q114">
        <v>1</v>
      </c>
      <c r="R114">
        <v>0</v>
      </c>
    </row>
    <row r="115" spans="1:18" x14ac:dyDescent="0.3">
      <c r="A115">
        <v>114</v>
      </c>
      <c r="B115">
        <v>1</v>
      </c>
      <c r="C115">
        <v>5</v>
      </c>
      <c r="D115" t="s">
        <v>209</v>
      </c>
      <c r="E115" t="s">
        <v>252</v>
      </c>
      <c r="F115">
        <v>4</v>
      </c>
      <c r="G115">
        <v>5</v>
      </c>
      <c r="H115">
        <v>4</v>
      </c>
      <c r="I115">
        <v>5</v>
      </c>
      <c r="J115">
        <f t="shared" si="1"/>
        <v>18</v>
      </c>
      <c r="K115">
        <v>7.6360000000000001</v>
      </c>
      <c r="L115">
        <v>44</v>
      </c>
      <c r="M115">
        <v>7.86</v>
      </c>
      <c r="N115" t="s">
        <v>202</v>
      </c>
      <c r="P115">
        <v>1</v>
      </c>
      <c r="Q115">
        <v>0</v>
      </c>
      <c r="R115">
        <v>0</v>
      </c>
    </row>
    <row r="116" spans="1:18" x14ac:dyDescent="0.3">
      <c r="A116">
        <v>115</v>
      </c>
      <c r="B116">
        <v>2</v>
      </c>
      <c r="C116">
        <v>5</v>
      </c>
      <c r="D116" t="s">
        <v>194</v>
      </c>
      <c r="E116" t="s">
        <v>253</v>
      </c>
      <c r="F116">
        <v>4</v>
      </c>
      <c r="G116">
        <v>5</v>
      </c>
      <c r="H116">
        <v>3</v>
      </c>
      <c r="I116">
        <v>5</v>
      </c>
      <c r="J116">
        <f t="shared" si="1"/>
        <v>17</v>
      </c>
      <c r="K116">
        <v>12.814</v>
      </c>
      <c r="L116">
        <v>40</v>
      </c>
      <c r="M116">
        <v>4.68</v>
      </c>
      <c r="N116" t="s">
        <v>202</v>
      </c>
      <c r="P116">
        <v>1</v>
      </c>
      <c r="Q116">
        <v>0</v>
      </c>
      <c r="R116">
        <v>0</v>
      </c>
    </row>
    <row r="117" spans="1:18" x14ac:dyDescent="0.3">
      <c r="A117">
        <v>116</v>
      </c>
      <c r="B117">
        <v>3</v>
      </c>
      <c r="C117">
        <v>5</v>
      </c>
      <c r="D117" t="s">
        <v>254</v>
      </c>
      <c r="E117" t="s">
        <v>255</v>
      </c>
      <c r="F117">
        <v>3</v>
      </c>
      <c r="G117">
        <v>5</v>
      </c>
      <c r="H117">
        <v>2</v>
      </c>
      <c r="I117">
        <v>5</v>
      </c>
      <c r="J117">
        <f t="shared" si="1"/>
        <v>15</v>
      </c>
      <c r="K117">
        <v>8.3330000000000002</v>
      </c>
      <c r="L117">
        <v>35</v>
      </c>
      <c r="M117">
        <v>7.2</v>
      </c>
      <c r="P117">
        <v>1</v>
      </c>
      <c r="Q117">
        <v>1</v>
      </c>
      <c r="R117">
        <v>1</v>
      </c>
    </row>
    <row r="118" spans="1:18" x14ac:dyDescent="0.3">
      <c r="A118">
        <v>117</v>
      </c>
      <c r="B118">
        <v>1</v>
      </c>
      <c r="C118">
        <v>5</v>
      </c>
      <c r="D118" t="s">
        <v>256</v>
      </c>
      <c r="E118" t="s">
        <v>257</v>
      </c>
      <c r="F118">
        <v>5</v>
      </c>
      <c r="G118">
        <v>5</v>
      </c>
      <c r="H118">
        <v>5</v>
      </c>
      <c r="I118">
        <v>5</v>
      </c>
      <c r="J118">
        <f t="shared" si="1"/>
        <v>20</v>
      </c>
      <c r="K118">
        <v>7.774</v>
      </c>
      <c r="L118">
        <v>20</v>
      </c>
      <c r="M118">
        <v>7.72</v>
      </c>
      <c r="N118" t="s">
        <v>33</v>
      </c>
      <c r="P118">
        <v>1</v>
      </c>
      <c r="Q118">
        <v>0</v>
      </c>
      <c r="R118">
        <v>0</v>
      </c>
    </row>
    <row r="119" spans="1:18" x14ac:dyDescent="0.3">
      <c r="A119">
        <v>118</v>
      </c>
      <c r="B119">
        <v>2</v>
      </c>
      <c r="C119">
        <v>5</v>
      </c>
      <c r="D119" t="s">
        <v>258</v>
      </c>
      <c r="E119" t="s">
        <v>57</v>
      </c>
      <c r="F119">
        <v>5</v>
      </c>
      <c r="G119">
        <v>5</v>
      </c>
      <c r="H119">
        <v>5</v>
      </c>
      <c r="I119">
        <v>5</v>
      </c>
      <c r="J119">
        <f t="shared" si="1"/>
        <v>20</v>
      </c>
      <c r="K119">
        <v>1.2110000000000001</v>
      </c>
      <c r="L119">
        <v>35</v>
      </c>
      <c r="M119">
        <v>49.53</v>
      </c>
      <c r="N119" t="s">
        <v>33</v>
      </c>
      <c r="P119">
        <v>1</v>
      </c>
      <c r="Q119">
        <v>0</v>
      </c>
      <c r="R119">
        <v>0</v>
      </c>
    </row>
    <row r="120" spans="1:18" x14ac:dyDescent="0.3">
      <c r="A120">
        <v>119</v>
      </c>
      <c r="B120">
        <v>3</v>
      </c>
      <c r="C120">
        <v>5</v>
      </c>
      <c r="D120" t="s">
        <v>259</v>
      </c>
      <c r="E120" t="s">
        <v>260</v>
      </c>
      <c r="F120">
        <v>3</v>
      </c>
      <c r="G120">
        <v>5</v>
      </c>
      <c r="H120">
        <v>4</v>
      </c>
      <c r="I120">
        <v>5</v>
      </c>
      <c r="J120">
        <f t="shared" si="1"/>
        <v>17</v>
      </c>
      <c r="K120">
        <v>6.5339999999999998</v>
      </c>
      <c r="L120">
        <v>41</v>
      </c>
      <c r="M120">
        <v>9.18</v>
      </c>
      <c r="N120" t="s">
        <v>33</v>
      </c>
      <c r="P120">
        <v>1</v>
      </c>
      <c r="Q120">
        <v>0</v>
      </c>
      <c r="R120">
        <v>0</v>
      </c>
    </row>
    <row r="121" spans="1:18" x14ac:dyDescent="0.3">
      <c r="A121">
        <v>120</v>
      </c>
      <c r="B121">
        <v>1</v>
      </c>
      <c r="C121">
        <v>5</v>
      </c>
      <c r="D121" t="s">
        <v>261</v>
      </c>
      <c r="E121" t="s">
        <v>262</v>
      </c>
      <c r="F121">
        <v>4</v>
      </c>
      <c r="G121">
        <v>5</v>
      </c>
      <c r="H121">
        <v>4</v>
      </c>
      <c r="I121">
        <v>5</v>
      </c>
      <c r="J121">
        <f t="shared" si="1"/>
        <v>18</v>
      </c>
      <c r="K121">
        <v>8.8109999999999999</v>
      </c>
      <c r="L121">
        <v>50</v>
      </c>
      <c r="M121">
        <v>6.81</v>
      </c>
      <c r="N121" t="s">
        <v>33</v>
      </c>
      <c r="O121" t="s">
        <v>33</v>
      </c>
      <c r="P121">
        <v>1</v>
      </c>
      <c r="Q121">
        <v>1</v>
      </c>
      <c r="R121">
        <v>1</v>
      </c>
    </row>
    <row r="122" spans="1:18" x14ac:dyDescent="0.3">
      <c r="A122">
        <v>121</v>
      </c>
      <c r="B122">
        <v>2</v>
      </c>
      <c r="C122">
        <v>5</v>
      </c>
      <c r="D122" t="s">
        <v>263</v>
      </c>
      <c r="E122" t="s">
        <v>264</v>
      </c>
      <c r="F122">
        <v>3</v>
      </c>
      <c r="G122">
        <v>3</v>
      </c>
      <c r="H122">
        <v>3</v>
      </c>
      <c r="I122">
        <v>3</v>
      </c>
      <c r="J122">
        <f t="shared" si="1"/>
        <v>12</v>
      </c>
      <c r="K122">
        <v>11.032</v>
      </c>
      <c r="L122">
        <v>66</v>
      </c>
      <c r="M122">
        <v>5.44</v>
      </c>
      <c r="N122" t="s">
        <v>217</v>
      </c>
      <c r="O122" t="s">
        <v>237</v>
      </c>
      <c r="P122">
        <v>0.66700000000000004</v>
      </c>
      <c r="Q122">
        <v>1</v>
      </c>
      <c r="R122">
        <v>0.8</v>
      </c>
    </row>
    <row r="123" spans="1:18" x14ac:dyDescent="0.3">
      <c r="A123">
        <v>122</v>
      </c>
      <c r="B123">
        <v>3</v>
      </c>
      <c r="C123">
        <v>5</v>
      </c>
      <c r="D123" t="s">
        <v>265</v>
      </c>
      <c r="E123" t="s">
        <v>266</v>
      </c>
      <c r="F123">
        <v>3</v>
      </c>
      <c r="G123">
        <v>3</v>
      </c>
      <c r="H123">
        <v>2</v>
      </c>
      <c r="I123">
        <v>5</v>
      </c>
      <c r="J123">
        <f t="shared" si="1"/>
        <v>13</v>
      </c>
      <c r="K123">
        <v>9.2780000000000005</v>
      </c>
      <c r="L123">
        <v>41</v>
      </c>
      <c r="M123">
        <v>6.47</v>
      </c>
      <c r="N123" t="s">
        <v>33</v>
      </c>
      <c r="P123">
        <v>1</v>
      </c>
      <c r="Q123">
        <v>0</v>
      </c>
      <c r="R123">
        <v>0</v>
      </c>
    </row>
    <row r="124" spans="1:18" x14ac:dyDescent="0.3">
      <c r="A124">
        <v>123</v>
      </c>
      <c r="B124">
        <v>1</v>
      </c>
      <c r="C124">
        <v>5</v>
      </c>
      <c r="D124" t="s">
        <v>267</v>
      </c>
      <c r="E124" t="s">
        <v>268</v>
      </c>
      <c r="F124">
        <v>2</v>
      </c>
      <c r="G124">
        <v>0</v>
      </c>
      <c r="H124">
        <v>1</v>
      </c>
      <c r="I124">
        <v>1</v>
      </c>
      <c r="J124">
        <f t="shared" si="1"/>
        <v>4</v>
      </c>
      <c r="K124">
        <v>9.9359999999999999</v>
      </c>
      <c r="L124">
        <v>48</v>
      </c>
      <c r="M124">
        <v>6.04</v>
      </c>
      <c r="N124" t="s">
        <v>33</v>
      </c>
      <c r="O124" t="s">
        <v>217</v>
      </c>
      <c r="P124">
        <v>0.5</v>
      </c>
      <c r="Q124">
        <v>1</v>
      </c>
      <c r="R124">
        <v>0.66700000000000004</v>
      </c>
    </row>
    <row r="125" spans="1:18" x14ac:dyDescent="0.3">
      <c r="A125">
        <v>124</v>
      </c>
      <c r="B125">
        <v>2</v>
      </c>
      <c r="C125">
        <v>5</v>
      </c>
      <c r="D125" t="s">
        <v>269</v>
      </c>
      <c r="E125" t="s">
        <v>270</v>
      </c>
      <c r="F125">
        <v>4</v>
      </c>
      <c r="G125">
        <v>5</v>
      </c>
      <c r="H125">
        <v>3</v>
      </c>
      <c r="I125">
        <v>5</v>
      </c>
      <c r="J125">
        <f t="shared" si="1"/>
        <v>17</v>
      </c>
      <c r="K125">
        <v>9.157</v>
      </c>
      <c r="L125">
        <v>48</v>
      </c>
      <c r="M125">
        <v>6.55</v>
      </c>
      <c r="N125" t="s">
        <v>33</v>
      </c>
      <c r="O125" t="s">
        <v>33</v>
      </c>
      <c r="P125">
        <v>1</v>
      </c>
      <c r="Q125">
        <v>1</v>
      </c>
      <c r="R125">
        <v>1</v>
      </c>
    </row>
    <row r="126" spans="1:18" x14ac:dyDescent="0.3">
      <c r="A126">
        <v>125</v>
      </c>
      <c r="B126">
        <v>3</v>
      </c>
      <c r="C126">
        <v>5</v>
      </c>
      <c r="D126" t="s">
        <v>271</v>
      </c>
      <c r="E126" t="s">
        <v>272</v>
      </c>
      <c r="F126">
        <v>4</v>
      </c>
      <c r="G126">
        <v>5</v>
      </c>
      <c r="H126">
        <v>4</v>
      </c>
      <c r="I126">
        <v>5</v>
      </c>
      <c r="J126">
        <f t="shared" si="1"/>
        <v>18</v>
      </c>
      <c r="K126">
        <v>8.3409999999999993</v>
      </c>
      <c r="L126">
        <v>45</v>
      </c>
      <c r="M126">
        <v>7.19</v>
      </c>
      <c r="N126" t="s">
        <v>202</v>
      </c>
      <c r="O126" t="s">
        <v>217</v>
      </c>
      <c r="P126">
        <v>0.5</v>
      </c>
      <c r="Q126">
        <v>1</v>
      </c>
      <c r="R126">
        <v>0.66700000000000004</v>
      </c>
    </row>
    <row r="127" spans="1:18" x14ac:dyDescent="0.3">
      <c r="A127">
        <v>126</v>
      </c>
      <c r="B127">
        <v>1</v>
      </c>
      <c r="C127">
        <v>5</v>
      </c>
      <c r="D127" t="s">
        <v>177</v>
      </c>
      <c r="E127" t="s">
        <v>273</v>
      </c>
      <c r="F127">
        <v>3</v>
      </c>
      <c r="G127">
        <v>3</v>
      </c>
      <c r="H127">
        <v>3</v>
      </c>
      <c r="I127">
        <v>5</v>
      </c>
      <c r="J127">
        <f t="shared" si="1"/>
        <v>14</v>
      </c>
      <c r="K127">
        <v>8.1379999999999999</v>
      </c>
      <c r="L127">
        <v>52</v>
      </c>
      <c r="M127">
        <v>7.37</v>
      </c>
      <c r="N127" t="s">
        <v>202</v>
      </c>
      <c r="P127">
        <v>1</v>
      </c>
      <c r="Q127">
        <v>0</v>
      </c>
      <c r="R127">
        <v>0</v>
      </c>
    </row>
    <row r="128" spans="1:18" x14ac:dyDescent="0.3">
      <c r="A128">
        <v>127</v>
      </c>
      <c r="B128">
        <v>2</v>
      </c>
      <c r="C128">
        <v>5</v>
      </c>
      <c r="D128" t="s">
        <v>274</v>
      </c>
      <c r="E128" t="s">
        <v>275</v>
      </c>
      <c r="F128">
        <v>4</v>
      </c>
      <c r="G128">
        <v>3</v>
      </c>
      <c r="H128">
        <v>2</v>
      </c>
      <c r="I128">
        <v>5</v>
      </c>
      <c r="J128">
        <f t="shared" si="1"/>
        <v>14</v>
      </c>
      <c r="K128">
        <v>8.1790000000000003</v>
      </c>
      <c r="L128">
        <v>32</v>
      </c>
      <c r="M128">
        <v>7.34</v>
      </c>
      <c r="P128">
        <v>1</v>
      </c>
      <c r="Q128">
        <v>1</v>
      </c>
      <c r="R128">
        <v>1</v>
      </c>
    </row>
    <row r="129" spans="1:18" x14ac:dyDescent="0.3">
      <c r="A129">
        <v>128</v>
      </c>
      <c r="B129">
        <v>3</v>
      </c>
      <c r="C129">
        <v>5</v>
      </c>
      <c r="D129" t="s">
        <v>276</v>
      </c>
      <c r="E129" t="s">
        <v>277</v>
      </c>
      <c r="F129">
        <v>3</v>
      </c>
      <c r="G129">
        <v>0</v>
      </c>
      <c r="H129">
        <v>1</v>
      </c>
      <c r="I129">
        <v>1</v>
      </c>
      <c r="J129">
        <f t="shared" si="1"/>
        <v>5</v>
      </c>
      <c r="K129">
        <v>7.798</v>
      </c>
      <c r="L129">
        <v>41</v>
      </c>
      <c r="M129">
        <v>7.69</v>
      </c>
      <c r="N129" t="s">
        <v>202</v>
      </c>
      <c r="P129">
        <v>1</v>
      </c>
      <c r="Q129">
        <v>0</v>
      </c>
      <c r="R129">
        <v>0</v>
      </c>
    </row>
    <row r="130" spans="1:18" x14ac:dyDescent="0.3">
      <c r="A130">
        <v>129</v>
      </c>
      <c r="B130">
        <v>1</v>
      </c>
      <c r="C130">
        <v>5</v>
      </c>
      <c r="D130" t="s">
        <v>213</v>
      </c>
      <c r="E130" t="s">
        <v>278</v>
      </c>
      <c r="F130">
        <v>5</v>
      </c>
      <c r="G130">
        <v>5</v>
      </c>
      <c r="H130">
        <v>5</v>
      </c>
      <c r="I130">
        <v>5</v>
      </c>
      <c r="J130">
        <f t="shared" si="1"/>
        <v>20</v>
      </c>
      <c r="K130">
        <v>4.3390000000000004</v>
      </c>
      <c r="L130">
        <v>44</v>
      </c>
      <c r="M130">
        <v>13.83</v>
      </c>
      <c r="N130" t="s">
        <v>202</v>
      </c>
      <c r="O130" t="s">
        <v>217</v>
      </c>
      <c r="P130">
        <v>0.5</v>
      </c>
      <c r="Q130">
        <v>1</v>
      </c>
      <c r="R130">
        <v>0.66700000000000004</v>
      </c>
    </row>
    <row r="131" spans="1:18" x14ac:dyDescent="0.3">
      <c r="A131">
        <v>130</v>
      </c>
      <c r="B131">
        <v>2</v>
      </c>
      <c r="C131">
        <v>5</v>
      </c>
      <c r="D131" t="s">
        <v>211</v>
      </c>
      <c r="E131" t="s">
        <v>279</v>
      </c>
      <c r="F131">
        <v>3</v>
      </c>
      <c r="G131">
        <v>4</v>
      </c>
      <c r="H131">
        <v>3</v>
      </c>
      <c r="I131">
        <v>5</v>
      </c>
      <c r="J131">
        <f t="shared" ref="J131:J194" si="2">SUM(F131:I131)</f>
        <v>15</v>
      </c>
      <c r="K131">
        <v>4.5629999999999997</v>
      </c>
      <c r="L131">
        <v>50</v>
      </c>
      <c r="M131">
        <v>13.15</v>
      </c>
      <c r="N131" t="s">
        <v>202</v>
      </c>
      <c r="O131" t="s">
        <v>33</v>
      </c>
      <c r="P131">
        <v>0</v>
      </c>
      <c r="Q131">
        <v>0</v>
      </c>
      <c r="R131">
        <v>0</v>
      </c>
    </row>
    <row r="132" spans="1:18" x14ac:dyDescent="0.3">
      <c r="A132">
        <v>131</v>
      </c>
      <c r="B132">
        <v>3</v>
      </c>
      <c r="C132">
        <v>5</v>
      </c>
      <c r="D132" t="s">
        <v>280</v>
      </c>
      <c r="E132" t="s">
        <v>281</v>
      </c>
      <c r="F132">
        <v>4</v>
      </c>
      <c r="G132">
        <v>5</v>
      </c>
      <c r="H132">
        <v>4</v>
      </c>
      <c r="I132">
        <v>5</v>
      </c>
      <c r="J132">
        <f t="shared" si="2"/>
        <v>18</v>
      </c>
      <c r="K132">
        <v>8.99</v>
      </c>
      <c r="L132">
        <v>52</v>
      </c>
      <c r="M132">
        <v>6.67</v>
      </c>
      <c r="N132" t="s">
        <v>202</v>
      </c>
      <c r="O132" t="s">
        <v>217</v>
      </c>
      <c r="P132">
        <v>0.5</v>
      </c>
      <c r="Q132">
        <v>1</v>
      </c>
      <c r="R132">
        <v>0.66700000000000004</v>
      </c>
    </row>
    <row r="133" spans="1:18" x14ac:dyDescent="0.3">
      <c r="A133">
        <v>132</v>
      </c>
      <c r="B133">
        <v>1</v>
      </c>
      <c r="C133">
        <v>5</v>
      </c>
      <c r="D133" t="s">
        <v>282</v>
      </c>
      <c r="E133" t="s">
        <v>283</v>
      </c>
      <c r="F133">
        <v>5</v>
      </c>
      <c r="G133">
        <v>5</v>
      </c>
      <c r="H133">
        <v>5</v>
      </c>
      <c r="I133">
        <v>5</v>
      </c>
      <c r="J133">
        <f t="shared" si="2"/>
        <v>20</v>
      </c>
      <c r="K133">
        <v>8.6210000000000004</v>
      </c>
      <c r="L133">
        <v>44</v>
      </c>
      <c r="M133">
        <v>6.96</v>
      </c>
      <c r="N133" t="s">
        <v>202</v>
      </c>
      <c r="P133">
        <v>1</v>
      </c>
      <c r="Q133">
        <v>0</v>
      </c>
      <c r="R133">
        <v>0</v>
      </c>
    </row>
    <row r="134" spans="1:18" x14ac:dyDescent="0.3">
      <c r="A134">
        <v>133</v>
      </c>
      <c r="B134">
        <v>2</v>
      </c>
      <c r="C134">
        <v>5</v>
      </c>
      <c r="D134" t="s">
        <v>284</v>
      </c>
      <c r="E134" t="s">
        <v>285</v>
      </c>
      <c r="F134">
        <v>4</v>
      </c>
      <c r="G134">
        <v>5</v>
      </c>
      <c r="H134">
        <v>4</v>
      </c>
      <c r="I134">
        <v>5</v>
      </c>
      <c r="J134">
        <f t="shared" si="2"/>
        <v>18</v>
      </c>
      <c r="K134">
        <v>9.8209999999999997</v>
      </c>
      <c r="L134">
        <v>39</v>
      </c>
      <c r="M134">
        <v>6.11</v>
      </c>
      <c r="N134" t="s">
        <v>202</v>
      </c>
      <c r="P134">
        <v>1</v>
      </c>
      <c r="Q134">
        <v>0</v>
      </c>
      <c r="R134">
        <v>0</v>
      </c>
    </row>
    <row r="135" spans="1:18" x14ac:dyDescent="0.3">
      <c r="A135">
        <v>134</v>
      </c>
      <c r="B135">
        <v>3</v>
      </c>
      <c r="C135">
        <v>5</v>
      </c>
      <c r="D135" t="s">
        <v>286</v>
      </c>
      <c r="E135" t="s">
        <v>287</v>
      </c>
      <c r="F135">
        <v>3</v>
      </c>
      <c r="G135">
        <v>5</v>
      </c>
      <c r="H135">
        <v>4</v>
      </c>
      <c r="I135">
        <v>5</v>
      </c>
      <c r="J135">
        <f t="shared" si="2"/>
        <v>17</v>
      </c>
      <c r="K135">
        <v>8.9169999999999998</v>
      </c>
      <c r="L135">
        <v>29</v>
      </c>
      <c r="M135">
        <v>6.73</v>
      </c>
      <c r="N135" t="s">
        <v>217</v>
      </c>
      <c r="O135" t="s">
        <v>33</v>
      </c>
      <c r="P135">
        <v>1</v>
      </c>
      <c r="Q135">
        <v>0.5</v>
      </c>
      <c r="R135">
        <v>0.66700000000000004</v>
      </c>
    </row>
    <row r="136" spans="1:18" x14ac:dyDescent="0.3">
      <c r="A136">
        <v>135</v>
      </c>
      <c r="B136">
        <v>1</v>
      </c>
      <c r="C136">
        <v>5</v>
      </c>
      <c r="D136" t="s">
        <v>288</v>
      </c>
      <c r="E136" t="s">
        <v>289</v>
      </c>
      <c r="F136">
        <v>2</v>
      </c>
      <c r="G136">
        <v>3</v>
      </c>
      <c r="H136">
        <v>1</v>
      </c>
      <c r="I136">
        <v>3</v>
      </c>
      <c r="J136">
        <f t="shared" si="2"/>
        <v>9</v>
      </c>
      <c r="K136">
        <v>8.9619999999999997</v>
      </c>
      <c r="L136">
        <v>33</v>
      </c>
      <c r="M136">
        <v>6.69</v>
      </c>
      <c r="N136" t="s">
        <v>202</v>
      </c>
      <c r="O136" t="s">
        <v>202</v>
      </c>
      <c r="P136">
        <v>1</v>
      </c>
      <c r="Q136">
        <v>1</v>
      </c>
      <c r="R136">
        <v>1</v>
      </c>
    </row>
    <row r="137" spans="1:18" x14ac:dyDescent="0.3">
      <c r="A137">
        <v>136</v>
      </c>
      <c r="B137">
        <v>2</v>
      </c>
      <c r="C137">
        <v>5</v>
      </c>
      <c r="D137" t="s">
        <v>290</v>
      </c>
      <c r="E137" t="s">
        <v>291</v>
      </c>
      <c r="F137">
        <v>2</v>
      </c>
      <c r="G137">
        <v>4</v>
      </c>
      <c r="H137">
        <v>1</v>
      </c>
      <c r="I137">
        <v>5</v>
      </c>
      <c r="J137">
        <f t="shared" si="2"/>
        <v>12</v>
      </c>
      <c r="K137">
        <v>7.9029999999999996</v>
      </c>
      <c r="L137">
        <v>44</v>
      </c>
      <c r="M137">
        <v>7.59</v>
      </c>
      <c r="N137" t="s">
        <v>202</v>
      </c>
      <c r="P137">
        <v>1</v>
      </c>
      <c r="Q137">
        <v>0</v>
      </c>
      <c r="R137">
        <v>0</v>
      </c>
    </row>
    <row r="138" spans="1:18" x14ac:dyDescent="0.3">
      <c r="A138">
        <v>137</v>
      </c>
      <c r="B138">
        <v>3</v>
      </c>
      <c r="C138">
        <v>5</v>
      </c>
      <c r="D138" t="s">
        <v>292</v>
      </c>
      <c r="E138" t="s">
        <v>293</v>
      </c>
      <c r="F138">
        <v>0</v>
      </c>
      <c r="G138">
        <v>3</v>
      </c>
      <c r="H138">
        <v>1</v>
      </c>
      <c r="I138">
        <v>5</v>
      </c>
      <c r="J138">
        <f t="shared" si="2"/>
        <v>9</v>
      </c>
      <c r="K138">
        <v>3.4649999999999999</v>
      </c>
      <c r="L138">
        <v>23</v>
      </c>
      <c r="M138">
        <v>17.32</v>
      </c>
      <c r="N138" t="s">
        <v>202</v>
      </c>
      <c r="O138" t="s">
        <v>202</v>
      </c>
      <c r="P138">
        <v>1</v>
      </c>
      <c r="Q138">
        <v>1</v>
      </c>
      <c r="R138">
        <v>1</v>
      </c>
    </row>
    <row r="139" spans="1:18" x14ac:dyDescent="0.3">
      <c r="A139">
        <v>138</v>
      </c>
      <c r="B139">
        <v>1</v>
      </c>
      <c r="C139">
        <v>5</v>
      </c>
      <c r="D139" t="s">
        <v>294</v>
      </c>
      <c r="E139" t="s">
        <v>295</v>
      </c>
      <c r="F139">
        <v>3</v>
      </c>
      <c r="G139">
        <v>3</v>
      </c>
      <c r="H139">
        <v>4</v>
      </c>
      <c r="I139">
        <v>5</v>
      </c>
      <c r="J139">
        <f t="shared" si="2"/>
        <v>15</v>
      </c>
      <c r="K139">
        <v>4.6879999999999997</v>
      </c>
      <c r="L139">
        <v>44</v>
      </c>
      <c r="M139">
        <v>12.8</v>
      </c>
      <c r="N139" t="s">
        <v>202</v>
      </c>
      <c r="P139">
        <v>1</v>
      </c>
      <c r="Q139">
        <v>0</v>
      </c>
      <c r="R139">
        <v>0</v>
      </c>
    </row>
    <row r="140" spans="1:18" x14ac:dyDescent="0.3">
      <c r="A140">
        <v>139</v>
      </c>
      <c r="B140">
        <v>2</v>
      </c>
      <c r="C140">
        <v>5</v>
      </c>
      <c r="D140" t="s">
        <v>296</v>
      </c>
      <c r="E140" t="s">
        <v>297</v>
      </c>
      <c r="F140">
        <v>3</v>
      </c>
      <c r="G140">
        <v>5</v>
      </c>
      <c r="H140">
        <v>4</v>
      </c>
      <c r="I140">
        <v>5</v>
      </c>
      <c r="J140">
        <f t="shared" si="2"/>
        <v>17</v>
      </c>
      <c r="K140">
        <v>2.5880000000000001</v>
      </c>
      <c r="L140">
        <v>20</v>
      </c>
      <c r="M140">
        <v>23.18</v>
      </c>
      <c r="N140" t="s">
        <v>217</v>
      </c>
      <c r="O140" t="s">
        <v>33</v>
      </c>
      <c r="P140">
        <v>1</v>
      </c>
      <c r="Q140">
        <v>0.5</v>
      </c>
      <c r="R140">
        <v>0.66700000000000004</v>
      </c>
    </row>
    <row r="141" spans="1:18" x14ac:dyDescent="0.3">
      <c r="A141">
        <v>140</v>
      </c>
      <c r="B141">
        <v>3</v>
      </c>
      <c r="C141">
        <v>5</v>
      </c>
      <c r="D141" t="s">
        <v>298</v>
      </c>
      <c r="E141" t="s">
        <v>299</v>
      </c>
      <c r="F141">
        <v>4</v>
      </c>
      <c r="G141">
        <v>5</v>
      </c>
      <c r="H141">
        <v>4</v>
      </c>
      <c r="I141">
        <v>5</v>
      </c>
      <c r="J141">
        <f t="shared" si="2"/>
        <v>18</v>
      </c>
      <c r="K141">
        <v>3.35</v>
      </c>
      <c r="L141">
        <v>45</v>
      </c>
      <c r="M141">
        <v>17.91</v>
      </c>
      <c r="N141" t="s">
        <v>202</v>
      </c>
      <c r="P141">
        <v>1</v>
      </c>
      <c r="Q141">
        <v>0</v>
      </c>
      <c r="R141">
        <v>0</v>
      </c>
    </row>
    <row r="142" spans="1:18" x14ac:dyDescent="0.3">
      <c r="A142">
        <v>141</v>
      </c>
      <c r="B142">
        <v>1</v>
      </c>
      <c r="C142">
        <v>5</v>
      </c>
      <c r="D142" t="s">
        <v>84</v>
      </c>
      <c r="E142" t="s">
        <v>300</v>
      </c>
      <c r="F142">
        <v>5</v>
      </c>
      <c r="G142">
        <v>5</v>
      </c>
      <c r="H142">
        <v>5</v>
      </c>
      <c r="I142">
        <v>5</v>
      </c>
      <c r="J142">
        <f t="shared" si="2"/>
        <v>20</v>
      </c>
      <c r="K142">
        <v>3.9249999999999998</v>
      </c>
      <c r="L142">
        <v>44</v>
      </c>
      <c r="M142">
        <v>15.29</v>
      </c>
      <c r="N142" t="s">
        <v>202</v>
      </c>
      <c r="O142" t="s">
        <v>107</v>
      </c>
      <c r="P142">
        <v>0</v>
      </c>
      <c r="Q142">
        <v>0</v>
      </c>
      <c r="R142">
        <v>0</v>
      </c>
    </row>
    <row r="143" spans="1:18" x14ac:dyDescent="0.3">
      <c r="A143">
        <v>142</v>
      </c>
      <c r="B143">
        <v>2</v>
      </c>
      <c r="C143">
        <v>5</v>
      </c>
      <c r="D143" t="s">
        <v>301</v>
      </c>
      <c r="E143" t="s">
        <v>302</v>
      </c>
      <c r="F143">
        <v>3</v>
      </c>
      <c r="G143">
        <v>4</v>
      </c>
      <c r="H143">
        <v>3</v>
      </c>
      <c r="I143">
        <v>5</v>
      </c>
      <c r="J143">
        <f t="shared" si="2"/>
        <v>15</v>
      </c>
      <c r="K143">
        <v>12.398</v>
      </c>
      <c r="L143">
        <v>42</v>
      </c>
      <c r="M143">
        <v>4.84</v>
      </c>
      <c r="N143" t="s">
        <v>202</v>
      </c>
      <c r="O143" t="s">
        <v>202</v>
      </c>
      <c r="P143">
        <v>1</v>
      </c>
      <c r="Q143">
        <v>1</v>
      </c>
      <c r="R143">
        <v>1</v>
      </c>
    </row>
    <row r="144" spans="1:18" x14ac:dyDescent="0.3">
      <c r="A144">
        <v>143</v>
      </c>
      <c r="B144">
        <v>1</v>
      </c>
      <c r="C144">
        <v>6</v>
      </c>
      <c r="D144" t="s">
        <v>303</v>
      </c>
      <c r="E144" t="s">
        <v>304</v>
      </c>
      <c r="F144">
        <v>5</v>
      </c>
      <c r="G144">
        <v>5</v>
      </c>
      <c r="H144">
        <v>5</v>
      </c>
      <c r="I144">
        <v>5</v>
      </c>
      <c r="J144">
        <f t="shared" si="2"/>
        <v>20</v>
      </c>
      <c r="K144">
        <v>8.6890000000000001</v>
      </c>
      <c r="L144">
        <v>27</v>
      </c>
      <c r="M144">
        <v>6.91</v>
      </c>
      <c r="O144" t="s">
        <v>305</v>
      </c>
      <c r="P144">
        <v>0</v>
      </c>
      <c r="Q144">
        <v>1</v>
      </c>
      <c r="R144">
        <v>0</v>
      </c>
    </row>
    <row r="145" spans="1:18" x14ac:dyDescent="0.3">
      <c r="A145">
        <v>144</v>
      </c>
      <c r="B145">
        <v>2</v>
      </c>
      <c r="C145">
        <v>6</v>
      </c>
      <c r="D145" t="s">
        <v>306</v>
      </c>
      <c r="E145" t="s">
        <v>307</v>
      </c>
      <c r="F145">
        <v>5</v>
      </c>
      <c r="G145">
        <v>5</v>
      </c>
      <c r="H145">
        <v>5</v>
      </c>
      <c r="I145">
        <v>5</v>
      </c>
      <c r="J145">
        <f t="shared" si="2"/>
        <v>20</v>
      </c>
      <c r="K145">
        <v>8.6560000000000006</v>
      </c>
      <c r="L145">
        <v>49</v>
      </c>
      <c r="M145">
        <v>6.93</v>
      </c>
      <c r="O145" t="s">
        <v>305</v>
      </c>
      <c r="P145">
        <v>0</v>
      </c>
      <c r="Q145">
        <v>1</v>
      </c>
      <c r="R145">
        <v>0</v>
      </c>
    </row>
    <row r="146" spans="1:18" x14ac:dyDescent="0.3">
      <c r="A146">
        <v>145</v>
      </c>
      <c r="B146">
        <v>3</v>
      </c>
      <c r="C146">
        <v>6</v>
      </c>
      <c r="D146" t="s">
        <v>308</v>
      </c>
      <c r="E146" t="s">
        <v>309</v>
      </c>
      <c r="F146">
        <v>4</v>
      </c>
      <c r="G146">
        <v>5</v>
      </c>
      <c r="H146">
        <v>3</v>
      </c>
      <c r="I146">
        <v>5</v>
      </c>
      <c r="J146">
        <f t="shared" si="2"/>
        <v>17</v>
      </c>
      <c r="K146">
        <v>7.1680000000000001</v>
      </c>
      <c r="L146">
        <v>33</v>
      </c>
      <c r="M146">
        <v>8.3699999999999992</v>
      </c>
      <c r="O146" t="s">
        <v>305</v>
      </c>
      <c r="P146">
        <v>0</v>
      </c>
      <c r="Q146">
        <v>1</v>
      </c>
      <c r="R146">
        <v>0</v>
      </c>
    </row>
    <row r="147" spans="1:18" x14ac:dyDescent="0.3">
      <c r="A147">
        <v>146</v>
      </c>
      <c r="B147">
        <v>1</v>
      </c>
      <c r="C147">
        <v>6</v>
      </c>
      <c r="D147" t="s">
        <v>310</v>
      </c>
      <c r="E147" t="s">
        <v>311</v>
      </c>
      <c r="F147">
        <v>3</v>
      </c>
      <c r="G147">
        <v>5</v>
      </c>
      <c r="H147">
        <v>1</v>
      </c>
      <c r="I147">
        <v>5</v>
      </c>
      <c r="J147">
        <f t="shared" si="2"/>
        <v>14</v>
      </c>
      <c r="K147">
        <v>7.68</v>
      </c>
      <c r="L147">
        <v>37</v>
      </c>
      <c r="M147">
        <v>7.81</v>
      </c>
      <c r="N147" t="s">
        <v>305</v>
      </c>
      <c r="O147" t="s">
        <v>305</v>
      </c>
      <c r="P147">
        <v>1</v>
      </c>
      <c r="Q147">
        <v>1</v>
      </c>
      <c r="R147">
        <v>1</v>
      </c>
    </row>
    <row r="148" spans="1:18" x14ac:dyDescent="0.3">
      <c r="A148">
        <v>147</v>
      </c>
      <c r="B148">
        <v>2</v>
      </c>
      <c r="C148">
        <v>6</v>
      </c>
      <c r="D148" t="s">
        <v>312</v>
      </c>
      <c r="E148" t="s">
        <v>313</v>
      </c>
      <c r="F148">
        <v>3</v>
      </c>
      <c r="G148">
        <v>5</v>
      </c>
      <c r="H148">
        <v>1</v>
      </c>
      <c r="I148">
        <v>5</v>
      </c>
      <c r="J148">
        <f t="shared" si="2"/>
        <v>14</v>
      </c>
      <c r="K148">
        <v>12.868</v>
      </c>
      <c r="L148">
        <v>40</v>
      </c>
      <c r="M148">
        <v>4.66</v>
      </c>
      <c r="N148" t="s">
        <v>305</v>
      </c>
      <c r="O148" t="s">
        <v>305</v>
      </c>
      <c r="P148">
        <v>1</v>
      </c>
      <c r="Q148">
        <v>1</v>
      </c>
      <c r="R148">
        <v>1</v>
      </c>
    </row>
    <row r="149" spans="1:18" x14ac:dyDescent="0.3">
      <c r="A149">
        <v>148</v>
      </c>
      <c r="B149">
        <v>3</v>
      </c>
      <c r="C149">
        <v>6</v>
      </c>
      <c r="D149" t="s">
        <v>314</v>
      </c>
      <c r="E149" t="s">
        <v>313</v>
      </c>
      <c r="F149">
        <v>3</v>
      </c>
      <c r="G149">
        <v>5</v>
      </c>
      <c r="H149">
        <v>1</v>
      </c>
      <c r="I149">
        <v>5</v>
      </c>
      <c r="J149">
        <f t="shared" si="2"/>
        <v>14</v>
      </c>
      <c r="K149">
        <v>13.382</v>
      </c>
      <c r="L149">
        <v>40</v>
      </c>
      <c r="M149">
        <v>4.4800000000000004</v>
      </c>
      <c r="N149" t="s">
        <v>305</v>
      </c>
      <c r="O149" t="s">
        <v>305</v>
      </c>
      <c r="P149">
        <v>1</v>
      </c>
      <c r="Q149">
        <v>1</v>
      </c>
      <c r="R149">
        <v>1</v>
      </c>
    </row>
    <row r="150" spans="1:18" x14ac:dyDescent="0.3">
      <c r="A150">
        <v>149</v>
      </c>
      <c r="B150">
        <v>1</v>
      </c>
      <c r="C150">
        <v>6</v>
      </c>
      <c r="D150" t="s">
        <v>315</v>
      </c>
      <c r="E150" t="s">
        <v>316</v>
      </c>
      <c r="F150">
        <v>4</v>
      </c>
      <c r="G150">
        <v>5</v>
      </c>
      <c r="H150">
        <v>1</v>
      </c>
      <c r="I150">
        <v>5</v>
      </c>
      <c r="J150">
        <f t="shared" si="2"/>
        <v>15</v>
      </c>
      <c r="K150">
        <v>7.4560000000000004</v>
      </c>
      <c r="L150">
        <v>40</v>
      </c>
      <c r="M150">
        <v>8.0500000000000007</v>
      </c>
      <c r="N150" t="s">
        <v>305</v>
      </c>
      <c r="O150" t="s">
        <v>305</v>
      </c>
      <c r="P150">
        <v>1</v>
      </c>
      <c r="Q150">
        <v>1</v>
      </c>
      <c r="R150">
        <v>1</v>
      </c>
    </row>
    <row r="151" spans="1:18" x14ac:dyDescent="0.3">
      <c r="A151">
        <v>150</v>
      </c>
      <c r="B151">
        <v>2</v>
      </c>
      <c r="C151">
        <v>6</v>
      </c>
      <c r="D151" t="s">
        <v>317</v>
      </c>
      <c r="E151" t="s">
        <v>316</v>
      </c>
      <c r="F151">
        <v>2</v>
      </c>
      <c r="G151">
        <v>5</v>
      </c>
      <c r="H151">
        <v>3</v>
      </c>
      <c r="I151">
        <v>5</v>
      </c>
      <c r="J151">
        <f t="shared" si="2"/>
        <v>15</v>
      </c>
      <c r="K151">
        <v>20.998000000000001</v>
      </c>
      <c r="L151">
        <v>40</v>
      </c>
      <c r="M151">
        <v>2.86</v>
      </c>
      <c r="N151" t="s">
        <v>305</v>
      </c>
      <c r="O151" t="s">
        <v>305</v>
      </c>
      <c r="P151">
        <v>1</v>
      </c>
      <c r="Q151">
        <v>1</v>
      </c>
      <c r="R151">
        <v>1</v>
      </c>
    </row>
    <row r="152" spans="1:18" x14ac:dyDescent="0.3">
      <c r="A152">
        <v>151</v>
      </c>
      <c r="B152">
        <v>3</v>
      </c>
      <c r="C152">
        <v>6</v>
      </c>
      <c r="D152" t="s">
        <v>318</v>
      </c>
      <c r="E152" t="s">
        <v>316</v>
      </c>
      <c r="F152">
        <v>2</v>
      </c>
      <c r="G152">
        <v>5</v>
      </c>
      <c r="H152">
        <v>3</v>
      </c>
      <c r="I152">
        <v>5</v>
      </c>
      <c r="J152">
        <f t="shared" si="2"/>
        <v>15</v>
      </c>
      <c r="K152">
        <v>12.038</v>
      </c>
      <c r="L152">
        <v>40</v>
      </c>
      <c r="M152">
        <v>4.9800000000000004</v>
      </c>
      <c r="N152" t="s">
        <v>305</v>
      </c>
      <c r="O152" t="s">
        <v>305</v>
      </c>
      <c r="P152">
        <v>1</v>
      </c>
      <c r="Q152">
        <v>1</v>
      </c>
      <c r="R152">
        <v>1</v>
      </c>
    </row>
    <row r="153" spans="1:18" x14ac:dyDescent="0.3">
      <c r="A153">
        <v>152</v>
      </c>
      <c r="B153">
        <v>1</v>
      </c>
      <c r="C153">
        <v>6</v>
      </c>
      <c r="D153" t="s">
        <v>319</v>
      </c>
      <c r="E153" t="s">
        <v>320</v>
      </c>
      <c r="F153">
        <v>2</v>
      </c>
      <c r="G153">
        <v>5</v>
      </c>
      <c r="H153">
        <v>3</v>
      </c>
      <c r="I153">
        <v>5</v>
      </c>
      <c r="J153">
        <f t="shared" si="2"/>
        <v>15</v>
      </c>
      <c r="K153">
        <v>12.718999999999999</v>
      </c>
      <c r="L153">
        <v>53</v>
      </c>
      <c r="M153">
        <v>4.72</v>
      </c>
      <c r="N153" t="s">
        <v>305</v>
      </c>
      <c r="O153" t="s">
        <v>305</v>
      </c>
      <c r="P153">
        <v>1</v>
      </c>
      <c r="Q153">
        <v>1</v>
      </c>
      <c r="R153">
        <v>1</v>
      </c>
    </row>
    <row r="154" spans="1:18" x14ac:dyDescent="0.3">
      <c r="A154">
        <v>153</v>
      </c>
      <c r="B154">
        <v>2</v>
      </c>
      <c r="C154">
        <v>6</v>
      </c>
      <c r="D154" t="s">
        <v>321</v>
      </c>
      <c r="E154" t="s">
        <v>322</v>
      </c>
      <c r="F154">
        <v>2</v>
      </c>
      <c r="G154">
        <v>5</v>
      </c>
      <c r="H154">
        <v>4</v>
      </c>
      <c r="I154">
        <v>5</v>
      </c>
      <c r="J154">
        <f t="shared" si="2"/>
        <v>16</v>
      </c>
      <c r="K154">
        <v>14.265000000000001</v>
      </c>
      <c r="L154">
        <v>55</v>
      </c>
      <c r="M154">
        <v>4.21</v>
      </c>
      <c r="N154" t="s">
        <v>305</v>
      </c>
      <c r="O154" t="s">
        <v>305</v>
      </c>
      <c r="P154">
        <v>1</v>
      </c>
      <c r="Q154">
        <v>1</v>
      </c>
      <c r="R154">
        <v>1</v>
      </c>
    </row>
    <row r="155" spans="1:18" x14ac:dyDescent="0.3">
      <c r="A155">
        <v>154</v>
      </c>
      <c r="B155">
        <v>3</v>
      </c>
      <c r="C155">
        <v>6</v>
      </c>
      <c r="D155" t="s">
        <v>323</v>
      </c>
      <c r="E155" t="s">
        <v>324</v>
      </c>
      <c r="F155">
        <v>3</v>
      </c>
      <c r="G155">
        <v>5</v>
      </c>
      <c r="H155">
        <v>4</v>
      </c>
      <c r="I155">
        <v>5</v>
      </c>
      <c r="J155">
        <f t="shared" si="2"/>
        <v>17</v>
      </c>
      <c r="K155">
        <v>7.7930000000000001</v>
      </c>
      <c r="L155">
        <v>29</v>
      </c>
      <c r="M155">
        <v>7.7</v>
      </c>
      <c r="N155" t="s">
        <v>305</v>
      </c>
      <c r="O155" t="s">
        <v>305</v>
      </c>
      <c r="P155">
        <v>1</v>
      </c>
      <c r="Q155">
        <v>1</v>
      </c>
      <c r="R155">
        <v>1</v>
      </c>
    </row>
    <row r="156" spans="1:18" x14ac:dyDescent="0.3">
      <c r="A156">
        <v>155</v>
      </c>
      <c r="B156">
        <v>1</v>
      </c>
      <c r="C156">
        <v>6</v>
      </c>
      <c r="D156" t="s">
        <v>325</v>
      </c>
      <c r="E156" t="s">
        <v>326</v>
      </c>
      <c r="F156">
        <v>3</v>
      </c>
      <c r="G156">
        <v>5</v>
      </c>
      <c r="H156">
        <v>4</v>
      </c>
      <c r="I156">
        <v>5</v>
      </c>
      <c r="J156">
        <f t="shared" si="2"/>
        <v>17</v>
      </c>
      <c r="K156">
        <v>3.7240000000000002</v>
      </c>
      <c r="L156">
        <v>41</v>
      </c>
      <c r="M156">
        <v>16.11</v>
      </c>
      <c r="N156" t="s">
        <v>305</v>
      </c>
      <c r="O156" t="s">
        <v>305</v>
      </c>
      <c r="P156">
        <v>1</v>
      </c>
      <c r="Q156">
        <v>1</v>
      </c>
      <c r="R156">
        <v>1</v>
      </c>
    </row>
    <row r="157" spans="1:18" x14ac:dyDescent="0.3">
      <c r="A157">
        <v>156</v>
      </c>
      <c r="B157">
        <v>2</v>
      </c>
      <c r="C157">
        <v>6</v>
      </c>
      <c r="D157" t="s">
        <v>327</v>
      </c>
      <c r="E157" t="s">
        <v>328</v>
      </c>
      <c r="F157">
        <v>3</v>
      </c>
      <c r="G157">
        <v>5</v>
      </c>
      <c r="H157">
        <v>4</v>
      </c>
      <c r="I157">
        <v>5</v>
      </c>
      <c r="J157">
        <f t="shared" si="2"/>
        <v>17</v>
      </c>
      <c r="K157">
        <v>11.036</v>
      </c>
      <c r="L157">
        <v>26</v>
      </c>
      <c r="M157">
        <v>5.44</v>
      </c>
      <c r="N157" t="s">
        <v>305</v>
      </c>
      <c r="O157" t="s">
        <v>305</v>
      </c>
      <c r="P157">
        <v>1</v>
      </c>
      <c r="Q157">
        <v>1</v>
      </c>
      <c r="R157">
        <v>1</v>
      </c>
    </row>
    <row r="158" spans="1:18" x14ac:dyDescent="0.3">
      <c r="A158">
        <v>157</v>
      </c>
      <c r="B158">
        <v>3</v>
      </c>
      <c r="C158">
        <v>6</v>
      </c>
      <c r="D158" t="s">
        <v>329</v>
      </c>
      <c r="E158" t="s">
        <v>328</v>
      </c>
      <c r="F158">
        <v>3</v>
      </c>
      <c r="G158">
        <v>5</v>
      </c>
      <c r="H158">
        <v>4</v>
      </c>
      <c r="I158">
        <v>5</v>
      </c>
      <c r="J158">
        <f t="shared" si="2"/>
        <v>17</v>
      </c>
      <c r="K158">
        <v>8.9139999999999997</v>
      </c>
      <c r="L158">
        <v>26</v>
      </c>
      <c r="M158">
        <v>6.73</v>
      </c>
      <c r="N158" t="s">
        <v>305</v>
      </c>
      <c r="O158" t="s">
        <v>305</v>
      </c>
      <c r="P158">
        <v>1</v>
      </c>
      <c r="Q158">
        <v>1</v>
      </c>
      <c r="R158">
        <v>1</v>
      </c>
    </row>
    <row r="159" spans="1:18" x14ac:dyDescent="0.3">
      <c r="A159">
        <v>158</v>
      </c>
      <c r="B159">
        <v>1</v>
      </c>
      <c r="C159">
        <v>6</v>
      </c>
      <c r="D159" t="s">
        <v>330</v>
      </c>
      <c r="E159" t="s">
        <v>331</v>
      </c>
      <c r="F159">
        <v>4</v>
      </c>
      <c r="G159">
        <v>4</v>
      </c>
      <c r="H159">
        <v>3</v>
      </c>
      <c r="I159">
        <v>5</v>
      </c>
      <c r="J159">
        <f t="shared" si="2"/>
        <v>16</v>
      </c>
      <c r="K159">
        <v>3.8069999999999999</v>
      </c>
      <c r="L159">
        <v>39</v>
      </c>
      <c r="M159">
        <v>15.76</v>
      </c>
      <c r="N159" t="s">
        <v>305</v>
      </c>
      <c r="O159" t="s">
        <v>305</v>
      </c>
      <c r="P159">
        <v>1</v>
      </c>
      <c r="Q159">
        <v>1</v>
      </c>
      <c r="R159">
        <v>1</v>
      </c>
    </row>
    <row r="160" spans="1:18" x14ac:dyDescent="0.3">
      <c r="A160">
        <v>159</v>
      </c>
      <c r="B160">
        <v>2</v>
      </c>
      <c r="C160">
        <v>6</v>
      </c>
      <c r="D160" t="s">
        <v>332</v>
      </c>
      <c r="E160" t="s">
        <v>333</v>
      </c>
      <c r="F160">
        <v>4</v>
      </c>
      <c r="G160">
        <v>4</v>
      </c>
      <c r="H160">
        <v>3</v>
      </c>
      <c r="I160">
        <v>5</v>
      </c>
      <c r="J160">
        <f t="shared" si="2"/>
        <v>16</v>
      </c>
      <c r="K160">
        <v>12.504</v>
      </c>
      <c r="L160">
        <v>39</v>
      </c>
      <c r="M160">
        <v>4.8</v>
      </c>
      <c r="N160" t="s">
        <v>305</v>
      </c>
      <c r="O160" t="s">
        <v>305</v>
      </c>
      <c r="P160">
        <v>1</v>
      </c>
      <c r="Q160">
        <v>1</v>
      </c>
      <c r="R160">
        <v>1</v>
      </c>
    </row>
    <row r="161" spans="1:18" x14ac:dyDescent="0.3">
      <c r="A161">
        <v>160</v>
      </c>
      <c r="B161">
        <v>3</v>
      </c>
      <c r="C161">
        <v>6</v>
      </c>
      <c r="D161" t="s">
        <v>334</v>
      </c>
      <c r="E161" t="s">
        <v>333</v>
      </c>
      <c r="F161">
        <v>4</v>
      </c>
      <c r="G161">
        <v>4</v>
      </c>
      <c r="H161">
        <v>3</v>
      </c>
      <c r="I161">
        <v>5</v>
      </c>
      <c r="J161">
        <f t="shared" si="2"/>
        <v>16</v>
      </c>
      <c r="K161">
        <v>14.773999999999999</v>
      </c>
      <c r="L161">
        <v>39</v>
      </c>
      <c r="M161">
        <v>4.0599999999999996</v>
      </c>
      <c r="N161" t="s">
        <v>305</v>
      </c>
      <c r="O161" t="s">
        <v>305</v>
      </c>
      <c r="P161">
        <v>1</v>
      </c>
      <c r="Q161">
        <v>1</v>
      </c>
      <c r="R161">
        <v>1</v>
      </c>
    </row>
    <row r="162" spans="1:18" x14ac:dyDescent="0.3">
      <c r="A162">
        <v>161</v>
      </c>
      <c r="B162">
        <v>1</v>
      </c>
      <c r="C162">
        <v>6</v>
      </c>
      <c r="D162" t="s">
        <v>335</v>
      </c>
      <c r="E162" t="s">
        <v>336</v>
      </c>
      <c r="F162">
        <v>0</v>
      </c>
      <c r="G162">
        <v>5</v>
      </c>
      <c r="H162">
        <v>1</v>
      </c>
      <c r="I162">
        <v>5</v>
      </c>
      <c r="J162">
        <f t="shared" si="2"/>
        <v>11</v>
      </c>
      <c r="K162">
        <v>8.6660000000000004</v>
      </c>
      <c r="L162">
        <v>39</v>
      </c>
      <c r="M162">
        <v>6.92</v>
      </c>
      <c r="N162" t="s">
        <v>305</v>
      </c>
      <c r="O162" t="s">
        <v>305</v>
      </c>
      <c r="P162">
        <v>1</v>
      </c>
      <c r="Q162">
        <v>1</v>
      </c>
      <c r="R162">
        <v>1</v>
      </c>
    </row>
    <row r="163" spans="1:18" x14ac:dyDescent="0.3">
      <c r="A163">
        <v>162</v>
      </c>
      <c r="B163">
        <v>2</v>
      </c>
      <c r="C163">
        <v>6</v>
      </c>
      <c r="D163" t="s">
        <v>337</v>
      </c>
      <c r="E163" t="s">
        <v>338</v>
      </c>
      <c r="F163">
        <v>0</v>
      </c>
      <c r="G163">
        <v>5</v>
      </c>
      <c r="H163">
        <v>1</v>
      </c>
      <c r="I163">
        <v>5</v>
      </c>
      <c r="J163">
        <f t="shared" si="2"/>
        <v>11</v>
      </c>
      <c r="K163">
        <v>11.866</v>
      </c>
      <c r="L163">
        <v>36</v>
      </c>
      <c r="M163">
        <v>5.0599999999999996</v>
      </c>
      <c r="N163" t="s">
        <v>305</v>
      </c>
      <c r="O163" t="s">
        <v>305</v>
      </c>
      <c r="P163">
        <v>1</v>
      </c>
      <c r="Q163">
        <v>1</v>
      </c>
      <c r="R163">
        <v>1</v>
      </c>
    </row>
    <row r="164" spans="1:18" x14ac:dyDescent="0.3">
      <c r="A164">
        <v>163</v>
      </c>
      <c r="B164">
        <v>3</v>
      </c>
      <c r="C164">
        <v>6</v>
      </c>
      <c r="D164" t="s">
        <v>339</v>
      </c>
      <c r="E164" t="s">
        <v>338</v>
      </c>
      <c r="F164">
        <v>0</v>
      </c>
      <c r="G164">
        <v>5</v>
      </c>
      <c r="H164">
        <v>1</v>
      </c>
      <c r="I164">
        <v>5</v>
      </c>
      <c r="J164">
        <f t="shared" si="2"/>
        <v>11</v>
      </c>
      <c r="K164">
        <v>14.696999999999999</v>
      </c>
      <c r="L164">
        <v>36</v>
      </c>
      <c r="M164">
        <v>4.08</v>
      </c>
      <c r="N164" t="s">
        <v>305</v>
      </c>
      <c r="O164" t="s">
        <v>305</v>
      </c>
      <c r="P164">
        <v>1</v>
      </c>
      <c r="Q164">
        <v>1</v>
      </c>
      <c r="R164">
        <v>1</v>
      </c>
    </row>
    <row r="165" spans="1:18" x14ac:dyDescent="0.3">
      <c r="A165">
        <v>164</v>
      </c>
      <c r="B165">
        <v>1</v>
      </c>
      <c r="C165">
        <v>6</v>
      </c>
      <c r="D165" t="s">
        <v>340</v>
      </c>
      <c r="E165" t="s">
        <v>341</v>
      </c>
      <c r="F165">
        <v>4</v>
      </c>
      <c r="G165">
        <v>4</v>
      </c>
      <c r="H165">
        <v>4</v>
      </c>
      <c r="I165">
        <v>5</v>
      </c>
      <c r="J165">
        <f t="shared" si="2"/>
        <v>17</v>
      </c>
      <c r="K165">
        <v>7.9109999999999996</v>
      </c>
      <c r="L165">
        <v>39</v>
      </c>
      <c r="M165">
        <v>7.58</v>
      </c>
      <c r="O165" t="s">
        <v>305</v>
      </c>
      <c r="P165">
        <v>0</v>
      </c>
      <c r="Q165">
        <v>1</v>
      </c>
      <c r="R165">
        <v>0</v>
      </c>
    </row>
    <row r="166" spans="1:18" x14ac:dyDescent="0.3">
      <c r="A166">
        <v>165</v>
      </c>
      <c r="B166">
        <v>2</v>
      </c>
      <c r="C166">
        <v>6</v>
      </c>
      <c r="D166" t="s">
        <v>342</v>
      </c>
      <c r="E166" t="s">
        <v>343</v>
      </c>
      <c r="F166">
        <v>4</v>
      </c>
      <c r="G166">
        <v>4</v>
      </c>
      <c r="H166">
        <v>4</v>
      </c>
      <c r="I166">
        <v>5</v>
      </c>
      <c r="J166">
        <f t="shared" si="2"/>
        <v>17</v>
      </c>
      <c r="K166">
        <v>10.4</v>
      </c>
      <c r="L166">
        <v>41</v>
      </c>
      <c r="M166">
        <v>5.77</v>
      </c>
      <c r="O166" t="s">
        <v>344</v>
      </c>
      <c r="P166">
        <v>0</v>
      </c>
      <c r="Q166">
        <v>1</v>
      </c>
      <c r="R166">
        <v>0</v>
      </c>
    </row>
    <row r="167" spans="1:18" x14ac:dyDescent="0.3">
      <c r="A167">
        <v>166</v>
      </c>
      <c r="B167">
        <v>3</v>
      </c>
      <c r="C167">
        <v>6</v>
      </c>
      <c r="D167" t="s">
        <v>345</v>
      </c>
      <c r="E167" t="s">
        <v>346</v>
      </c>
      <c r="F167">
        <v>5</v>
      </c>
      <c r="G167">
        <v>4</v>
      </c>
      <c r="H167">
        <v>5</v>
      </c>
      <c r="I167">
        <v>5</v>
      </c>
      <c r="J167">
        <f t="shared" si="2"/>
        <v>19</v>
      </c>
      <c r="K167">
        <v>7.3789999999999996</v>
      </c>
      <c r="L167">
        <v>40</v>
      </c>
      <c r="M167">
        <v>8.1300000000000008</v>
      </c>
      <c r="O167" t="s">
        <v>305</v>
      </c>
      <c r="P167">
        <v>0</v>
      </c>
      <c r="Q167">
        <v>1</v>
      </c>
      <c r="R167">
        <v>0</v>
      </c>
    </row>
    <row r="168" spans="1:18" x14ac:dyDescent="0.3">
      <c r="A168">
        <v>167</v>
      </c>
      <c r="B168">
        <v>1</v>
      </c>
      <c r="C168">
        <v>6</v>
      </c>
      <c r="D168" t="s">
        <v>347</v>
      </c>
      <c r="E168" t="s">
        <v>348</v>
      </c>
      <c r="F168">
        <v>5</v>
      </c>
      <c r="G168">
        <v>5</v>
      </c>
      <c r="H168">
        <v>3</v>
      </c>
      <c r="I168">
        <v>5</v>
      </c>
      <c r="J168">
        <f t="shared" si="2"/>
        <v>18</v>
      </c>
      <c r="K168">
        <v>9.6129999999999995</v>
      </c>
      <c r="L168">
        <v>61</v>
      </c>
      <c r="M168">
        <v>6.24</v>
      </c>
      <c r="O168" t="s">
        <v>305</v>
      </c>
      <c r="P168">
        <v>0</v>
      </c>
      <c r="Q168">
        <v>1</v>
      </c>
      <c r="R168">
        <v>0</v>
      </c>
    </row>
    <row r="169" spans="1:18" x14ac:dyDescent="0.3">
      <c r="A169">
        <v>168</v>
      </c>
      <c r="B169">
        <v>2</v>
      </c>
      <c r="C169">
        <v>6</v>
      </c>
      <c r="D169" t="s">
        <v>349</v>
      </c>
      <c r="E169" t="s">
        <v>350</v>
      </c>
      <c r="F169">
        <v>2</v>
      </c>
      <c r="G169">
        <v>5</v>
      </c>
      <c r="H169">
        <v>4</v>
      </c>
      <c r="I169">
        <v>5</v>
      </c>
      <c r="J169">
        <f t="shared" si="2"/>
        <v>16</v>
      </c>
      <c r="K169">
        <v>15.241</v>
      </c>
      <c r="L169">
        <v>68</v>
      </c>
      <c r="M169">
        <v>3.94</v>
      </c>
      <c r="O169" t="s">
        <v>305</v>
      </c>
      <c r="P169">
        <v>0</v>
      </c>
      <c r="Q169">
        <v>1</v>
      </c>
      <c r="R169">
        <v>0</v>
      </c>
    </row>
    <row r="170" spans="1:18" x14ac:dyDescent="0.3">
      <c r="A170">
        <v>169</v>
      </c>
      <c r="B170">
        <v>1</v>
      </c>
      <c r="C170">
        <v>7</v>
      </c>
      <c r="D170" t="s">
        <v>351</v>
      </c>
      <c r="E170" t="s">
        <v>352</v>
      </c>
      <c r="F170">
        <v>4</v>
      </c>
      <c r="G170">
        <v>5</v>
      </c>
      <c r="H170">
        <v>5</v>
      </c>
      <c r="I170">
        <v>5</v>
      </c>
      <c r="J170">
        <f t="shared" si="2"/>
        <v>19</v>
      </c>
      <c r="K170">
        <v>11.298</v>
      </c>
      <c r="L170">
        <v>18</v>
      </c>
      <c r="M170">
        <v>5.31</v>
      </c>
      <c r="N170" t="s">
        <v>344</v>
      </c>
      <c r="P170">
        <v>1</v>
      </c>
      <c r="Q170">
        <v>0</v>
      </c>
      <c r="R170">
        <v>0</v>
      </c>
    </row>
    <row r="171" spans="1:18" x14ac:dyDescent="0.3">
      <c r="A171">
        <v>170</v>
      </c>
      <c r="B171">
        <v>2</v>
      </c>
      <c r="C171">
        <v>7</v>
      </c>
      <c r="D171" t="s">
        <v>353</v>
      </c>
      <c r="E171" t="s">
        <v>354</v>
      </c>
      <c r="F171">
        <v>4</v>
      </c>
      <c r="G171">
        <v>5</v>
      </c>
      <c r="H171">
        <v>4</v>
      </c>
      <c r="I171">
        <v>5</v>
      </c>
      <c r="J171">
        <f t="shared" si="2"/>
        <v>18</v>
      </c>
      <c r="K171">
        <v>10.922000000000001</v>
      </c>
      <c r="L171">
        <v>24</v>
      </c>
      <c r="M171">
        <v>5.49</v>
      </c>
      <c r="N171" t="s">
        <v>344</v>
      </c>
      <c r="O171" t="s">
        <v>355</v>
      </c>
      <c r="P171">
        <v>0.33300000000000002</v>
      </c>
      <c r="Q171">
        <v>1</v>
      </c>
      <c r="R171">
        <v>0.5</v>
      </c>
    </row>
    <row r="172" spans="1:18" x14ac:dyDescent="0.3">
      <c r="A172">
        <v>171</v>
      </c>
      <c r="B172">
        <v>3</v>
      </c>
      <c r="C172">
        <v>7</v>
      </c>
      <c r="D172" t="s">
        <v>356</v>
      </c>
      <c r="E172" t="s">
        <v>354</v>
      </c>
      <c r="F172">
        <v>4</v>
      </c>
      <c r="G172">
        <v>5</v>
      </c>
      <c r="H172">
        <v>4</v>
      </c>
      <c r="I172">
        <v>5</v>
      </c>
      <c r="J172">
        <f t="shared" si="2"/>
        <v>18</v>
      </c>
      <c r="K172">
        <v>10.808</v>
      </c>
      <c r="L172">
        <v>24</v>
      </c>
      <c r="M172">
        <v>5.55</v>
      </c>
      <c r="N172" t="s">
        <v>344</v>
      </c>
      <c r="O172" t="s">
        <v>355</v>
      </c>
      <c r="P172">
        <v>0.33300000000000002</v>
      </c>
      <c r="Q172">
        <v>1</v>
      </c>
      <c r="R172">
        <v>0.5</v>
      </c>
    </row>
    <row r="173" spans="1:18" x14ac:dyDescent="0.3">
      <c r="A173">
        <v>172</v>
      </c>
      <c r="B173">
        <v>1</v>
      </c>
      <c r="C173">
        <v>7</v>
      </c>
      <c r="D173" t="s">
        <v>357</v>
      </c>
      <c r="E173" t="s">
        <v>358</v>
      </c>
      <c r="F173">
        <v>4</v>
      </c>
      <c r="G173">
        <v>5</v>
      </c>
      <c r="H173">
        <v>4</v>
      </c>
      <c r="I173">
        <v>5</v>
      </c>
      <c r="J173">
        <f t="shared" si="2"/>
        <v>18</v>
      </c>
      <c r="K173">
        <v>7.6879999999999997</v>
      </c>
      <c r="L173">
        <v>41</v>
      </c>
      <c r="M173">
        <v>7.8</v>
      </c>
      <c r="N173" t="s">
        <v>344</v>
      </c>
      <c r="O173" t="s">
        <v>355</v>
      </c>
      <c r="P173">
        <v>0.33300000000000002</v>
      </c>
      <c r="Q173">
        <v>1</v>
      </c>
      <c r="R173">
        <v>0.5</v>
      </c>
    </row>
    <row r="174" spans="1:18" x14ac:dyDescent="0.3">
      <c r="A174">
        <v>173</v>
      </c>
      <c r="B174">
        <v>2</v>
      </c>
      <c r="C174">
        <v>7</v>
      </c>
      <c r="D174" t="s">
        <v>359</v>
      </c>
      <c r="E174" t="s">
        <v>360</v>
      </c>
      <c r="F174">
        <v>3</v>
      </c>
      <c r="G174">
        <v>5</v>
      </c>
      <c r="H174">
        <v>2</v>
      </c>
      <c r="I174">
        <v>5</v>
      </c>
      <c r="J174">
        <f t="shared" si="2"/>
        <v>15</v>
      </c>
      <c r="K174">
        <v>12.736000000000001</v>
      </c>
      <c r="L174">
        <v>32</v>
      </c>
      <c r="M174">
        <v>4.71</v>
      </c>
      <c r="N174" t="s">
        <v>361</v>
      </c>
      <c r="O174" t="s">
        <v>355</v>
      </c>
      <c r="P174">
        <v>0.66700000000000004</v>
      </c>
      <c r="Q174">
        <v>1</v>
      </c>
      <c r="R174">
        <v>0.8</v>
      </c>
    </row>
    <row r="175" spans="1:18" x14ac:dyDescent="0.3">
      <c r="A175">
        <v>174</v>
      </c>
      <c r="B175">
        <v>3</v>
      </c>
      <c r="C175">
        <v>7</v>
      </c>
      <c r="D175" t="s">
        <v>362</v>
      </c>
      <c r="E175" t="s">
        <v>363</v>
      </c>
      <c r="F175">
        <v>4</v>
      </c>
      <c r="G175">
        <v>5</v>
      </c>
      <c r="H175">
        <v>2</v>
      </c>
      <c r="I175">
        <v>5</v>
      </c>
      <c r="J175">
        <f t="shared" si="2"/>
        <v>16</v>
      </c>
      <c r="K175">
        <v>13.037000000000001</v>
      </c>
      <c r="L175">
        <v>45</v>
      </c>
      <c r="M175">
        <v>4.5999999999999996</v>
      </c>
      <c r="N175" t="s">
        <v>361</v>
      </c>
      <c r="O175" t="s">
        <v>355</v>
      </c>
      <c r="P175">
        <v>0.66700000000000004</v>
      </c>
      <c r="Q175">
        <v>1</v>
      </c>
      <c r="R175">
        <v>0.8</v>
      </c>
    </row>
    <row r="176" spans="1:18" x14ac:dyDescent="0.3">
      <c r="A176">
        <v>175</v>
      </c>
      <c r="B176">
        <v>1</v>
      </c>
      <c r="C176">
        <v>7</v>
      </c>
      <c r="D176" t="s">
        <v>364</v>
      </c>
      <c r="E176" t="s">
        <v>365</v>
      </c>
      <c r="F176">
        <v>2</v>
      </c>
      <c r="G176">
        <v>5</v>
      </c>
      <c r="H176">
        <v>1</v>
      </c>
      <c r="I176">
        <v>5</v>
      </c>
      <c r="J176">
        <f t="shared" si="2"/>
        <v>13</v>
      </c>
      <c r="K176">
        <v>10.481</v>
      </c>
      <c r="L176">
        <v>41</v>
      </c>
      <c r="M176">
        <v>5.72</v>
      </c>
      <c r="O176" t="s">
        <v>355</v>
      </c>
      <c r="P176">
        <v>0</v>
      </c>
      <c r="Q176">
        <v>1</v>
      </c>
      <c r="R176">
        <v>0</v>
      </c>
    </row>
    <row r="177" spans="1:18" x14ac:dyDescent="0.3">
      <c r="A177">
        <v>176</v>
      </c>
      <c r="B177">
        <v>2</v>
      </c>
      <c r="C177">
        <v>7</v>
      </c>
      <c r="D177" t="s">
        <v>366</v>
      </c>
      <c r="E177" t="s">
        <v>367</v>
      </c>
      <c r="F177">
        <v>3</v>
      </c>
      <c r="G177">
        <v>2</v>
      </c>
      <c r="H177">
        <v>1</v>
      </c>
      <c r="I177">
        <v>3</v>
      </c>
      <c r="J177">
        <f t="shared" si="2"/>
        <v>9</v>
      </c>
      <c r="K177">
        <v>9.6359999999999992</v>
      </c>
      <c r="L177">
        <v>48</v>
      </c>
      <c r="M177">
        <v>6.23</v>
      </c>
      <c r="O177" t="s">
        <v>344</v>
      </c>
      <c r="P177">
        <v>0</v>
      </c>
      <c r="Q177">
        <v>1</v>
      </c>
      <c r="R177">
        <v>0</v>
      </c>
    </row>
    <row r="178" spans="1:18" x14ac:dyDescent="0.3">
      <c r="A178">
        <v>177</v>
      </c>
      <c r="B178">
        <v>3</v>
      </c>
      <c r="C178">
        <v>7</v>
      </c>
      <c r="D178" t="s">
        <v>368</v>
      </c>
      <c r="E178" t="s">
        <v>369</v>
      </c>
      <c r="F178">
        <v>3</v>
      </c>
      <c r="G178">
        <v>2</v>
      </c>
      <c r="H178">
        <v>1</v>
      </c>
      <c r="I178">
        <v>3</v>
      </c>
      <c r="J178">
        <f t="shared" si="2"/>
        <v>9</v>
      </c>
      <c r="K178">
        <v>10.632999999999999</v>
      </c>
      <c r="L178">
        <v>55</v>
      </c>
      <c r="M178">
        <v>5.64</v>
      </c>
      <c r="O178" t="s">
        <v>361</v>
      </c>
      <c r="P178">
        <v>0</v>
      </c>
      <c r="Q178">
        <v>1</v>
      </c>
      <c r="R178">
        <v>0</v>
      </c>
    </row>
    <row r="179" spans="1:18" x14ac:dyDescent="0.3">
      <c r="A179">
        <v>178</v>
      </c>
      <c r="B179">
        <v>1</v>
      </c>
      <c r="C179">
        <v>7</v>
      </c>
      <c r="D179" t="s">
        <v>370</v>
      </c>
      <c r="E179" t="s">
        <v>371</v>
      </c>
      <c r="F179">
        <v>3</v>
      </c>
      <c r="G179">
        <v>1</v>
      </c>
      <c r="H179">
        <v>1</v>
      </c>
      <c r="I179">
        <v>1</v>
      </c>
      <c r="J179">
        <f t="shared" si="2"/>
        <v>6</v>
      </c>
      <c r="K179">
        <v>8.4949999999999992</v>
      </c>
      <c r="L179">
        <v>26</v>
      </c>
      <c r="M179">
        <v>7.06</v>
      </c>
      <c r="O179" t="s">
        <v>355</v>
      </c>
      <c r="P179">
        <v>0</v>
      </c>
      <c r="Q179">
        <v>1</v>
      </c>
      <c r="R179">
        <v>0</v>
      </c>
    </row>
    <row r="180" spans="1:18" x14ac:dyDescent="0.3">
      <c r="A180">
        <v>179</v>
      </c>
      <c r="B180">
        <v>2</v>
      </c>
      <c r="C180">
        <v>7</v>
      </c>
      <c r="D180" t="s">
        <v>372</v>
      </c>
      <c r="E180" t="s">
        <v>373</v>
      </c>
      <c r="F180">
        <v>4</v>
      </c>
      <c r="G180">
        <v>5</v>
      </c>
      <c r="H180">
        <v>4</v>
      </c>
      <c r="I180">
        <v>5</v>
      </c>
      <c r="J180">
        <f t="shared" si="2"/>
        <v>18</v>
      </c>
      <c r="K180">
        <v>8.4160000000000004</v>
      </c>
      <c r="L180">
        <v>50</v>
      </c>
      <c r="M180">
        <v>7.13</v>
      </c>
      <c r="O180" t="s">
        <v>355</v>
      </c>
      <c r="P180">
        <v>0</v>
      </c>
      <c r="Q180">
        <v>1</v>
      </c>
      <c r="R180">
        <v>0</v>
      </c>
    </row>
    <row r="181" spans="1:18" x14ac:dyDescent="0.3">
      <c r="A181">
        <v>180</v>
      </c>
      <c r="B181">
        <v>3</v>
      </c>
      <c r="C181">
        <v>7</v>
      </c>
      <c r="D181" t="s">
        <v>347</v>
      </c>
      <c r="E181" t="s">
        <v>374</v>
      </c>
      <c r="F181">
        <v>2</v>
      </c>
      <c r="G181">
        <v>5</v>
      </c>
      <c r="H181">
        <v>4</v>
      </c>
      <c r="I181">
        <v>5</v>
      </c>
      <c r="J181">
        <f t="shared" si="2"/>
        <v>16</v>
      </c>
      <c r="K181">
        <v>12.441000000000001</v>
      </c>
      <c r="L181">
        <v>52</v>
      </c>
      <c r="M181">
        <v>4.82</v>
      </c>
      <c r="O181" t="s">
        <v>355</v>
      </c>
      <c r="P181">
        <v>0</v>
      </c>
      <c r="Q181">
        <v>1</v>
      </c>
      <c r="R181">
        <v>0</v>
      </c>
    </row>
    <row r="182" spans="1:18" x14ac:dyDescent="0.3">
      <c r="A182">
        <v>181</v>
      </c>
      <c r="B182">
        <v>1</v>
      </c>
      <c r="C182">
        <v>7</v>
      </c>
      <c r="D182" t="s">
        <v>345</v>
      </c>
      <c r="E182" t="s">
        <v>375</v>
      </c>
      <c r="F182">
        <v>3</v>
      </c>
      <c r="G182">
        <v>4</v>
      </c>
      <c r="H182">
        <v>4</v>
      </c>
      <c r="I182">
        <v>5</v>
      </c>
      <c r="J182">
        <f t="shared" si="2"/>
        <v>16</v>
      </c>
      <c r="K182">
        <v>8.84</v>
      </c>
      <c r="L182">
        <v>26</v>
      </c>
      <c r="M182">
        <v>6.79</v>
      </c>
      <c r="O182" t="s">
        <v>376</v>
      </c>
      <c r="P182">
        <v>0</v>
      </c>
      <c r="Q182">
        <v>1</v>
      </c>
      <c r="R182">
        <v>0</v>
      </c>
    </row>
    <row r="183" spans="1:18" x14ac:dyDescent="0.3">
      <c r="A183">
        <v>182</v>
      </c>
      <c r="B183">
        <v>2</v>
      </c>
      <c r="C183">
        <v>7</v>
      </c>
      <c r="D183" t="s">
        <v>377</v>
      </c>
      <c r="E183" t="s">
        <v>378</v>
      </c>
      <c r="F183">
        <v>4</v>
      </c>
      <c r="G183">
        <v>4</v>
      </c>
      <c r="H183">
        <v>4</v>
      </c>
      <c r="I183">
        <v>5</v>
      </c>
      <c r="J183">
        <f t="shared" si="2"/>
        <v>17</v>
      </c>
      <c r="K183">
        <v>15.108000000000001</v>
      </c>
      <c r="L183">
        <v>26</v>
      </c>
      <c r="M183">
        <v>3.97</v>
      </c>
      <c r="N183" t="s">
        <v>344</v>
      </c>
      <c r="O183" t="s">
        <v>355</v>
      </c>
      <c r="P183">
        <v>0.33300000000000002</v>
      </c>
      <c r="Q183">
        <v>1</v>
      </c>
      <c r="R183">
        <v>0.5</v>
      </c>
    </row>
    <row r="184" spans="1:18" x14ac:dyDescent="0.3">
      <c r="A184">
        <v>183</v>
      </c>
      <c r="B184">
        <v>3</v>
      </c>
      <c r="C184">
        <v>7</v>
      </c>
      <c r="D184" t="s">
        <v>379</v>
      </c>
      <c r="E184" t="s">
        <v>380</v>
      </c>
      <c r="F184">
        <v>5</v>
      </c>
      <c r="G184">
        <v>5</v>
      </c>
      <c r="H184">
        <v>5</v>
      </c>
      <c r="I184">
        <v>5</v>
      </c>
      <c r="J184">
        <f t="shared" si="2"/>
        <v>20</v>
      </c>
      <c r="K184">
        <v>9.1389999999999993</v>
      </c>
      <c r="L184">
        <v>32</v>
      </c>
      <c r="M184">
        <v>6.56</v>
      </c>
      <c r="N184" t="s">
        <v>376</v>
      </c>
      <c r="O184" t="s">
        <v>355</v>
      </c>
      <c r="P184">
        <v>0.33300000000000002</v>
      </c>
      <c r="Q184">
        <v>1</v>
      </c>
      <c r="R184">
        <v>0.5</v>
      </c>
    </row>
    <row r="185" spans="1:18" x14ac:dyDescent="0.3">
      <c r="A185">
        <v>184</v>
      </c>
      <c r="B185">
        <v>1</v>
      </c>
      <c r="C185">
        <v>7</v>
      </c>
      <c r="D185" t="s">
        <v>381</v>
      </c>
      <c r="E185" t="s">
        <v>382</v>
      </c>
      <c r="F185">
        <v>4</v>
      </c>
      <c r="G185">
        <v>5</v>
      </c>
      <c r="H185">
        <v>4</v>
      </c>
      <c r="I185">
        <v>5</v>
      </c>
      <c r="J185">
        <f t="shared" si="2"/>
        <v>18</v>
      </c>
      <c r="K185">
        <v>9.3539999999999992</v>
      </c>
      <c r="L185">
        <v>33</v>
      </c>
      <c r="M185">
        <v>6.41</v>
      </c>
      <c r="N185" t="s">
        <v>376</v>
      </c>
      <c r="O185" t="s">
        <v>361</v>
      </c>
      <c r="P185">
        <v>0.5</v>
      </c>
      <c r="Q185">
        <v>1</v>
      </c>
      <c r="R185">
        <v>0.66700000000000004</v>
      </c>
    </row>
    <row r="186" spans="1:18" x14ac:dyDescent="0.3">
      <c r="A186">
        <v>185</v>
      </c>
      <c r="B186">
        <v>2</v>
      </c>
      <c r="C186">
        <v>7</v>
      </c>
      <c r="D186" t="s">
        <v>383</v>
      </c>
      <c r="E186" t="s">
        <v>382</v>
      </c>
      <c r="F186">
        <v>4</v>
      </c>
      <c r="G186">
        <v>5</v>
      </c>
      <c r="H186">
        <v>4</v>
      </c>
      <c r="I186">
        <v>5</v>
      </c>
      <c r="J186">
        <f t="shared" si="2"/>
        <v>18</v>
      </c>
      <c r="K186">
        <v>13.159000000000001</v>
      </c>
      <c r="L186">
        <v>33</v>
      </c>
      <c r="M186">
        <v>4.5599999999999996</v>
      </c>
      <c r="N186" t="s">
        <v>361</v>
      </c>
      <c r="O186" t="s">
        <v>361</v>
      </c>
      <c r="P186">
        <v>1</v>
      </c>
      <c r="Q186">
        <v>1</v>
      </c>
      <c r="R186">
        <v>1</v>
      </c>
    </row>
    <row r="187" spans="1:18" x14ac:dyDescent="0.3">
      <c r="A187">
        <v>186</v>
      </c>
      <c r="B187">
        <v>3</v>
      </c>
      <c r="C187">
        <v>7</v>
      </c>
      <c r="D187" t="s">
        <v>384</v>
      </c>
      <c r="E187" t="s">
        <v>382</v>
      </c>
      <c r="F187">
        <v>4</v>
      </c>
      <c r="G187">
        <v>4</v>
      </c>
      <c r="H187">
        <v>4</v>
      </c>
      <c r="I187">
        <v>5</v>
      </c>
      <c r="J187">
        <f t="shared" si="2"/>
        <v>17</v>
      </c>
      <c r="K187">
        <v>14.464</v>
      </c>
      <c r="L187">
        <v>33</v>
      </c>
      <c r="M187">
        <v>4.1500000000000004</v>
      </c>
      <c r="N187" t="s">
        <v>376</v>
      </c>
      <c r="O187" t="s">
        <v>361</v>
      </c>
      <c r="P187">
        <v>0.5</v>
      </c>
      <c r="Q187">
        <v>1</v>
      </c>
      <c r="R187">
        <v>0.66700000000000004</v>
      </c>
    </row>
    <row r="188" spans="1:18" x14ac:dyDescent="0.3">
      <c r="A188">
        <v>187</v>
      </c>
      <c r="B188">
        <v>1</v>
      </c>
      <c r="C188">
        <v>7</v>
      </c>
      <c r="D188" t="s">
        <v>385</v>
      </c>
      <c r="E188" t="s">
        <v>386</v>
      </c>
      <c r="F188">
        <v>4</v>
      </c>
      <c r="G188">
        <v>5</v>
      </c>
      <c r="H188">
        <v>4</v>
      </c>
      <c r="I188">
        <v>5</v>
      </c>
      <c r="J188">
        <f t="shared" si="2"/>
        <v>18</v>
      </c>
      <c r="K188">
        <v>10.923999999999999</v>
      </c>
      <c r="L188">
        <v>31</v>
      </c>
      <c r="M188">
        <v>5.49</v>
      </c>
      <c r="N188" t="s">
        <v>361</v>
      </c>
      <c r="O188" t="s">
        <v>355</v>
      </c>
      <c r="P188">
        <v>0.66700000000000004</v>
      </c>
      <c r="Q188">
        <v>1</v>
      </c>
      <c r="R188">
        <v>0.8</v>
      </c>
    </row>
    <row r="189" spans="1:18" x14ac:dyDescent="0.3">
      <c r="A189">
        <v>188</v>
      </c>
      <c r="B189">
        <v>2</v>
      </c>
      <c r="C189">
        <v>7</v>
      </c>
      <c r="D189" t="s">
        <v>387</v>
      </c>
      <c r="E189" t="s">
        <v>388</v>
      </c>
      <c r="F189">
        <v>4</v>
      </c>
      <c r="G189">
        <v>5</v>
      </c>
      <c r="H189">
        <v>5</v>
      </c>
      <c r="I189">
        <v>5</v>
      </c>
      <c r="J189">
        <f t="shared" si="2"/>
        <v>19</v>
      </c>
      <c r="K189">
        <v>13.384</v>
      </c>
      <c r="L189">
        <v>28</v>
      </c>
      <c r="M189">
        <v>4.4800000000000004</v>
      </c>
      <c r="O189" t="s">
        <v>355</v>
      </c>
      <c r="P189">
        <v>0</v>
      </c>
      <c r="Q189">
        <v>1</v>
      </c>
      <c r="R189">
        <v>0</v>
      </c>
    </row>
    <row r="190" spans="1:18" x14ac:dyDescent="0.3">
      <c r="A190">
        <v>189</v>
      </c>
      <c r="B190">
        <v>3</v>
      </c>
      <c r="C190">
        <v>7</v>
      </c>
      <c r="D190" t="s">
        <v>389</v>
      </c>
      <c r="E190" t="s">
        <v>390</v>
      </c>
      <c r="F190">
        <v>3</v>
      </c>
      <c r="G190">
        <v>5</v>
      </c>
      <c r="H190">
        <v>3</v>
      </c>
      <c r="I190">
        <v>5</v>
      </c>
      <c r="J190">
        <f t="shared" si="2"/>
        <v>16</v>
      </c>
      <c r="K190">
        <v>8.7870000000000008</v>
      </c>
      <c r="L190">
        <v>19</v>
      </c>
      <c r="M190">
        <v>6.83</v>
      </c>
      <c r="O190" t="s">
        <v>355</v>
      </c>
      <c r="P190">
        <v>0</v>
      </c>
      <c r="Q190">
        <v>1</v>
      </c>
      <c r="R190">
        <v>0</v>
      </c>
    </row>
    <row r="191" spans="1:18" x14ac:dyDescent="0.3">
      <c r="A191">
        <v>190</v>
      </c>
      <c r="B191">
        <v>1</v>
      </c>
      <c r="C191">
        <v>7</v>
      </c>
      <c r="D191" t="s">
        <v>213</v>
      </c>
      <c r="E191" t="s">
        <v>391</v>
      </c>
      <c r="F191">
        <v>4</v>
      </c>
      <c r="G191">
        <v>4</v>
      </c>
      <c r="H191">
        <v>4</v>
      </c>
      <c r="I191">
        <v>5</v>
      </c>
      <c r="J191">
        <f t="shared" si="2"/>
        <v>17</v>
      </c>
      <c r="K191">
        <v>5.0250000000000004</v>
      </c>
      <c r="L191">
        <v>52</v>
      </c>
      <c r="M191">
        <v>11.94</v>
      </c>
      <c r="O191" t="s">
        <v>355</v>
      </c>
      <c r="P191">
        <v>0</v>
      </c>
      <c r="Q191">
        <v>1</v>
      </c>
      <c r="R191">
        <v>0</v>
      </c>
    </row>
    <row r="192" spans="1:18" x14ac:dyDescent="0.3">
      <c r="A192">
        <v>191</v>
      </c>
      <c r="B192">
        <v>2</v>
      </c>
      <c r="C192">
        <v>7</v>
      </c>
      <c r="D192" t="s">
        <v>211</v>
      </c>
      <c r="E192" t="s">
        <v>392</v>
      </c>
      <c r="F192">
        <v>5</v>
      </c>
      <c r="G192">
        <v>5</v>
      </c>
      <c r="H192">
        <v>5</v>
      </c>
      <c r="I192">
        <v>5</v>
      </c>
      <c r="J192">
        <f t="shared" si="2"/>
        <v>20</v>
      </c>
      <c r="K192">
        <v>8.34</v>
      </c>
      <c r="L192">
        <v>50</v>
      </c>
      <c r="M192">
        <v>7.19</v>
      </c>
      <c r="O192" t="s">
        <v>344</v>
      </c>
      <c r="P192">
        <v>0</v>
      </c>
      <c r="Q192">
        <v>1</v>
      </c>
      <c r="R192">
        <v>0</v>
      </c>
    </row>
    <row r="193" spans="1:18" x14ac:dyDescent="0.3">
      <c r="A193">
        <v>192</v>
      </c>
      <c r="B193">
        <v>3</v>
      </c>
      <c r="C193">
        <v>7</v>
      </c>
      <c r="D193" t="s">
        <v>393</v>
      </c>
      <c r="E193" t="s">
        <v>394</v>
      </c>
      <c r="F193">
        <v>2</v>
      </c>
      <c r="G193">
        <v>5</v>
      </c>
      <c r="H193">
        <v>4</v>
      </c>
      <c r="I193">
        <v>5</v>
      </c>
      <c r="J193">
        <f t="shared" si="2"/>
        <v>16</v>
      </c>
      <c r="K193">
        <v>9.5890000000000004</v>
      </c>
      <c r="L193">
        <v>65</v>
      </c>
      <c r="M193">
        <v>6.26</v>
      </c>
      <c r="O193" t="s">
        <v>361</v>
      </c>
      <c r="P193">
        <v>0</v>
      </c>
      <c r="Q193">
        <v>1</v>
      </c>
      <c r="R193">
        <v>0</v>
      </c>
    </row>
    <row r="194" spans="1:18" x14ac:dyDescent="0.3">
      <c r="A194">
        <v>193</v>
      </c>
      <c r="B194">
        <v>1</v>
      </c>
      <c r="C194">
        <v>7</v>
      </c>
      <c r="D194" t="s">
        <v>395</v>
      </c>
      <c r="E194" t="s">
        <v>396</v>
      </c>
      <c r="F194">
        <v>5</v>
      </c>
      <c r="G194">
        <v>5</v>
      </c>
      <c r="H194">
        <v>5</v>
      </c>
      <c r="I194">
        <v>5</v>
      </c>
      <c r="J194">
        <f t="shared" si="2"/>
        <v>20</v>
      </c>
      <c r="K194">
        <v>7.4770000000000003</v>
      </c>
      <c r="L194">
        <v>41</v>
      </c>
      <c r="M194">
        <v>8.02</v>
      </c>
      <c r="O194" t="s">
        <v>355</v>
      </c>
      <c r="P194">
        <v>0</v>
      </c>
      <c r="Q194">
        <v>1</v>
      </c>
      <c r="R194">
        <v>0</v>
      </c>
    </row>
    <row r="195" spans="1:18" x14ac:dyDescent="0.3">
      <c r="A195">
        <v>194</v>
      </c>
      <c r="B195">
        <v>2</v>
      </c>
      <c r="C195">
        <v>7</v>
      </c>
      <c r="D195" t="s">
        <v>397</v>
      </c>
      <c r="E195" t="s">
        <v>398</v>
      </c>
      <c r="F195">
        <v>4</v>
      </c>
      <c r="G195">
        <v>4</v>
      </c>
      <c r="H195">
        <v>5</v>
      </c>
      <c r="I195">
        <v>5</v>
      </c>
      <c r="J195">
        <f t="shared" ref="J195:J199" si="3">SUM(F195:I195)</f>
        <v>18</v>
      </c>
      <c r="K195">
        <v>8.4550000000000001</v>
      </c>
      <c r="L195">
        <v>53</v>
      </c>
      <c r="M195">
        <v>7.1</v>
      </c>
      <c r="O195" t="s">
        <v>355</v>
      </c>
      <c r="P195">
        <v>0</v>
      </c>
      <c r="Q195">
        <v>1</v>
      </c>
      <c r="R195">
        <v>0</v>
      </c>
    </row>
    <row r="196" spans="1:18" x14ac:dyDescent="0.3">
      <c r="A196">
        <v>195</v>
      </c>
      <c r="B196">
        <v>3</v>
      </c>
      <c r="C196">
        <v>7</v>
      </c>
      <c r="D196" t="s">
        <v>399</v>
      </c>
      <c r="E196" t="s">
        <v>400</v>
      </c>
      <c r="F196">
        <v>4</v>
      </c>
      <c r="G196">
        <v>5</v>
      </c>
      <c r="H196">
        <v>5</v>
      </c>
      <c r="I196">
        <v>5</v>
      </c>
      <c r="J196">
        <f t="shared" si="3"/>
        <v>19</v>
      </c>
      <c r="K196">
        <v>13.941000000000001</v>
      </c>
      <c r="L196">
        <v>49</v>
      </c>
      <c r="M196">
        <v>4.3</v>
      </c>
      <c r="O196" t="s">
        <v>355</v>
      </c>
      <c r="P196">
        <v>0</v>
      </c>
      <c r="Q196">
        <v>1</v>
      </c>
      <c r="R196">
        <v>0</v>
      </c>
    </row>
    <row r="197" spans="1:18" x14ac:dyDescent="0.3">
      <c r="A197">
        <v>196</v>
      </c>
      <c r="B197">
        <v>1</v>
      </c>
      <c r="C197">
        <v>7</v>
      </c>
      <c r="D197" t="s">
        <v>401</v>
      </c>
      <c r="E197" t="s">
        <v>402</v>
      </c>
      <c r="F197">
        <v>5</v>
      </c>
      <c r="G197">
        <v>5</v>
      </c>
      <c r="H197">
        <v>5</v>
      </c>
      <c r="I197">
        <v>5</v>
      </c>
      <c r="J197">
        <f t="shared" si="3"/>
        <v>20</v>
      </c>
      <c r="K197">
        <v>11.116</v>
      </c>
      <c r="L197">
        <v>40</v>
      </c>
      <c r="M197">
        <v>5.4</v>
      </c>
      <c r="O197" t="s">
        <v>355</v>
      </c>
      <c r="P197">
        <v>0</v>
      </c>
      <c r="Q197">
        <v>1</v>
      </c>
      <c r="R197">
        <v>0</v>
      </c>
    </row>
    <row r="198" spans="1:18" x14ac:dyDescent="0.3">
      <c r="A198">
        <v>197</v>
      </c>
      <c r="B198">
        <v>2</v>
      </c>
      <c r="C198">
        <v>7</v>
      </c>
      <c r="D198" t="s">
        <v>403</v>
      </c>
      <c r="E198" t="s">
        <v>404</v>
      </c>
      <c r="F198">
        <v>4</v>
      </c>
      <c r="G198">
        <v>5</v>
      </c>
      <c r="H198">
        <v>5</v>
      </c>
      <c r="I198">
        <v>5</v>
      </c>
      <c r="J198">
        <f t="shared" si="3"/>
        <v>19</v>
      </c>
      <c r="K198">
        <v>10.351000000000001</v>
      </c>
      <c r="L198">
        <v>79</v>
      </c>
      <c r="M198">
        <v>5.8</v>
      </c>
      <c r="O198" t="s">
        <v>355</v>
      </c>
      <c r="P198">
        <v>0</v>
      </c>
      <c r="Q198">
        <v>1</v>
      </c>
      <c r="R198">
        <v>0</v>
      </c>
    </row>
    <row r="199" spans="1:18" x14ac:dyDescent="0.3">
      <c r="A199">
        <v>198</v>
      </c>
      <c r="B199">
        <v>3</v>
      </c>
      <c r="C199">
        <v>7</v>
      </c>
      <c r="D199" t="s">
        <v>405</v>
      </c>
      <c r="E199" t="s">
        <v>406</v>
      </c>
      <c r="F199">
        <v>3</v>
      </c>
      <c r="G199">
        <v>3</v>
      </c>
      <c r="H199">
        <v>2</v>
      </c>
      <c r="I199">
        <v>1</v>
      </c>
      <c r="J199">
        <f t="shared" si="3"/>
        <v>9</v>
      </c>
      <c r="K199">
        <v>15.185</v>
      </c>
      <c r="L199">
        <v>44</v>
      </c>
      <c r="M199">
        <v>3.95</v>
      </c>
      <c r="N199" t="s">
        <v>361</v>
      </c>
      <c r="O199" t="s">
        <v>355</v>
      </c>
      <c r="P199">
        <v>0.66700000000000004</v>
      </c>
      <c r="Q199">
        <v>1</v>
      </c>
      <c r="R199">
        <v>0.8</v>
      </c>
    </row>
    <row r="200" spans="1:18" x14ac:dyDescent="0.3">
      <c r="A200">
        <v>199</v>
      </c>
      <c r="B200">
        <v>1</v>
      </c>
      <c r="C200">
        <v>1</v>
      </c>
      <c r="D200" t="s">
        <v>90</v>
      </c>
      <c r="E200" t="s">
        <v>446</v>
      </c>
      <c r="F200">
        <v>4</v>
      </c>
      <c r="G200">
        <v>4</v>
      </c>
      <c r="H200">
        <v>3</v>
      </c>
      <c r="I200">
        <v>5</v>
      </c>
      <c r="J200">
        <v>14</v>
      </c>
      <c r="K200">
        <v>7.3949999999999996</v>
      </c>
      <c r="L200">
        <v>61</v>
      </c>
      <c r="M200">
        <v>8.11</v>
      </c>
      <c r="O200" t="s">
        <v>23</v>
      </c>
      <c r="P200">
        <v>0</v>
      </c>
      <c r="Q200">
        <v>1</v>
      </c>
      <c r="R200">
        <v>0</v>
      </c>
    </row>
    <row r="201" spans="1:18" x14ac:dyDescent="0.3">
      <c r="A201">
        <v>200</v>
      </c>
      <c r="B201">
        <v>2</v>
      </c>
      <c r="C201">
        <v>1</v>
      </c>
      <c r="D201" t="s">
        <v>90</v>
      </c>
      <c r="E201" t="s">
        <v>447</v>
      </c>
      <c r="F201">
        <v>4</v>
      </c>
      <c r="G201">
        <v>5</v>
      </c>
      <c r="H201">
        <v>2</v>
      </c>
      <c r="I201">
        <v>5</v>
      </c>
      <c r="J201">
        <v>15</v>
      </c>
      <c r="K201">
        <v>1.7709999999999999</v>
      </c>
      <c r="L201">
        <v>35</v>
      </c>
      <c r="M201">
        <v>33.869999999999997</v>
      </c>
      <c r="O201" t="s">
        <v>20</v>
      </c>
      <c r="P201">
        <v>0</v>
      </c>
      <c r="Q201">
        <v>1</v>
      </c>
      <c r="R201">
        <v>0</v>
      </c>
    </row>
    <row r="202" spans="1:18" x14ac:dyDescent="0.3">
      <c r="A202">
        <v>201</v>
      </c>
      <c r="B202">
        <v>3</v>
      </c>
      <c r="C202">
        <v>1</v>
      </c>
      <c r="D202" t="s">
        <v>90</v>
      </c>
      <c r="E202" t="s">
        <v>448</v>
      </c>
      <c r="F202">
        <v>4</v>
      </c>
      <c r="G202">
        <v>5</v>
      </c>
      <c r="H202">
        <v>2</v>
      </c>
      <c r="I202">
        <v>5</v>
      </c>
      <c r="J202">
        <v>15</v>
      </c>
      <c r="K202">
        <v>2.972</v>
      </c>
      <c r="L202">
        <v>23</v>
      </c>
      <c r="M202">
        <v>20.190000000000001</v>
      </c>
      <c r="O202" t="s">
        <v>20</v>
      </c>
      <c r="P202">
        <v>0</v>
      </c>
      <c r="Q202">
        <v>1</v>
      </c>
      <c r="R202">
        <v>0</v>
      </c>
    </row>
    <row r="203" spans="1:18" x14ac:dyDescent="0.3">
      <c r="A203">
        <v>202</v>
      </c>
      <c r="B203">
        <v>1</v>
      </c>
      <c r="C203">
        <v>1</v>
      </c>
      <c r="D203" t="s">
        <v>90</v>
      </c>
      <c r="E203" t="s">
        <v>449</v>
      </c>
      <c r="F203">
        <v>3</v>
      </c>
      <c r="G203">
        <v>4</v>
      </c>
      <c r="H203">
        <v>2</v>
      </c>
      <c r="I203">
        <v>5</v>
      </c>
      <c r="J203">
        <v>14</v>
      </c>
      <c r="K203">
        <v>1.468</v>
      </c>
      <c r="L203">
        <v>52</v>
      </c>
      <c r="M203">
        <v>40.86</v>
      </c>
      <c r="O203" t="s">
        <v>23</v>
      </c>
      <c r="P203">
        <v>0</v>
      </c>
      <c r="Q203">
        <v>1</v>
      </c>
      <c r="R203">
        <v>0</v>
      </c>
    </row>
    <row r="204" spans="1:18" x14ac:dyDescent="0.3">
      <c r="A204">
        <v>203</v>
      </c>
      <c r="B204">
        <v>2</v>
      </c>
      <c r="C204">
        <v>1</v>
      </c>
      <c r="D204" t="s">
        <v>88</v>
      </c>
      <c r="E204" t="s">
        <v>450</v>
      </c>
      <c r="F204">
        <v>4</v>
      </c>
      <c r="G204">
        <v>4</v>
      </c>
      <c r="H204">
        <v>3</v>
      </c>
      <c r="I204">
        <v>5</v>
      </c>
      <c r="J204">
        <v>13</v>
      </c>
      <c r="K204">
        <v>1.5329999999999999</v>
      </c>
      <c r="L204">
        <v>48</v>
      </c>
      <c r="M204">
        <v>39.130000000000003</v>
      </c>
      <c r="N204" t="s">
        <v>20</v>
      </c>
      <c r="O204" t="s">
        <v>23</v>
      </c>
      <c r="P204">
        <v>0.5</v>
      </c>
      <c r="Q204">
        <v>1</v>
      </c>
      <c r="R204">
        <v>0.66700000000000004</v>
      </c>
    </row>
    <row r="205" spans="1:18" x14ac:dyDescent="0.3">
      <c r="A205">
        <v>204</v>
      </c>
      <c r="B205">
        <v>3</v>
      </c>
      <c r="C205">
        <v>1</v>
      </c>
      <c r="D205" t="s">
        <v>451</v>
      </c>
      <c r="E205" t="s">
        <v>452</v>
      </c>
      <c r="F205">
        <v>5</v>
      </c>
      <c r="G205">
        <v>5</v>
      </c>
      <c r="H205">
        <v>5</v>
      </c>
      <c r="I205">
        <v>5</v>
      </c>
      <c r="J205">
        <v>12</v>
      </c>
      <c r="K205">
        <v>1.218</v>
      </c>
      <c r="L205">
        <v>39</v>
      </c>
      <c r="M205">
        <v>49.28</v>
      </c>
      <c r="N205" t="s">
        <v>20</v>
      </c>
      <c r="P205">
        <v>1</v>
      </c>
      <c r="Q205">
        <v>0</v>
      </c>
      <c r="R205">
        <v>0</v>
      </c>
    </row>
    <row r="206" spans="1:18" x14ac:dyDescent="0.3">
      <c r="A206">
        <v>205</v>
      </c>
      <c r="B206">
        <v>1</v>
      </c>
      <c r="C206">
        <v>1</v>
      </c>
      <c r="D206" t="s">
        <v>95</v>
      </c>
      <c r="E206" t="s">
        <v>94</v>
      </c>
      <c r="F206">
        <v>3</v>
      </c>
      <c r="G206">
        <v>3</v>
      </c>
      <c r="H206">
        <v>2</v>
      </c>
      <c r="I206">
        <v>5</v>
      </c>
      <c r="J206">
        <v>13</v>
      </c>
      <c r="K206">
        <v>1.262</v>
      </c>
      <c r="L206">
        <v>31</v>
      </c>
      <c r="M206">
        <v>47.53</v>
      </c>
      <c r="N206" t="s">
        <v>33</v>
      </c>
      <c r="O206" t="s">
        <v>33</v>
      </c>
      <c r="P206">
        <v>1</v>
      </c>
      <c r="Q206">
        <v>1</v>
      </c>
      <c r="R206">
        <v>1</v>
      </c>
    </row>
    <row r="207" spans="1:18" x14ac:dyDescent="0.3">
      <c r="A207">
        <v>206</v>
      </c>
      <c r="B207">
        <v>2</v>
      </c>
      <c r="C207">
        <v>1</v>
      </c>
      <c r="D207" t="s">
        <v>93</v>
      </c>
      <c r="E207" t="s">
        <v>453</v>
      </c>
      <c r="F207">
        <v>4</v>
      </c>
      <c r="G207">
        <v>3</v>
      </c>
      <c r="H207">
        <v>2</v>
      </c>
      <c r="I207">
        <v>1</v>
      </c>
      <c r="J207">
        <v>13</v>
      </c>
      <c r="K207">
        <v>1.911</v>
      </c>
      <c r="L207">
        <v>52</v>
      </c>
      <c r="M207">
        <v>31.39</v>
      </c>
      <c r="N207" t="s">
        <v>69</v>
      </c>
      <c r="O207" t="s">
        <v>20</v>
      </c>
      <c r="P207">
        <v>0</v>
      </c>
      <c r="Q207">
        <v>0</v>
      </c>
      <c r="R207">
        <v>0</v>
      </c>
    </row>
    <row r="208" spans="1:18" x14ac:dyDescent="0.3">
      <c r="A208">
        <v>207</v>
      </c>
      <c r="B208">
        <v>3</v>
      </c>
      <c r="C208">
        <v>1</v>
      </c>
      <c r="D208" t="s">
        <v>454</v>
      </c>
      <c r="E208" t="s">
        <v>455</v>
      </c>
      <c r="F208">
        <v>4</v>
      </c>
      <c r="G208">
        <v>2</v>
      </c>
      <c r="H208">
        <v>3</v>
      </c>
      <c r="I208">
        <v>1</v>
      </c>
      <c r="J208">
        <v>13</v>
      </c>
      <c r="K208">
        <v>3.887</v>
      </c>
      <c r="L208">
        <v>33</v>
      </c>
      <c r="M208">
        <v>15.44</v>
      </c>
      <c r="N208" t="s">
        <v>30</v>
      </c>
      <c r="P208">
        <v>1</v>
      </c>
      <c r="Q208">
        <v>0</v>
      </c>
      <c r="R208">
        <v>0</v>
      </c>
    </row>
    <row r="209" spans="1:18" x14ac:dyDescent="0.3">
      <c r="A209">
        <v>208</v>
      </c>
      <c r="B209">
        <v>1</v>
      </c>
      <c r="C209">
        <v>1</v>
      </c>
      <c r="D209" t="s">
        <v>456</v>
      </c>
      <c r="E209" t="s">
        <v>457</v>
      </c>
      <c r="F209">
        <v>5</v>
      </c>
      <c r="G209">
        <v>3</v>
      </c>
      <c r="H209">
        <v>2</v>
      </c>
      <c r="I209">
        <v>5</v>
      </c>
      <c r="J209">
        <v>13</v>
      </c>
      <c r="K209">
        <v>1.994</v>
      </c>
      <c r="L209">
        <v>57</v>
      </c>
      <c r="M209">
        <v>30.09</v>
      </c>
      <c r="N209" t="s">
        <v>80</v>
      </c>
      <c r="O209" t="s">
        <v>33</v>
      </c>
      <c r="P209">
        <v>1</v>
      </c>
      <c r="Q209">
        <v>0.33300000000000002</v>
      </c>
      <c r="R209">
        <v>0.5</v>
      </c>
    </row>
    <row r="210" spans="1:18" x14ac:dyDescent="0.3">
      <c r="A210">
        <v>209</v>
      </c>
      <c r="B210">
        <v>2</v>
      </c>
      <c r="C210">
        <v>1</v>
      </c>
      <c r="D210" t="s">
        <v>458</v>
      </c>
      <c r="E210" t="s">
        <v>459</v>
      </c>
      <c r="F210">
        <v>4</v>
      </c>
      <c r="G210">
        <v>3</v>
      </c>
      <c r="H210">
        <v>3</v>
      </c>
      <c r="I210">
        <v>5</v>
      </c>
      <c r="J210">
        <v>12</v>
      </c>
      <c r="K210">
        <v>1.9630000000000001</v>
      </c>
      <c r="L210">
        <v>42</v>
      </c>
      <c r="M210">
        <v>30.57</v>
      </c>
      <c r="N210" t="s">
        <v>23</v>
      </c>
      <c r="P210">
        <v>1</v>
      </c>
      <c r="Q210">
        <v>0</v>
      </c>
      <c r="R210">
        <v>0</v>
      </c>
    </row>
    <row r="211" spans="1:18" x14ac:dyDescent="0.3">
      <c r="A211">
        <v>210</v>
      </c>
      <c r="B211">
        <v>3</v>
      </c>
      <c r="C211">
        <v>1</v>
      </c>
      <c r="D211" t="s">
        <v>460</v>
      </c>
      <c r="E211" t="s">
        <v>461</v>
      </c>
      <c r="F211">
        <v>3</v>
      </c>
      <c r="G211">
        <v>3</v>
      </c>
      <c r="H211">
        <v>3</v>
      </c>
      <c r="I211">
        <v>5</v>
      </c>
      <c r="J211">
        <v>12</v>
      </c>
      <c r="K211">
        <v>3.411</v>
      </c>
      <c r="L211">
        <v>41</v>
      </c>
      <c r="M211">
        <v>17.59</v>
      </c>
      <c r="N211" t="s">
        <v>92</v>
      </c>
      <c r="P211">
        <v>1</v>
      </c>
      <c r="Q211">
        <v>0</v>
      </c>
      <c r="R211">
        <v>0</v>
      </c>
    </row>
    <row r="212" spans="1:18" x14ac:dyDescent="0.3">
      <c r="A212">
        <v>211</v>
      </c>
      <c r="B212">
        <v>1</v>
      </c>
      <c r="C212">
        <v>1</v>
      </c>
      <c r="D212" t="s">
        <v>90</v>
      </c>
      <c r="E212" t="s">
        <v>462</v>
      </c>
      <c r="F212">
        <v>4</v>
      </c>
      <c r="G212">
        <v>4</v>
      </c>
      <c r="H212">
        <v>3</v>
      </c>
      <c r="I212">
        <v>5</v>
      </c>
      <c r="J212">
        <v>13</v>
      </c>
      <c r="K212">
        <v>2.1280000000000001</v>
      </c>
      <c r="L212">
        <v>57</v>
      </c>
      <c r="M212">
        <v>28.2</v>
      </c>
      <c r="O212" t="s">
        <v>20</v>
      </c>
      <c r="P212">
        <v>0</v>
      </c>
      <c r="Q212">
        <v>1</v>
      </c>
      <c r="R212">
        <v>0</v>
      </c>
    </row>
    <row r="213" spans="1:18" x14ac:dyDescent="0.3">
      <c r="A213">
        <v>212</v>
      </c>
      <c r="B213">
        <v>2</v>
      </c>
      <c r="C213">
        <v>1</v>
      </c>
      <c r="D213" t="s">
        <v>90</v>
      </c>
      <c r="E213" t="s">
        <v>463</v>
      </c>
      <c r="F213">
        <v>3</v>
      </c>
      <c r="G213">
        <v>3</v>
      </c>
      <c r="H213">
        <v>2</v>
      </c>
      <c r="I213">
        <v>5</v>
      </c>
      <c r="J213">
        <v>13</v>
      </c>
      <c r="K213">
        <v>1.7849999999999999</v>
      </c>
      <c r="L213">
        <v>46</v>
      </c>
      <c r="M213">
        <v>33.61</v>
      </c>
      <c r="O213" t="s">
        <v>20</v>
      </c>
      <c r="P213">
        <v>0</v>
      </c>
      <c r="Q213">
        <v>1</v>
      </c>
      <c r="R213">
        <v>0</v>
      </c>
    </row>
    <row r="214" spans="1:18" x14ac:dyDescent="0.3">
      <c r="A214">
        <v>213</v>
      </c>
      <c r="B214">
        <v>3</v>
      </c>
      <c r="C214">
        <v>1</v>
      </c>
      <c r="D214" t="s">
        <v>90</v>
      </c>
      <c r="E214" t="s">
        <v>464</v>
      </c>
      <c r="F214">
        <v>3</v>
      </c>
      <c r="G214">
        <v>3</v>
      </c>
      <c r="H214">
        <v>2</v>
      </c>
      <c r="I214">
        <v>5</v>
      </c>
      <c r="J214">
        <v>13</v>
      </c>
      <c r="K214">
        <v>2.9780000000000002</v>
      </c>
      <c r="L214">
        <v>23</v>
      </c>
      <c r="M214">
        <v>20.149999999999999</v>
      </c>
      <c r="O214" t="s">
        <v>20</v>
      </c>
      <c r="P214">
        <v>0</v>
      </c>
      <c r="Q214">
        <v>1</v>
      </c>
      <c r="R214">
        <v>0</v>
      </c>
    </row>
    <row r="215" spans="1:18" x14ac:dyDescent="0.3">
      <c r="A215">
        <v>214</v>
      </c>
      <c r="B215">
        <v>1</v>
      </c>
      <c r="C215">
        <v>1</v>
      </c>
      <c r="D215" t="s">
        <v>90</v>
      </c>
      <c r="E215" t="s">
        <v>465</v>
      </c>
      <c r="F215">
        <v>3</v>
      </c>
      <c r="G215">
        <v>4</v>
      </c>
      <c r="H215">
        <v>2</v>
      </c>
      <c r="I215">
        <v>5</v>
      </c>
      <c r="J215">
        <v>14</v>
      </c>
      <c r="K215">
        <v>1.4159999999999999</v>
      </c>
      <c r="L215">
        <v>46</v>
      </c>
      <c r="M215">
        <v>42.38</v>
      </c>
      <c r="O215" t="s">
        <v>23</v>
      </c>
      <c r="P215">
        <v>0</v>
      </c>
      <c r="Q215">
        <v>1</v>
      </c>
      <c r="R215">
        <v>0</v>
      </c>
    </row>
    <row r="216" spans="1:18" x14ac:dyDescent="0.3">
      <c r="A216">
        <v>215</v>
      </c>
      <c r="B216">
        <v>2</v>
      </c>
      <c r="C216">
        <v>1</v>
      </c>
      <c r="D216" t="s">
        <v>90</v>
      </c>
      <c r="E216" t="s">
        <v>466</v>
      </c>
      <c r="F216">
        <v>3</v>
      </c>
      <c r="G216">
        <v>5</v>
      </c>
      <c r="H216">
        <v>2</v>
      </c>
      <c r="I216">
        <v>5</v>
      </c>
      <c r="J216">
        <v>15</v>
      </c>
      <c r="K216">
        <v>3.5089999999999999</v>
      </c>
      <c r="L216">
        <v>48</v>
      </c>
      <c r="M216">
        <v>17.100000000000001</v>
      </c>
      <c r="O216" t="s">
        <v>80</v>
      </c>
      <c r="P216">
        <v>0</v>
      </c>
      <c r="Q216">
        <v>1</v>
      </c>
      <c r="R216">
        <v>0</v>
      </c>
    </row>
    <row r="217" spans="1:18" x14ac:dyDescent="0.3">
      <c r="A217">
        <v>216</v>
      </c>
      <c r="B217">
        <v>3</v>
      </c>
      <c r="C217">
        <v>1</v>
      </c>
      <c r="D217" t="s">
        <v>90</v>
      </c>
      <c r="E217" t="s">
        <v>467</v>
      </c>
      <c r="F217">
        <v>3</v>
      </c>
      <c r="G217">
        <v>4</v>
      </c>
      <c r="H217">
        <v>2</v>
      </c>
      <c r="I217">
        <v>5</v>
      </c>
      <c r="J217">
        <v>14</v>
      </c>
      <c r="K217">
        <v>4.0380000000000003</v>
      </c>
      <c r="L217">
        <v>49</v>
      </c>
      <c r="M217">
        <v>14.86</v>
      </c>
      <c r="O217" t="s">
        <v>23</v>
      </c>
      <c r="P217">
        <v>0</v>
      </c>
      <c r="Q217">
        <v>1</v>
      </c>
      <c r="R217">
        <v>0</v>
      </c>
    </row>
    <row r="218" spans="1:18" x14ac:dyDescent="0.3">
      <c r="A218">
        <v>217</v>
      </c>
      <c r="B218">
        <v>1</v>
      </c>
      <c r="C218">
        <v>1</v>
      </c>
      <c r="D218" t="s">
        <v>88</v>
      </c>
      <c r="E218" t="s">
        <v>468</v>
      </c>
      <c r="F218">
        <v>3</v>
      </c>
      <c r="G218">
        <v>3</v>
      </c>
      <c r="H218">
        <v>2</v>
      </c>
      <c r="I218">
        <v>5</v>
      </c>
      <c r="J218">
        <v>13</v>
      </c>
      <c r="K218">
        <v>1.464</v>
      </c>
      <c r="L218">
        <v>55</v>
      </c>
      <c r="M218">
        <v>40.99</v>
      </c>
      <c r="N218" t="s">
        <v>20</v>
      </c>
      <c r="O218" t="s">
        <v>20</v>
      </c>
      <c r="P218">
        <v>1</v>
      </c>
      <c r="Q218">
        <v>1</v>
      </c>
      <c r="R218">
        <v>1</v>
      </c>
    </row>
    <row r="219" spans="1:18" x14ac:dyDescent="0.3">
      <c r="A219">
        <v>218</v>
      </c>
      <c r="B219">
        <v>2</v>
      </c>
      <c r="C219">
        <v>1</v>
      </c>
      <c r="D219" t="s">
        <v>451</v>
      </c>
      <c r="E219" t="s">
        <v>469</v>
      </c>
      <c r="F219">
        <v>3</v>
      </c>
      <c r="G219">
        <v>2</v>
      </c>
      <c r="H219">
        <v>2</v>
      </c>
      <c r="I219">
        <v>5</v>
      </c>
      <c r="J219">
        <v>12</v>
      </c>
      <c r="K219">
        <v>2.21</v>
      </c>
      <c r="L219">
        <v>20</v>
      </c>
      <c r="M219">
        <v>27.15</v>
      </c>
      <c r="N219" t="s">
        <v>20</v>
      </c>
      <c r="O219" t="s">
        <v>20</v>
      </c>
      <c r="P219">
        <v>1</v>
      </c>
      <c r="Q219">
        <v>1</v>
      </c>
      <c r="R219">
        <v>1</v>
      </c>
    </row>
    <row r="220" spans="1:18" x14ac:dyDescent="0.3">
      <c r="A220">
        <v>219</v>
      </c>
      <c r="B220">
        <v>3</v>
      </c>
      <c r="C220">
        <v>1</v>
      </c>
      <c r="D220" t="s">
        <v>95</v>
      </c>
      <c r="E220" t="s">
        <v>470</v>
      </c>
      <c r="F220">
        <v>3</v>
      </c>
      <c r="G220">
        <v>3</v>
      </c>
      <c r="H220">
        <v>3</v>
      </c>
      <c r="I220">
        <v>5</v>
      </c>
      <c r="J220">
        <v>14</v>
      </c>
      <c r="K220">
        <v>4.1870000000000003</v>
      </c>
      <c r="L220">
        <v>44</v>
      </c>
      <c r="M220">
        <v>14.33</v>
      </c>
      <c r="N220" t="s">
        <v>33</v>
      </c>
      <c r="O220" t="s">
        <v>20</v>
      </c>
      <c r="P220">
        <v>0</v>
      </c>
      <c r="Q220">
        <v>0</v>
      </c>
      <c r="R220">
        <v>0</v>
      </c>
    </row>
    <row r="221" spans="1:18" x14ac:dyDescent="0.3">
      <c r="A221">
        <v>220</v>
      </c>
      <c r="B221">
        <v>1</v>
      </c>
      <c r="C221">
        <v>1</v>
      </c>
      <c r="D221" t="s">
        <v>93</v>
      </c>
      <c r="E221" t="s">
        <v>471</v>
      </c>
      <c r="F221">
        <v>3</v>
      </c>
      <c r="G221">
        <v>3</v>
      </c>
      <c r="H221">
        <v>2</v>
      </c>
      <c r="I221">
        <v>5</v>
      </c>
      <c r="J221">
        <v>13</v>
      </c>
      <c r="K221">
        <v>1.2250000000000001</v>
      </c>
      <c r="L221">
        <v>31</v>
      </c>
      <c r="M221">
        <v>48.99</v>
      </c>
      <c r="N221" t="s">
        <v>69</v>
      </c>
      <c r="O221" t="s">
        <v>33</v>
      </c>
      <c r="P221">
        <v>0</v>
      </c>
      <c r="Q221">
        <v>0</v>
      </c>
      <c r="R221">
        <v>0</v>
      </c>
    </row>
    <row r="222" spans="1:18" x14ac:dyDescent="0.3">
      <c r="A222">
        <v>221</v>
      </c>
      <c r="B222">
        <v>2</v>
      </c>
      <c r="C222">
        <v>1</v>
      </c>
      <c r="D222" t="s">
        <v>454</v>
      </c>
      <c r="E222" t="s">
        <v>472</v>
      </c>
      <c r="F222">
        <v>3</v>
      </c>
      <c r="G222">
        <v>3</v>
      </c>
      <c r="H222">
        <v>3</v>
      </c>
      <c r="I222">
        <v>5</v>
      </c>
      <c r="J222">
        <v>14</v>
      </c>
      <c r="K222">
        <v>1.494</v>
      </c>
      <c r="L222">
        <v>48</v>
      </c>
      <c r="M222">
        <v>40.159999999999997</v>
      </c>
      <c r="N222" t="s">
        <v>30</v>
      </c>
      <c r="O222" t="s">
        <v>20</v>
      </c>
      <c r="P222">
        <v>0</v>
      </c>
      <c r="Q222">
        <v>0</v>
      </c>
      <c r="R222">
        <v>0</v>
      </c>
    </row>
    <row r="223" spans="1:18" x14ac:dyDescent="0.3">
      <c r="A223">
        <v>222</v>
      </c>
      <c r="B223">
        <v>3</v>
      </c>
      <c r="C223">
        <v>1</v>
      </c>
      <c r="D223" t="s">
        <v>456</v>
      </c>
      <c r="E223" t="s">
        <v>473</v>
      </c>
      <c r="F223">
        <v>4</v>
      </c>
      <c r="G223">
        <v>3</v>
      </c>
      <c r="H223">
        <v>2</v>
      </c>
      <c r="I223">
        <v>5</v>
      </c>
      <c r="J223">
        <v>11</v>
      </c>
      <c r="K223">
        <v>3.9079999999999999</v>
      </c>
      <c r="L223">
        <v>59</v>
      </c>
      <c r="M223">
        <v>15.35</v>
      </c>
      <c r="N223" t="s">
        <v>80</v>
      </c>
      <c r="O223" t="s">
        <v>23</v>
      </c>
      <c r="P223">
        <v>1</v>
      </c>
      <c r="Q223">
        <v>0.66700000000000004</v>
      </c>
      <c r="R223">
        <v>0.8</v>
      </c>
    </row>
    <row r="224" spans="1:18" x14ac:dyDescent="0.3">
      <c r="A224">
        <v>223</v>
      </c>
      <c r="B224">
        <v>1</v>
      </c>
      <c r="C224">
        <v>1</v>
      </c>
      <c r="D224" t="s">
        <v>458</v>
      </c>
      <c r="E224" t="s">
        <v>474</v>
      </c>
      <c r="F224">
        <v>3</v>
      </c>
      <c r="G224">
        <v>2</v>
      </c>
      <c r="H224">
        <v>2</v>
      </c>
      <c r="I224">
        <v>5</v>
      </c>
      <c r="J224">
        <v>12</v>
      </c>
      <c r="K224">
        <v>1.8879999999999999</v>
      </c>
      <c r="L224">
        <v>49</v>
      </c>
      <c r="M224">
        <v>31.77</v>
      </c>
      <c r="N224" t="s">
        <v>23</v>
      </c>
      <c r="O224" t="s">
        <v>20</v>
      </c>
      <c r="P224">
        <v>1</v>
      </c>
      <c r="Q224">
        <v>0.5</v>
      </c>
      <c r="R224">
        <v>0.66700000000000004</v>
      </c>
    </row>
    <row r="225" spans="1:18" x14ac:dyDescent="0.3">
      <c r="A225">
        <v>224</v>
      </c>
      <c r="B225">
        <v>2</v>
      </c>
      <c r="C225">
        <v>1</v>
      </c>
      <c r="D225" t="s">
        <v>460</v>
      </c>
      <c r="E225" t="s">
        <v>475</v>
      </c>
      <c r="F225">
        <v>3</v>
      </c>
      <c r="G225">
        <v>2</v>
      </c>
      <c r="H225">
        <v>3</v>
      </c>
      <c r="I225">
        <v>5</v>
      </c>
      <c r="J225">
        <v>13</v>
      </c>
      <c r="K225">
        <v>3.4159999999999999</v>
      </c>
      <c r="L225">
        <v>36</v>
      </c>
      <c r="M225">
        <v>17.559999999999999</v>
      </c>
      <c r="N225" t="s">
        <v>92</v>
      </c>
      <c r="O225" t="s">
        <v>20</v>
      </c>
      <c r="P225">
        <v>1</v>
      </c>
      <c r="Q225">
        <v>0.5</v>
      </c>
      <c r="R225">
        <v>0.66700000000000004</v>
      </c>
    </row>
    <row r="226" spans="1:18" x14ac:dyDescent="0.3">
      <c r="A226">
        <v>225</v>
      </c>
      <c r="B226">
        <v>3</v>
      </c>
      <c r="C226">
        <v>1</v>
      </c>
      <c r="D226" t="s">
        <v>90</v>
      </c>
      <c r="E226" t="s">
        <v>476</v>
      </c>
      <c r="F226">
        <v>3</v>
      </c>
      <c r="G226">
        <v>3</v>
      </c>
      <c r="H226">
        <v>2</v>
      </c>
      <c r="I226">
        <v>5</v>
      </c>
      <c r="J226">
        <v>13</v>
      </c>
      <c r="K226">
        <v>1.5509999999999999</v>
      </c>
      <c r="L226">
        <v>33</v>
      </c>
      <c r="M226">
        <v>38.69</v>
      </c>
      <c r="O226" t="s">
        <v>20</v>
      </c>
      <c r="P226">
        <v>0</v>
      </c>
      <c r="Q226">
        <v>1</v>
      </c>
      <c r="R226">
        <v>0</v>
      </c>
    </row>
    <row r="227" spans="1:18" x14ac:dyDescent="0.3">
      <c r="A227">
        <v>226</v>
      </c>
      <c r="B227">
        <v>1</v>
      </c>
      <c r="C227">
        <v>1</v>
      </c>
      <c r="D227" t="s">
        <v>90</v>
      </c>
      <c r="E227" t="s">
        <v>477</v>
      </c>
      <c r="F227">
        <v>3</v>
      </c>
      <c r="G227">
        <v>5</v>
      </c>
      <c r="H227">
        <v>2</v>
      </c>
      <c r="I227">
        <v>5</v>
      </c>
      <c r="J227">
        <v>15</v>
      </c>
      <c r="K227">
        <v>1.492</v>
      </c>
      <c r="L227">
        <v>53</v>
      </c>
      <c r="M227">
        <v>40.229999999999997</v>
      </c>
      <c r="O227" t="s">
        <v>20</v>
      </c>
      <c r="P227">
        <v>0</v>
      </c>
      <c r="Q227">
        <v>1</v>
      </c>
      <c r="R227">
        <v>0</v>
      </c>
    </row>
    <row r="228" spans="1:18" x14ac:dyDescent="0.3">
      <c r="A228">
        <v>227</v>
      </c>
      <c r="B228">
        <v>1</v>
      </c>
      <c r="C228">
        <v>3</v>
      </c>
      <c r="D228" t="s">
        <v>105</v>
      </c>
      <c r="E228" t="s">
        <v>478</v>
      </c>
      <c r="F228">
        <v>3</v>
      </c>
      <c r="G228">
        <v>3</v>
      </c>
      <c r="H228">
        <v>4</v>
      </c>
      <c r="I228">
        <v>5</v>
      </c>
      <c r="J228">
        <v>11</v>
      </c>
      <c r="K228">
        <v>2.238</v>
      </c>
      <c r="L228">
        <v>66</v>
      </c>
      <c r="M228">
        <v>26.81</v>
      </c>
      <c r="N228" t="s">
        <v>20</v>
      </c>
      <c r="O228" t="s">
        <v>107</v>
      </c>
      <c r="P228">
        <v>0</v>
      </c>
      <c r="Q228">
        <v>0</v>
      </c>
      <c r="R228">
        <v>0</v>
      </c>
    </row>
    <row r="229" spans="1:18" x14ac:dyDescent="0.3">
      <c r="A229">
        <v>228</v>
      </c>
      <c r="B229">
        <v>2</v>
      </c>
      <c r="C229">
        <v>3</v>
      </c>
      <c r="D229" t="s">
        <v>108</v>
      </c>
      <c r="E229" t="s">
        <v>479</v>
      </c>
      <c r="F229">
        <v>3</v>
      </c>
      <c r="G229">
        <v>3</v>
      </c>
      <c r="H229">
        <v>3</v>
      </c>
      <c r="I229">
        <v>5</v>
      </c>
      <c r="J229">
        <v>14</v>
      </c>
      <c r="K229">
        <v>2.4020000000000001</v>
      </c>
      <c r="L229">
        <v>80</v>
      </c>
      <c r="M229">
        <v>24.98</v>
      </c>
      <c r="N229" t="s">
        <v>20</v>
      </c>
      <c r="O229" t="s">
        <v>116</v>
      </c>
      <c r="P229">
        <v>0.5</v>
      </c>
      <c r="Q229">
        <v>1</v>
      </c>
      <c r="R229">
        <v>0.66700000000000004</v>
      </c>
    </row>
    <row r="230" spans="1:18" x14ac:dyDescent="0.3">
      <c r="A230">
        <v>229</v>
      </c>
      <c r="B230">
        <v>3</v>
      </c>
      <c r="C230">
        <v>3</v>
      </c>
      <c r="D230" t="s">
        <v>110</v>
      </c>
      <c r="E230" t="s">
        <v>480</v>
      </c>
      <c r="F230">
        <v>3</v>
      </c>
      <c r="G230">
        <v>3</v>
      </c>
      <c r="H230">
        <v>3</v>
      </c>
      <c r="I230">
        <v>5</v>
      </c>
      <c r="J230">
        <v>14</v>
      </c>
      <c r="K230">
        <v>2.1110000000000002</v>
      </c>
      <c r="L230">
        <v>55</v>
      </c>
      <c r="M230">
        <v>28.42</v>
      </c>
      <c r="N230" t="s">
        <v>20</v>
      </c>
      <c r="O230" t="s">
        <v>107</v>
      </c>
      <c r="P230">
        <v>0</v>
      </c>
      <c r="Q230">
        <v>0</v>
      </c>
      <c r="R230">
        <v>0</v>
      </c>
    </row>
    <row r="231" spans="1:18" x14ac:dyDescent="0.3">
      <c r="A231">
        <v>230</v>
      </c>
      <c r="B231">
        <v>1</v>
      </c>
      <c r="C231">
        <v>3</v>
      </c>
      <c r="D231" t="s">
        <v>112</v>
      </c>
      <c r="E231" t="s">
        <v>481</v>
      </c>
      <c r="F231">
        <v>4</v>
      </c>
      <c r="G231">
        <v>5</v>
      </c>
      <c r="H231">
        <v>4</v>
      </c>
      <c r="I231">
        <v>5</v>
      </c>
      <c r="J231">
        <v>14</v>
      </c>
      <c r="K231">
        <v>1.843</v>
      </c>
      <c r="L231">
        <v>52</v>
      </c>
      <c r="M231">
        <v>32.56</v>
      </c>
      <c r="N231" t="s">
        <v>20</v>
      </c>
      <c r="O231" t="s">
        <v>107</v>
      </c>
      <c r="P231">
        <v>0</v>
      </c>
      <c r="Q231">
        <v>0</v>
      </c>
      <c r="R231">
        <v>0</v>
      </c>
    </row>
    <row r="232" spans="1:18" x14ac:dyDescent="0.3">
      <c r="A232">
        <v>231</v>
      </c>
      <c r="B232">
        <v>2</v>
      </c>
      <c r="C232">
        <v>3</v>
      </c>
      <c r="D232" t="s">
        <v>482</v>
      </c>
      <c r="E232" t="s">
        <v>483</v>
      </c>
      <c r="F232">
        <v>5</v>
      </c>
      <c r="G232">
        <v>5</v>
      </c>
      <c r="H232">
        <v>5</v>
      </c>
      <c r="I232">
        <v>5</v>
      </c>
      <c r="J232">
        <v>13</v>
      </c>
      <c r="K232">
        <v>1.861</v>
      </c>
      <c r="L232">
        <v>13</v>
      </c>
      <c r="M232">
        <v>32.24</v>
      </c>
      <c r="P232">
        <v>1</v>
      </c>
      <c r="Q232">
        <v>1</v>
      </c>
      <c r="R232">
        <v>1</v>
      </c>
    </row>
    <row r="233" spans="1:18" x14ac:dyDescent="0.3">
      <c r="A233">
        <v>232</v>
      </c>
      <c r="B233">
        <v>3</v>
      </c>
      <c r="C233">
        <v>3</v>
      </c>
      <c r="D233" t="s">
        <v>484</v>
      </c>
      <c r="E233" t="s">
        <v>485</v>
      </c>
      <c r="F233">
        <v>4</v>
      </c>
      <c r="G233">
        <v>5</v>
      </c>
      <c r="H233">
        <v>5</v>
      </c>
      <c r="I233">
        <v>5</v>
      </c>
      <c r="J233">
        <v>14</v>
      </c>
      <c r="K233">
        <v>1.998</v>
      </c>
      <c r="L233">
        <v>52</v>
      </c>
      <c r="M233">
        <v>30.03</v>
      </c>
      <c r="O233" t="s">
        <v>116</v>
      </c>
      <c r="P233">
        <v>0</v>
      </c>
      <c r="Q233">
        <v>1</v>
      </c>
      <c r="R233">
        <v>0</v>
      </c>
    </row>
    <row r="234" spans="1:18" x14ac:dyDescent="0.3">
      <c r="A234">
        <v>233</v>
      </c>
      <c r="B234">
        <v>1</v>
      </c>
      <c r="C234">
        <v>3</v>
      </c>
      <c r="D234" t="s">
        <v>486</v>
      </c>
      <c r="E234" t="s">
        <v>487</v>
      </c>
      <c r="F234">
        <v>5</v>
      </c>
      <c r="G234">
        <v>5</v>
      </c>
      <c r="H234">
        <v>5</v>
      </c>
      <c r="I234">
        <v>5</v>
      </c>
      <c r="J234">
        <v>16</v>
      </c>
      <c r="K234">
        <v>2.2770000000000001</v>
      </c>
      <c r="L234">
        <v>59</v>
      </c>
      <c r="M234">
        <v>26.35</v>
      </c>
      <c r="O234" t="s">
        <v>116</v>
      </c>
      <c r="P234">
        <v>0</v>
      </c>
      <c r="Q234">
        <v>1</v>
      </c>
      <c r="R234">
        <v>0</v>
      </c>
    </row>
    <row r="235" spans="1:18" x14ac:dyDescent="0.3">
      <c r="A235">
        <v>234</v>
      </c>
      <c r="B235">
        <v>2</v>
      </c>
      <c r="C235">
        <v>3</v>
      </c>
      <c r="D235" t="s">
        <v>121</v>
      </c>
      <c r="E235" t="s">
        <v>488</v>
      </c>
      <c r="F235">
        <v>5</v>
      </c>
      <c r="G235">
        <v>5</v>
      </c>
      <c r="H235">
        <v>5</v>
      </c>
      <c r="I235">
        <v>5</v>
      </c>
      <c r="J235">
        <v>13</v>
      </c>
      <c r="K235">
        <v>1.976</v>
      </c>
      <c r="L235">
        <v>46</v>
      </c>
      <c r="M235">
        <v>30.36</v>
      </c>
      <c r="N235" t="s">
        <v>123</v>
      </c>
      <c r="O235" t="s">
        <v>123</v>
      </c>
      <c r="P235">
        <v>1</v>
      </c>
      <c r="Q235">
        <v>1</v>
      </c>
      <c r="R235">
        <v>1</v>
      </c>
    </row>
    <row r="236" spans="1:18" x14ac:dyDescent="0.3">
      <c r="A236">
        <v>235</v>
      </c>
      <c r="B236">
        <v>3</v>
      </c>
      <c r="C236">
        <v>3</v>
      </c>
      <c r="D236" t="s">
        <v>124</v>
      </c>
      <c r="E236" t="s">
        <v>489</v>
      </c>
      <c r="F236">
        <v>5</v>
      </c>
      <c r="G236">
        <v>5</v>
      </c>
      <c r="H236">
        <v>5</v>
      </c>
      <c r="I236">
        <v>5</v>
      </c>
      <c r="J236">
        <v>13</v>
      </c>
      <c r="K236">
        <v>3.7730000000000001</v>
      </c>
      <c r="L236">
        <v>19</v>
      </c>
      <c r="M236">
        <v>15.9</v>
      </c>
      <c r="N236" t="s">
        <v>123</v>
      </c>
      <c r="O236" t="s">
        <v>123</v>
      </c>
      <c r="P236">
        <v>1</v>
      </c>
      <c r="Q236">
        <v>1</v>
      </c>
      <c r="R236">
        <v>1</v>
      </c>
    </row>
    <row r="237" spans="1:18" x14ac:dyDescent="0.3">
      <c r="A237">
        <v>236</v>
      </c>
      <c r="B237">
        <v>1</v>
      </c>
      <c r="C237">
        <v>3</v>
      </c>
      <c r="D237" t="s">
        <v>126</v>
      </c>
      <c r="E237" t="s">
        <v>490</v>
      </c>
      <c r="F237">
        <v>3</v>
      </c>
      <c r="G237">
        <v>2</v>
      </c>
      <c r="H237">
        <v>2</v>
      </c>
      <c r="I237">
        <v>5</v>
      </c>
      <c r="J237">
        <v>13</v>
      </c>
      <c r="K237">
        <v>2.044</v>
      </c>
      <c r="L237">
        <v>26</v>
      </c>
      <c r="M237">
        <v>29.35</v>
      </c>
      <c r="N237" t="s">
        <v>123</v>
      </c>
      <c r="O237" t="s">
        <v>107</v>
      </c>
      <c r="P237">
        <v>1</v>
      </c>
      <c r="Q237">
        <v>0.5</v>
      </c>
      <c r="R237">
        <v>0.66700000000000004</v>
      </c>
    </row>
    <row r="238" spans="1:18" x14ac:dyDescent="0.3">
      <c r="A238">
        <v>237</v>
      </c>
      <c r="B238">
        <v>2</v>
      </c>
      <c r="C238">
        <v>3</v>
      </c>
      <c r="D238" t="s">
        <v>128</v>
      </c>
      <c r="E238" t="s">
        <v>491</v>
      </c>
      <c r="F238">
        <v>4</v>
      </c>
      <c r="G238">
        <v>4</v>
      </c>
      <c r="H238">
        <v>3</v>
      </c>
      <c r="I238">
        <v>5</v>
      </c>
      <c r="J238">
        <v>14</v>
      </c>
      <c r="K238">
        <v>1.1819999999999999</v>
      </c>
      <c r="L238">
        <v>36</v>
      </c>
      <c r="M238">
        <v>50.76</v>
      </c>
      <c r="N238" t="s">
        <v>130</v>
      </c>
      <c r="O238" t="s">
        <v>107</v>
      </c>
      <c r="P238">
        <v>1</v>
      </c>
      <c r="Q238">
        <v>0.33300000000000002</v>
      </c>
      <c r="R238">
        <v>0.5</v>
      </c>
    </row>
    <row r="239" spans="1:18" x14ac:dyDescent="0.3">
      <c r="A239">
        <v>238</v>
      </c>
      <c r="B239">
        <v>3</v>
      </c>
      <c r="C239">
        <v>3</v>
      </c>
      <c r="D239" t="s">
        <v>131</v>
      </c>
      <c r="E239" t="s">
        <v>492</v>
      </c>
      <c r="F239">
        <v>4</v>
      </c>
      <c r="G239">
        <v>5</v>
      </c>
      <c r="H239">
        <v>4</v>
      </c>
      <c r="I239">
        <v>5</v>
      </c>
      <c r="J239">
        <v>13</v>
      </c>
      <c r="K239">
        <v>3.0470000000000002</v>
      </c>
      <c r="L239">
        <v>23</v>
      </c>
      <c r="M239">
        <v>19.690000000000001</v>
      </c>
      <c r="N239" t="s">
        <v>130</v>
      </c>
      <c r="O239" t="s">
        <v>107</v>
      </c>
      <c r="P239">
        <v>1</v>
      </c>
      <c r="Q239">
        <v>0.33300000000000002</v>
      </c>
      <c r="R239">
        <v>0.5</v>
      </c>
    </row>
    <row r="240" spans="1:18" x14ac:dyDescent="0.3">
      <c r="A240">
        <v>239</v>
      </c>
      <c r="B240">
        <v>1</v>
      </c>
      <c r="C240">
        <v>3</v>
      </c>
      <c r="D240" t="s">
        <v>133</v>
      </c>
      <c r="E240" t="s">
        <v>493</v>
      </c>
      <c r="F240">
        <v>4</v>
      </c>
      <c r="G240">
        <v>5</v>
      </c>
      <c r="H240">
        <v>5</v>
      </c>
      <c r="I240">
        <v>5</v>
      </c>
      <c r="J240">
        <v>17</v>
      </c>
      <c r="K240">
        <v>1.6519999999999999</v>
      </c>
      <c r="L240">
        <v>61</v>
      </c>
      <c r="M240">
        <v>36.31</v>
      </c>
      <c r="N240" t="s">
        <v>20</v>
      </c>
      <c r="O240" t="s">
        <v>116</v>
      </c>
      <c r="P240">
        <v>0.5</v>
      </c>
      <c r="Q240">
        <v>1</v>
      </c>
      <c r="R240">
        <v>0.66700000000000004</v>
      </c>
    </row>
    <row r="241" spans="1:18" x14ac:dyDescent="0.3">
      <c r="A241">
        <v>240</v>
      </c>
      <c r="B241">
        <v>2</v>
      </c>
      <c r="C241">
        <v>3</v>
      </c>
      <c r="D241" t="s">
        <v>135</v>
      </c>
      <c r="E241" t="s">
        <v>494</v>
      </c>
      <c r="F241">
        <v>4</v>
      </c>
      <c r="G241">
        <v>5</v>
      </c>
      <c r="H241">
        <v>4</v>
      </c>
      <c r="I241">
        <v>5</v>
      </c>
      <c r="J241">
        <v>14</v>
      </c>
      <c r="K241">
        <v>2.0299999999999998</v>
      </c>
      <c r="L241">
        <v>49</v>
      </c>
      <c r="M241">
        <v>29.56</v>
      </c>
      <c r="N241" t="s">
        <v>123</v>
      </c>
      <c r="O241" t="s">
        <v>116</v>
      </c>
      <c r="P241">
        <v>0.5</v>
      </c>
      <c r="Q241">
        <v>0.5</v>
      </c>
      <c r="R241">
        <v>0.5</v>
      </c>
    </row>
    <row r="242" spans="1:18" x14ac:dyDescent="0.3">
      <c r="A242">
        <v>241</v>
      </c>
      <c r="B242">
        <v>3</v>
      </c>
      <c r="C242">
        <v>3</v>
      </c>
      <c r="D242" t="s">
        <v>137</v>
      </c>
      <c r="E242" t="s">
        <v>495</v>
      </c>
      <c r="F242">
        <v>4</v>
      </c>
      <c r="G242">
        <v>5</v>
      </c>
      <c r="H242">
        <v>4</v>
      </c>
      <c r="I242">
        <v>5</v>
      </c>
      <c r="J242">
        <v>13</v>
      </c>
      <c r="K242">
        <v>4.0449999999999999</v>
      </c>
      <c r="L242">
        <v>41</v>
      </c>
      <c r="M242">
        <v>14.83</v>
      </c>
      <c r="N242" t="s">
        <v>123</v>
      </c>
      <c r="O242" t="s">
        <v>107</v>
      </c>
      <c r="P242">
        <v>1</v>
      </c>
      <c r="Q242">
        <v>0.5</v>
      </c>
      <c r="R242">
        <v>0.66700000000000004</v>
      </c>
    </row>
    <row r="243" spans="1:18" x14ac:dyDescent="0.3">
      <c r="A243">
        <v>242</v>
      </c>
      <c r="B243">
        <v>1</v>
      </c>
      <c r="C243">
        <v>3</v>
      </c>
      <c r="D243" t="s">
        <v>139</v>
      </c>
      <c r="E243" t="s">
        <v>496</v>
      </c>
      <c r="F243">
        <v>4</v>
      </c>
      <c r="G243">
        <v>5</v>
      </c>
      <c r="H243">
        <v>4</v>
      </c>
      <c r="I243">
        <v>5</v>
      </c>
      <c r="J243">
        <v>13</v>
      </c>
      <c r="K243">
        <v>2.6349999999999998</v>
      </c>
      <c r="L243">
        <v>66</v>
      </c>
      <c r="M243">
        <v>22.77</v>
      </c>
      <c r="N243" t="s">
        <v>123</v>
      </c>
      <c r="O243" t="s">
        <v>116</v>
      </c>
      <c r="P243">
        <v>0.5</v>
      </c>
      <c r="Q243">
        <v>0.5</v>
      </c>
      <c r="R243">
        <v>0.5</v>
      </c>
    </row>
    <row r="244" spans="1:18" x14ac:dyDescent="0.3">
      <c r="A244">
        <v>243</v>
      </c>
      <c r="B244">
        <v>2</v>
      </c>
      <c r="C244">
        <v>3</v>
      </c>
      <c r="D244" t="s">
        <v>497</v>
      </c>
      <c r="E244" t="s">
        <v>498</v>
      </c>
      <c r="F244">
        <v>3</v>
      </c>
      <c r="G244">
        <v>5</v>
      </c>
      <c r="H244">
        <v>3</v>
      </c>
      <c r="I244">
        <v>5</v>
      </c>
      <c r="J244">
        <v>11</v>
      </c>
      <c r="K244">
        <v>2.0739999999999998</v>
      </c>
      <c r="L244">
        <v>58</v>
      </c>
      <c r="M244">
        <v>28.93</v>
      </c>
      <c r="N244" t="s">
        <v>123</v>
      </c>
      <c r="O244" t="s">
        <v>116</v>
      </c>
      <c r="P244">
        <v>0.5</v>
      </c>
      <c r="Q244">
        <v>0.5</v>
      </c>
      <c r="R244">
        <v>0.5</v>
      </c>
    </row>
    <row r="245" spans="1:18" x14ac:dyDescent="0.3">
      <c r="A245">
        <v>244</v>
      </c>
      <c r="B245">
        <v>3</v>
      </c>
      <c r="C245">
        <v>3</v>
      </c>
      <c r="D245" t="s">
        <v>499</v>
      </c>
      <c r="E245" t="s">
        <v>500</v>
      </c>
      <c r="F245">
        <v>4</v>
      </c>
      <c r="G245">
        <v>5</v>
      </c>
      <c r="H245">
        <v>4</v>
      </c>
      <c r="I245">
        <v>5</v>
      </c>
      <c r="J245">
        <v>12</v>
      </c>
      <c r="K245">
        <v>3.8650000000000002</v>
      </c>
      <c r="L245">
        <v>58</v>
      </c>
      <c r="M245">
        <v>15.52</v>
      </c>
      <c r="N245" t="s">
        <v>130</v>
      </c>
      <c r="O245" t="s">
        <v>116</v>
      </c>
      <c r="P245">
        <v>1</v>
      </c>
      <c r="Q245">
        <v>0.66700000000000004</v>
      </c>
      <c r="R245">
        <v>0.8</v>
      </c>
    </row>
    <row r="246" spans="1:18" x14ac:dyDescent="0.3">
      <c r="A246">
        <v>245</v>
      </c>
      <c r="B246">
        <v>1</v>
      </c>
      <c r="C246">
        <v>3</v>
      </c>
      <c r="D246" t="s">
        <v>501</v>
      </c>
      <c r="E246" t="s">
        <v>502</v>
      </c>
      <c r="F246">
        <v>4</v>
      </c>
      <c r="G246">
        <v>5</v>
      </c>
      <c r="H246">
        <v>4</v>
      </c>
      <c r="I246">
        <v>5</v>
      </c>
      <c r="J246">
        <v>13</v>
      </c>
      <c r="K246">
        <v>2.54</v>
      </c>
      <c r="L246">
        <v>70</v>
      </c>
      <c r="M246">
        <v>23.62</v>
      </c>
      <c r="N246" t="s">
        <v>130</v>
      </c>
      <c r="O246" t="s">
        <v>123</v>
      </c>
      <c r="P246">
        <v>1</v>
      </c>
      <c r="Q246">
        <v>0.66700000000000004</v>
      </c>
      <c r="R246">
        <v>0.8</v>
      </c>
    </row>
    <row r="247" spans="1:18" x14ac:dyDescent="0.3">
      <c r="A247">
        <v>246</v>
      </c>
      <c r="B247">
        <v>2</v>
      </c>
      <c r="C247">
        <v>3</v>
      </c>
      <c r="D247" t="s">
        <v>147</v>
      </c>
      <c r="E247" t="s">
        <v>503</v>
      </c>
      <c r="F247">
        <v>4</v>
      </c>
      <c r="G247">
        <v>5</v>
      </c>
      <c r="H247">
        <v>4</v>
      </c>
      <c r="I247">
        <v>5</v>
      </c>
      <c r="J247">
        <v>10</v>
      </c>
      <c r="K247">
        <v>4.12</v>
      </c>
      <c r="L247">
        <v>63</v>
      </c>
      <c r="M247">
        <v>14.56</v>
      </c>
      <c r="N247" t="s">
        <v>123</v>
      </c>
      <c r="O247" t="s">
        <v>123</v>
      </c>
      <c r="P247">
        <v>1</v>
      </c>
      <c r="Q247">
        <v>1</v>
      </c>
      <c r="R247">
        <v>1</v>
      </c>
    </row>
    <row r="248" spans="1:18" x14ac:dyDescent="0.3">
      <c r="A248">
        <v>247</v>
      </c>
      <c r="B248">
        <v>3</v>
      </c>
      <c r="C248">
        <v>3</v>
      </c>
      <c r="D248" t="s">
        <v>149</v>
      </c>
      <c r="E248" t="s">
        <v>504</v>
      </c>
      <c r="F248">
        <v>5</v>
      </c>
      <c r="G248">
        <v>5</v>
      </c>
      <c r="H248">
        <v>5</v>
      </c>
      <c r="I248">
        <v>5</v>
      </c>
      <c r="J248">
        <v>13</v>
      </c>
      <c r="K248">
        <v>5.2990000000000004</v>
      </c>
      <c r="L248">
        <v>63</v>
      </c>
      <c r="M248">
        <v>11.32</v>
      </c>
      <c r="N248" t="s">
        <v>123</v>
      </c>
      <c r="O248" t="s">
        <v>130</v>
      </c>
      <c r="P248">
        <v>0.66700000000000004</v>
      </c>
      <c r="Q248">
        <v>1</v>
      </c>
      <c r="R248">
        <v>0.8</v>
      </c>
    </row>
    <row r="249" spans="1:18" x14ac:dyDescent="0.3">
      <c r="A249">
        <v>248</v>
      </c>
      <c r="B249">
        <v>1</v>
      </c>
      <c r="C249">
        <v>3</v>
      </c>
      <c r="D249" t="s">
        <v>151</v>
      </c>
      <c r="E249" t="s">
        <v>505</v>
      </c>
      <c r="F249">
        <v>4</v>
      </c>
      <c r="G249">
        <v>5</v>
      </c>
      <c r="H249">
        <v>4</v>
      </c>
      <c r="I249">
        <v>5</v>
      </c>
      <c r="J249">
        <v>11</v>
      </c>
      <c r="K249">
        <v>3.145</v>
      </c>
      <c r="L249">
        <v>31</v>
      </c>
      <c r="M249">
        <v>19.079999999999998</v>
      </c>
      <c r="N249" t="s">
        <v>123</v>
      </c>
      <c r="O249" t="s">
        <v>107</v>
      </c>
      <c r="P249">
        <v>1</v>
      </c>
      <c r="Q249">
        <v>0.5</v>
      </c>
      <c r="R249">
        <v>0.66700000000000004</v>
      </c>
    </row>
    <row r="250" spans="1:18" x14ac:dyDescent="0.3">
      <c r="A250">
        <v>249</v>
      </c>
      <c r="B250">
        <v>2</v>
      </c>
      <c r="C250">
        <v>3</v>
      </c>
      <c r="D250" t="s">
        <v>153</v>
      </c>
      <c r="E250" t="s">
        <v>506</v>
      </c>
      <c r="F250">
        <v>3</v>
      </c>
      <c r="G250">
        <v>2</v>
      </c>
      <c r="H250">
        <v>4</v>
      </c>
      <c r="I250">
        <v>5</v>
      </c>
      <c r="J250">
        <v>14</v>
      </c>
      <c r="K250">
        <v>2.89</v>
      </c>
      <c r="L250">
        <v>32</v>
      </c>
      <c r="M250">
        <v>20.76</v>
      </c>
      <c r="N250" t="s">
        <v>130</v>
      </c>
      <c r="O250" t="s">
        <v>123</v>
      </c>
      <c r="P250">
        <v>1</v>
      </c>
      <c r="Q250">
        <v>0.66700000000000004</v>
      </c>
      <c r="R250">
        <v>0.8</v>
      </c>
    </row>
    <row r="251" spans="1:18" x14ac:dyDescent="0.3">
      <c r="A251">
        <v>250</v>
      </c>
      <c r="B251">
        <v>3</v>
      </c>
      <c r="C251">
        <v>3</v>
      </c>
      <c r="D251" t="s">
        <v>155</v>
      </c>
      <c r="E251" t="s">
        <v>507</v>
      </c>
      <c r="F251">
        <v>4</v>
      </c>
      <c r="G251">
        <v>3</v>
      </c>
      <c r="H251">
        <v>4</v>
      </c>
      <c r="I251">
        <v>5</v>
      </c>
      <c r="J251">
        <v>14</v>
      </c>
      <c r="K251">
        <v>4.03</v>
      </c>
      <c r="L251">
        <v>33</v>
      </c>
      <c r="M251">
        <v>14.89</v>
      </c>
      <c r="N251" t="s">
        <v>130</v>
      </c>
      <c r="O251" t="s">
        <v>123</v>
      </c>
      <c r="P251">
        <v>1</v>
      </c>
      <c r="Q251">
        <v>0.66700000000000004</v>
      </c>
      <c r="R251">
        <v>0.8</v>
      </c>
    </row>
    <row r="252" spans="1:18" x14ac:dyDescent="0.3">
      <c r="A252">
        <v>251</v>
      </c>
      <c r="B252">
        <v>1</v>
      </c>
      <c r="C252">
        <v>3</v>
      </c>
      <c r="D252" t="s">
        <v>157</v>
      </c>
      <c r="E252" t="s">
        <v>508</v>
      </c>
      <c r="F252">
        <v>5</v>
      </c>
      <c r="G252">
        <v>4</v>
      </c>
      <c r="H252">
        <v>3</v>
      </c>
      <c r="I252">
        <v>5</v>
      </c>
      <c r="J252">
        <v>14</v>
      </c>
      <c r="K252">
        <v>1.3169999999999999</v>
      </c>
      <c r="L252">
        <v>49</v>
      </c>
      <c r="M252">
        <v>45.54</v>
      </c>
      <c r="N252" t="s">
        <v>20</v>
      </c>
      <c r="O252" t="s">
        <v>107</v>
      </c>
      <c r="P252">
        <v>0</v>
      </c>
      <c r="Q252">
        <v>0</v>
      </c>
      <c r="R252">
        <v>0</v>
      </c>
    </row>
    <row r="253" spans="1:18" x14ac:dyDescent="0.3">
      <c r="A253">
        <v>252</v>
      </c>
      <c r="B253">
        <v>2</v>
      </c>
      <c r="C253">
        <v>3</v>
      </c>
      <c r="D253" t="s">
        <v>159</v>
      </c>
      <c r="E253" t="s">
        <v>509</v>
      </c>
      <c r="F253">
        <v>4</v>
      </c>
      <c r="G253">
        <v>4</v>
      </c>
      <c r="H253">
        <v>3</v>
      </c>
      <c r="I253">
        <v>5</v>
      </c>
      <c r="J253">
        <v>14</v>
      </c>
      <c r="K253">
        <v>2.9020000000000001</v>
      </c>
      <c r="L253">
        <v>40</v>
      </c>
      <c r="M253">
        <v>20.68</v>
      </c>
      <c r="N253" t="s">
        <v>20</v>
      </c>
      <c r="O253" t="s">
        <v>107</v>
      </c>
      <c r="P253">
        <v>0</v>
      </c>
      <c r="Q253">
        <v>0</v>
      </c>
      <c r="R253">
        <v>0</v>
      </c>
    </row>
    <row r="254" spans="1:18" x14ac:dyDescent="0.3">
      <c r="A254">
        <v>253</v>
      </c>
      <c r="B254">
        <v>3</v>
      </c>
      <c r="C254">
        <v>3</v>
      </c>
      <c r="D254" t="s">
        <v>161</v>
      </c>
      <c r="E254" t="s">
        <v>510</v>
      </c>
      <c r="F254">
        <v>3</v>
      </c>
      <c r="G254">
        <v>5</v>
      </c>
      <c r="H254">
        <v>3</v>
      </c>
      <c r="I254">
        <v>5</v>
      </c>
      <c r="J254">
        <v>14</v>
      </c>
      <c r="K254">
        <v>3.0059999999999998</v>
      </c>
      <c r="L254">
        <v>44</v>
      </c>
      <c r="M254">
        <v>19.96</v>
      </c>
      <c r="N254" t="s">
        <v>20</v>
      </c>
      <c r="O254" t="s">
        <v>107</v>
      </c>
      <c r="P254">
        <v>0</v>
      </c>
      <c r="Q254">
        <v>0</v>
      </c>
      <c r="R254">
        <v>0</v>
      </c>
    </row>
    <row r="255" spans="1:18" x14ac:dyDescent="0.3">
      <c r="A255">
        <v>254</v>
      </c>
      <c r="B255">
        <v>1</v>
      </c>
      <c r="C255">
        <v>3</v>
      </c>
      <c r="D255" t="s">
        <v>163</v>
      </c>
      <c r="E255" t="s">
        <v>511</v>
      </c>
      <c r="F255">
        <v>3</v>
      </c>
      <c r="G255">
        <v>3</v>
      </c>
      <c r="H255">
        <v>2</v>
      </c>
      <c r="I255">
        <v>3</v>
      </c>
      <c r="J255">
        <v>12</v>
      </c>
      <c r="K255">
        <v>1.9339999999999999</v>
      </c>
      <c r="L255">
        <v>68</v>
      </c>
      <c r="M255">
        <v>31.03</v>
      </c>
      <c r="N255" t="s">
        <v>20</v>
      </c>
      <c r="O255" t="s">
        <v>116</v>
      </c>
      <c r="P255">
        <v>0.5</v>
      </c>
      <c r="Q255">
        <v>1</v>
      </c>
      <c r="R255">
        <v>0.66700000000000004</v>
      </c>
    </row>
    <row r="256" spans="1:18" x14ac:dyDescent="0.3">
      <c r="A256">
        <v>255</v>
      </c>
      <c r="B256">
        <v>2</v>
      </c>
      <c r="C256">
        <v>3</v>
      </c>
      <c r="D256" t="s">
        <v>165</v>
      </c>
      <c r="E256" t="s">
        <v>512</v>
      </c>
      <c r="F256">
        <v>2</v>
      </c>
      <c r="G256">
        <v>5</v>
      </c>
      <c r="H256">
        <v>2</v>
      </c>
      <c r="I256">
        <v>5</v>
      </c>
      <c r="J256">
        <v>12</v>
      </c>
      <c r="K256">
        <v>3.3980000000000001</v>
      </c>
      <c r="L256">
        <v>58</v>
      </c>
      <c r="M256">
        <v>17.66</v>
      </c>
      <c r="N256" t="s">
        <v>20</v>
      </c>
      <c r="O256" t="s">
        <v>107</v>
      </c>
      <c r="P256">
        <v>0</v>
      </c>
      <c r="Q256">
        <v>0</v>
      </c>
      <c r="R256">
        <v>0</v>
      </c>
    </row>
    <row r="257" spans="1:18" x14ac:dyDescent="0.3">
      <c r="A257">
        <v>256</v>
      </c>
      <c r="B257">
        <v>3</v>
      </c>
      <c r="C257">
        <v>3</v>
      </c>
      <c r="D257" t="s">
        <v>167</v>
      </c>
      <c r="E257" t="s">
        <v>513</v>
      </c>
      <c r="F257">
        <v>4</v>
      </c>
      <c r="G257">
        <v>5</v>
      </c>
      <c r="H257">
        <v>4</v>
      </c>
      <c r="I257">
        <v>5</v>
      </c>
      <c r="J257">
        <v>13</v>
      </c>
      <c r="K257">
        <v>3.661</v>
      </c>
      <c r="L257">
        <v>57</v>
      </c>
      <c r="M257">
        <v>16.39</v>
      </c>
      <c r="N257" t="s">
        <v>20</v>
      </c>
      <c r="O257" t="s">
        <v>107</v>
      </c>
      <c r="P257">
        <v>0</v>
      </c>
      <c r="Q257">
        <v>0</v>
      </c>
      <c r="R257">
        <v>0</v>
      </c>
    </row>
    <row r="258" spans="1:18" x14ac:dyDescent="0.3">
      <c r="A258">
        <v>257</v>
      </c>
      <c r="B258">
        <v>1</v>
      </c>
      <c r="C258">
        <v>3</v>
      </c>
      <c r="D258" t="s">
        <v>168</v>
      </c>
      <c r="E258" t="s">
        <v>514</v>
      </c>
      <c r="F258">
        <v>4</v>
      </c>
      <c r="G258">
        <v>5</v>
      </c>
      <c r="H258">
        <v>4</v>
      </c>
      <c r="I258">
        <v>5</v>
      </c>
      <c r="J258">
        <v>14</v>
      </c>
      <c r="K258">
        <v>1.742</v>
      </c>
      <c r="L258">
        <v>50</v>
      </c>
      <c r="M258">
        <v>34.450000000000003</v>
      </c>
      <c r="N258" t="s">
        <v>20</v>
      </c>
      <c r="O258" t="s">
        <v>107</v>
      </c>
      <c r="P258">
        <v>0</v>
      </c>
      <c r="Q258">
        <v>0</v>
      </c>
      <c r="R258">
        <v>0</v>
      </c>
    </row>
    <row r="259" spans="1:18" x14ac:dyDescent="0.3">
      <c r="A259">
        <v>258</v>
      </c>
      <c r="B259">
        <v>2</v>
      </c>
      <c r="C259">
        <v>3</v>
      </c>
      <c r="D259" t="s">
        <v>170</v>
      </c>
      <c r="E259" t="s">
        <v>515</v>
      </c>
      <c r="F259">
        <v>3</v>
      </c>
      <c r="G259">
        <v>3</v>
      </c>
      <c r="H259">
        <v>2</v>
      </c>
      <c r="I259">
        <v>3</v>
      </c>
      <c r="J259">
        <v>14</v>
      </c>
      <c r="K259">
        <v>3.7229999999999999</v>
      </c>
      <c r="L259">
        <v>33</v>
      </c>
      <c r="M259">
        <v>16.12</v>
      </c>
      <c r="N259" t="s">
        <v>130</v>
      </c>
      <c r="O259" t="s">
        <v>107</v>
      </c>
      <c r="P259">
        <v>1</v>
      </c>
      <c r="Q259">
        <v>0.33300000000000002</v>
      </c>
      <c r="R259">
        <v>0.5</v>
      </c>
    </row>
    <row r="260" spans="1:18" x14ac:dyDescent="0.3">
      <c r="A260">
        <v>259</v>
      </c>
      <c r="B260">
        <v>3</v>
      </c>
      <c r="C260">
        <v>3</v>
      </c>
      <c r="D260" t="s">
        <v>172</v>
      </c>
      <c r="E260" t="s">
        <v>516</v>
      </c>
      <c r="F260">
        <v>4</v>
      </c>
      <c r="G260">
        <v>4</v>
      </c>
      <c r="H260">
        <v>3</v>
      </c>
      <c r="I260">
        <v>5</v>
      </c>
      <c r="J260">
        <v>11</v>
      </c>
      <c r="K260">
        <v>2.5510000000000002</v>
      </c>
      <c r="L260">
        <v>33</v>
      </c>
      <c r="M260">
        <v>23.52</v>
      </c>
      <c r="N260" t="s">
        <v>20</v>
      </c>
      <c r="O260" t="s">
        <v>107</v>
      </c>
      <c r="P260">
        <v>0</v>
      </c>
      <c r="Q260">
        <v>0</v>
      </c>
      <c r="R260">
        <v>0</v>
      </c>
    </row>
    <row r="261" spans="1:18" x14ac:dyDescent="0.3">
      <c r="A261">
        <v>260</v>
      </c>
      <c r="B261">
        <v>1</v>
      </c>
      <c r="C261">
        <v>3</v>
      </c>
      <c r="D261" t="s">
        <v>174</v>
      </c>
      <c r="E261" t="s">
        <v>517</v>
      </c>
      <c r="F261">
        <v>5</v>
      </c>
      <c r="G261">
        <v>5</v>
      </c>
      <c r="H261">
        <v>5</v>
      </c>
      <c r="I261">
        <v>5</v>
      </c>
      <c r="J261">
        <v>13</v>
      </c>
      <c r="K261">
        <v>4.4029999999999996</v>
      </c>
      <c r="L261">
        <v>44</v>
      </c>
      <c r="M261">
        <v>13.63</v>
      </c>
      <c r="N261" t="s">
        <v>20</v>
      </c>
      <c r="P261">
        <v>1</v>
      </c>
      <c r="Q261">
        <v>0</v>
      </c>
      <c r="R261">
        <v>0</v>
      </c>
    </row>
    <row r="262" spans="1:18" x14ac:dyDescent="0.3">
      <c r="A262">
        <v>261</v>
      </c>
      <c r="B262">
        <v>2</v>
      </c>
      <c r="C262">
        <v>3</v>
      </c>
      <c r="D262" t="s">
        <v>176</v>
      </c>
      <c r="E262" t="s">
        <v>518</v>
      </c>
      <c r="F262">
        <v>4</v>
      </c>
      <c r="G262">
        <v>4</v>
      </c>
      <c r="H262">
        <v>4</v>
      </c>
      <c r="I262">
        <v>5</v>
      </c>
      <c r="J262">
        <v>14</v>
      </c>
      <c r="K262">
        <v>1.9530000000000001</v>
      </c>
      <c r="L262">
        <v>59</v>
      </c>
      <c r="M262">
        <v>30.72</v>
      </c>
      <c r="N262" t="s">
        <v>20</v>
      </c>
      <c r="O262" t="s">
        <v>107</v>
      </c>
      <c r="P262">
        <v>0</v>
      </c>
      <c r="Q262">
        <v>0</v>
      </c>
      <c r="R262">
        <v>0</v>
      </c>
    </row>
    <row r="263" spans="1:18" x14ac:dyDescent="0.3">
      <c r="A263">
        <v>262</v>
      </c>
      <c r="B263">
        <v>3</v>
      </c>
      <c r="C263">
        <v>3</v>
      </c>
      <c r="D263" t="s">
        <v>177</v>
      </c>
      <c r="E263" t="s">
        <v>519</v>
      </c>
      <c r="F263">
        <v>5</v>
      </c>
      <c r="G263">
        <v>5</v>
      </c>
      <c r="H263">
        <v>4</v>
      </c>
      <c r="I263">
        <v>5</v>
      </c>
      <c r="J263">
        <v>10</v>
      </c>
      <c r="K263">
        <v>1.9550000000000001</v>
      </c>
      <c r="L263">
        <v>40</v>
      </c>
      <c r="M263">
        <v>30.69</v>
      </c>
      <c r="N263" t="s">
        <v>130</v>
      </c>
      <c r="P263">
        <v>1</v>
      </c>
      <c r="Q263">
        <v>0</v>
      </c>
      <c r="R263">
        <v>0</v>
      </c>
    </row>
    <row r="264" spans="1:18" x14ac:dyDescent="0.3">
      <c r="A264">
        <v>263</v>
      </c>
      <c r="B264">
        <v>1</v>
      </c>
      <c r="C264">
        <v>3</v>
      </c>
      <c r="D264" t="s">
        <v>179</v>
      </c>
      <c r="E264" t="s">
        <v>520</v>
      </c>
      <c r="F264">
        <v>3</v>
      </c>
      <c r="G264">
        <v>2</v>
      </c>
      <c r="H264">
        <v>2</v>
      </c>
      <c r="I264">
        <v>1</v>
      </c>
      <c r="J264">
        <v>13</v>
      </c>
      <c r="K264">
        <v>1.919</v>
      </c>
      <c r="L264">
        <v>18</v>
      </c>
      <c r="M264">
        <v>31.27</v>
      </c>
      <c r="N264" t="s">
        <v>130</v>
      </c>
      <c r="P264">
        <v>1</v>
      </c>
      <c r="Q264">
        <v>0</v>
      </c>
      <c r="R264">
        <v>0</v>
      </c>
    </row>
    <row r="265" spans="1:18" x14ac:dyDescent="0.3">
      <c r="A265">
        <v>264</v>
      </c>
      <c r="B265">
        <v>2</v>
      </c>
      <c r="C265">
        <v>3</v>
      </c>
      <c r="D265" t="s">
        <v>181</v>
      </c>
      <c r="E265" t="s">
        <v>521</v>
      </c>
      <c r="F265">
        <v>4</v>
      </c>
      <c r="G265">
        <v>5</v>
      </c>
      <c r="H265">
        <v>5</v>
      </c>
      <c r="I265">
        <v>5</v>
      </c>
      <c r="J265">
        <v>15</v>
      </c>
      <c r="K265">
        <v>1.76</v>
      </c>
      <c r="L265">
        <v>33</v>
      </c>
      <c r="M265">
        <v>34.1</v>
      </c>
      <c r="O265" t="s">
        <v>107</v>
      </c>
      <c r="P265">
        <v>0</v>
      </c>
      <c r="Q265">
        <v>1</v>
      </c>
      <c r="R265">
        <v>0</v>
      </c>
    </row>
    <row r="266" spans="1:18" x14ac:dyDescent="0.3">
      <c r="A266">
        <v>265</v>
      </c>
      <c r="B266">
        <v>3</v>
      </c>
      <c r="C266">
        <v>3</v>
      </c>
      <c r="D266" t="s">
        <v>105</v>
      </c>
      <c r="E266" t="s">
        <v>522</v>
      </c>
      <c r="F266">
        <v>2</v>
      </c>
      <c r="G266">
        <v>5</v>
      </c>
      <c r="H266">
        <v>1</v>
      </c>
      <c r="I266">
        <v>5</v>
      </c>
      <c r="J266">
        <v>12</v>
      </c>
      <c r="K266">
        <v>1.6240000000000001</v>
      </c>
      <c r="L266">
        <v>42</v>
      </c>
      <c r="M266">
        <v>36.94</v>
      </c>
      <c r="N266" t="s">
        <v>20</v>
      </c>
      <c r="O266" t="s">
        <v>107</v>
      </c>
      <c r="P266">
        <v>0</v>
      </c>
      <c r="Q266">
        <v>0</v>
      </c>
      <c r="R266">
        <v>0</v>
      </c>
    </row>
    <row r="267" spans="1:18" x14ac:dyDescent="0.3">
      <c r="A267">
        <v>266</v>
      </c>
      <c r="B267">
        <v>1</v>
      </c>
      <c r="C267">
        <v>3</v>
      </c>
      <c r="D267" t="s">
        <v>108</v>
      </c>
      <c r="E267" t="s">
        <v>523</v>
      </c>
      <c r="F267">
        <v>4</v>
      </c>
      <c r="G267">
        <v>5</v>
      </c>
      <c r="H267">
        <v>4</v>
      </c>
      <c r="I267">
        <v>5</v>
      </c>
      <c r="J267">
        <v>15</v>
      </c>
      <c r="K267">
        <v>1.3660000000000001</v>
      </c>
      <c r="L267">
        <v>44</v>
      </c>
      <c r="M267">
        <v>43.91</v>
      </c>
      <c r="N267" t="s">
        <v>20</v>
      </c>
      <c r="O267" t="s">
        <v>107</v>
      </c>
      <c r="P267">
        <v>0</v>
      </c>
      <c r="Q267">
        <v>0</v>
      </c>
      <c r="R267">
        <v>0</v>
      </c>
    </row>
    <row r="268" spans="1:18" x14ac:dyDescent="0.3">
      <c r="A268">
        <v>267</v>
      </c>
      <c r="B268">
        <v>2</v>
      </c>
      <c r="C268">
        <v>3</v>
      </c>
      <c r="D268" t="s">
        <v>110</v>
      </c>
      <c r="E268" t="s">
        <v>524</v>
      </c>
      <c r="F268">
        <v>3</v>
      </c>
      <c r="G268">
        <v>5</v>
      </c>
      <c r="H268">
        <v>2</v>
      </c>
      <c r="I268">
        <v>5</v>
      </c>
      <c r="J268">
        <v>14</v>
      </c>
      <c r="K268">
        <v>3.8410000000000002</v>
      </c>
      <c r="L268">
        <v>46</v>
      </c>
      <c r="M268">
        <v>15.62</v>
      </c>
      <c r="N268" t="s">
        <v>20</v>
      </c>
      <c r="O268" t="s">
        <v>107</v>
      </c>
      <c r="P268">
        <v>0</v>
      </c>
      <c r="Q268">
        <v>0</v>
      </c>
      <c r="R268">
        <v>0</v>
      </c>
    </row>
    <row r="269" spans="1:18" x14ac:dyDescent="0.3">
      <c r="A269">
        <v>268</v>
      </c>
      <c r="B269">
        <v>3</v>
      </c>
      <c r="C269">
        <v>3</v>
      </c>
      <c r="D269" t="s">
        <v>112</v>
      </c>
      <c r="E269" t="s">
        <v>525</v>
      </c>
      <c r="F269">
        <v>5</v>
      </c>
      <c r="G269">
        <v>5</v>
      </c>
      <c r="H269">
        <v>5</v>
      </c>
      <c r="I269">
        <v>5</v>
      </c>
      <c r="J269">
        <v>13</v>
      </c>
      <c r="K269">
        <v>2.8109999999999999</v>
      </c>
      <c r="L269">
        <v>26</v>
      </c>
      <c r="M269">
        <v>21.34</v>
      </c>
      <c r="N269" t="s">
        <v>20</v>
      </c>
      <c r="P269">
        <v>1</v>
      </c>
      <c r="Q269">
        <v>0</v>
      </c>
      <c r="R269">
        <v>0</v>
      </c>
    </row>
    <row r="270" spans="1:18" x14ac:dyDescent="0.3">
      <c r="A270">
        <v>269</v>
      </c>
      <c r="B270">
        <v>1</v>
      </c>
      <c r="C270">
        <v>3</v>
      </c>
      <c r="D270" t="s">
        <v>482</v>
      </c>
      <c r="E270" t="s">
        <v>526</v>
      </c>
      <c r="F270">
        <v>5</v>
      </c>
      <c r="G270">
        <v>5</v>
      </c>
      <c r="H270">
        <v>5</v>
      </c>
      <c r="I270">
        <v>5</v>
      </c>
      <c r="J270">
        <v>15</v>
      </c>
      <c r="K270">
        <v>1.9550000000000001</v>
      </c>
      <c r="L270">
        <v>49</v>
      </c>
      <c r="M270">
        <v>30.69</v>
      </c>
      <c r="O270" t="s">
        <v>116</v>
      </c>
      <c r="P270">
        <v>0</v>
      </c>
      <c r="Q270">
        <v>1</v>
      </c>
      <c r="R270">
        <v>0</v>
      </c>
    </row>
    <row r="271" spans="1:18" x14ac:dyDescent="0.3">
      <c r="A271">
        <v>270</v>
      </c>
      <c r="B271">
        <v>2</v>
      </c>
      <c r="C271">
        <v>3</v>
      </c>
      <c r="D271" t="s">
        <v>484</v>
      </c>
      <c r="E271" t="s">
        <v>527</v>
      </c>
      <c r="F271">
        <v>3</v>
      </c>
      <c r="G271">
        <v>5</v>
      </c>
      <c r="H271">
        <v>4</v>
      </c>
      <c r="I271">
        <v>5</v>
      </c>
      <c r="J271">
        <v>15</v>
      </c>
      <c r="K271">
        <v>1.784</v>
      </c>
      <c r="L271">
        <v>41</v>
      </c>
      <c r="M271">
        <v>33.64</v>
      </c>
      <c r="O271" t="s">
        <v>107</v>
      </c>
      <c r="P271">
        <v>0</v>
      </c>
      <c r="Q271">
        <v>1</v>
      </c>
      <c r="R271">
        <v>0</v>
      </c>
    </row>
    <row r="272" spans="1:18" x14ac:dyDescent="0.3">
      <c r="A272">
        <v>271</v>
      </c>
      <c r="B272">
        <v>3</v>
      </c>
      <c r="C272">
        <v>3</v>
      </c>
      <c r="D272" t="s">
        <v>486</v>
      </c>
      <c r="E272" t="s">
        <v>528</v>
      </c>
      <c r="F272">
        <v>3</v>
      </c>
      <c r="G272">
        <v>5</v>
      </c>
      <c r="H272">
        <v>4</v>
      </c>
      <c r="I272">
        <v>5</v>
      </c>
      <c r="J272">
        <v>15</v>
      </c>
      <c r="K272">
        <v>2.6030000000000002</v>
      </c>
      <c r="L272">
        <v>65</v>
      </c>
      <c r="M272">
        <v>23.05</v>
      </c>
      <c r="O272" t="s">
        <v>116</v>
      </c>
      <c r="P272">
        <v>0</v>
      </c>
      <c r="Q272">
        <v>1</v>
      </c>
      <c r="R272">
        <v>0</v>
      </c>
    </row>
    <row r="273" spans="1:18" x14ac:dyDescent="0.3">
      <c r="A273">
        <v>272</v>
      </c>
      <c r="B273">
        <v>1</v>
      </c>
      <c r="C273">
        <v>3</v>
      </c>
      <c r="D273" t="s">
        <v>121</v>
      </c>
      <c r="E273" t="s">
        <v>529</v>
      </c>
      <c r="F273">
        <v>4</v>
      </c>
      <c r="G273">
        <v>5</v>
      </c>
      <c r="H273">
        <v>4</v>
      </c>
      <c r="I273">
        <v>5</v>
      </c>
      <c r="J273">
        <v>13</v>
      </c>
      <c r="K273">
        <v>2.5179999999999998</v>
      </c>
      <c r="L273">
        <v>48</v>
      </c>
      <c r="M273">
        <v>23.83</v>
      </c>
      <c r="N273" t="s">
        <v>123</v>
      </c>
      <c r="O273" t="s">
        <v>107</v>
      </c>
      <c r="P273">
        <v>1</v>
      </c>
      <c r="Q273">
        <v>0.5</v>
      </c>
      <c r="R273">
        <v>0.66700000000000004</v>
      </c>
    </row>
    <row r="274" spans="1:18" x14ac:dyDescent="0.3">
      <c r="A274">
        <v>273</v>
      </c>
      <c r="B274">
        <v>2</v>
      </c>
      <c r="C274">
        <v>3</v>
      </c>
      <c r="D274" t="s">
        <v>124</v>
      </c>
      <c r="E274" t="s">
        <v>530</v>
      </c>
      <c r="F274">
        <v>4</v>
      </c>
      <c r="G274">
        <v>5</v>
      </c>
      <c r="H274">
        <v>4</v>
      </c>
      <c r="I274">
        <v>1</v>
      </c>
      <c r="J274">
        <v>11</v>
      </c>
      <c r="K274">
        <v>3.871</v>
      </c>
      <c r="L274">
        <v>42</v>
      </c>
      <c r="M274">
        <v>15.5</v>
      </c>
      <c r="N274" t="s">
        <v>123</v>
      </c>
      <c r="O274" t="s">
        <v>107</v>
      </c>
      <c r="P274">
        <v>1</v>
      </c>
      <c r="Q274">
        <v>0.5</v>
      </c>
      <c r="R274">
        <v>0.66700000000000004</v>
      </c>
    </row>
    <row r="275" spans="1:18" x14ac:dyDescent="0.3">
      <c r="A275">
        <v>274</v>
      </c>
      <c r="B275">
        <v>3</v>
      </c>
      <c r="C275">
        <v>3</v>
      </c>
      <c r="D275" t="s">
        <v>126</v>
      </c>
      <c r="E275" t="s">
        <v>531</v>
      </c>
      <c r="F275">
        <v>4</v>
      </c>
      <c r="G275">
        <v>3</v>
      </c>
      <c r="H275">
        <v>2</v>
      </c>
      <c r="I275">
        <v>1</v>
      </c>
      <c r="J275">
        <v>11</v>
      </c>
      <c r="K275">
        <v>3.843</v>
      </c>
      <c r="L275">
        <v>46</v>
      </c>
      <c r="M275">
        <v>15.61</v>
      </c>
      <c r="N275" t="s">
        <v>123</v>
      </c>
      <c r="O275" t="s">
        <v>107</v>
      </c>
      <c r="P275">
        <v>1</v>
      </c>
      <c r="Q275">
        <v>0.5</v>
      </c>
      <c r="R275">
        <v>0.66700000000000004</v>
      </c>
    </row>
    <row r="276" spans="1:18" x14ac:dyDescent="0.3">
      <c r="A276">
        <v>275</v>
      </c>
      <c r="B276">
        <v>1</v>
      </c>
      <c r="C276">
        <v>3</v>
      </c>
      <c r="D276" t="s">
        <v>128</v>
      </c>
      <c r="E276" t="s">
        <v>532</v>
      </c>
      <c r="F276">
        <v>4</v>
      </c>
      <c r="G276">
        <v>3</v>
      </c>
      <c r="H276">
        <v>2</v>
      </c>
      <c r="I276">
        <v>4</v>
      </c>
      <c r="J276">
        <v>14</v>
      </c>
      <c r="K276">
        <v>2.173</v>
      </c>
      <c r="L276">
        <v>57</v>
      </c>
      <c r="M276">
        <v>27.62</v>
      </c>
      <c r="N276" t="s">
        <v>130</v>
      </c>
      <c r="O276" t="s">
        <v>107</v>
      </c>
      <c r="P276">
        <v>1</v>
      </c>
      <c r="Q276">
        <v>0.33300000000000002</v>
      </c>
      <c r="R276">
        <v>0.5</v>
      </c>
    </row>
    <row r="277" spans="1:18" x14ac:dyDescent="0.3">
      <c r="A277">
        <v>276</v>
      </c>
      <c r="B277">
        <v>2</v>
      </c>
      <c r="C277">
        <v>3</v>
      </c>
      <c r="D277" t="s">
        <v>131</v>
      </c>
      <c r="E277" t="s">
        <v>533</v>
      </c>
      <c r="F277">
        <v>4</v>
      </c>
      <c r="G277">
        <v>3</v>
      </c>
      <c r="H277">
        <v>3</v>
      </c>
      <c r="I277">
        <v>5</v>
      </c>
      <c r="J277">
        <v>15</v>
      </c>
      <c r="K277">
        <v>3.6230000000000002</v>
      </c>
      <c r="L277">
        <v>66</v>
      </c>
      <c r="M277">
        <v>16.559999999999999</v>
      </c>
      <c r="N277" t="s">
        <v>130</v>
      </c>
      <c r="O277" t="s">
        <v>107</v>
      </c>
      <c r="P277">
        <v>1</v>
      </c>
      <c r="Q277">
        <v>0.33300000000000002</v>
      </c>
      <c r="R277">
        <v>0.5</v>
      </c>
    </row>
    <row r="278" spans="1:18" x14ac:dyDescent="0.3">
      <c r="A278">
        <v>277</v>
      </c>
      <c r="B278">
        <v>3</v>
      </c>
      <c r="C278">
        <v>3</v>
      </c>
      <c r="D278" t="s">
        <v>133</v>
      </c>
      <c r="E278" t="s">
        <v>534</v>
      </c>
      <c r="F278">
        <v>4</v>
      </c>
      <c r="G278">
        <v>3</v>
      </c>
      <c r="H278">
        <v>3</v>
      </c>
      <c r="I278">
        <v>5</v>
      </c>
      <c r="J278">
        <v>14</v>
      </c>
      <c r="K278">
        <v>2.1269999999999998</v>
      </c>
      <c r="L278">
        <v>72</v>
      </c>
      <c r="M278">
        <v>28.2</v>
      </c>
      <c r="N278" t="s">
        <v>20</v>
      </c>
      <c r="O278" t="s">
        <v>107</v>
      </c>
      <c r="P278">
        <v>0</v>
      </c>
      <c r="Q278">
        <v>0</v>
      </c>
      <c r="R278">
        <v>0</v>
      </c>
    </row>
    <row r="279" spans="1:18" x14ac:dyDescent="0.3">
      <c r="A279">
        <v>278</v>
      </c>
      <c r="B279">
        <v>1</v>
      </c>
      <c r="C279">
        <v>3</v>
      </c>
      <c r="D279" t="s">
        <v>135</v>
      </c>
      <c r="E279" t="s">
        <v>535</v>
      </c>
      <c r="F279">
        <v>3</v>
      </c>
      <c r="G279">
        <v>5</v>
      </c>
      <c r="H279">
        <v>3</v>
      </c>
      <c r="I279">
        <v>5</v>
      </c>
      <c r="J279">
        <v>14</v>
      </c>
      <c r="K279">
        <v>1.446</v>
      </c>
      <c r="L279">
        <v>40</v>
      </c>
      <c r="M279">
        <v>41.48</v>
      </c>
      <c r="N279" t="s">
        <v>123</v>
      </c>
      <c r="O279" t="s">
        <v>116</v>
      </c>
      <c r="P279">
        <v>0.5</v>
      </c>
      <c r="Q279">
        <v>0.5</v>
      </c>
      <c r="R279">
        <v>0.5</v>
      </c>
    </row>
    <row r="280" spans="1:18" x14ac:dyDescent="0.3">
      <c r="A280">
        <v>279</v>
      </c>
      <c r="B280">
        <v>2</v>
      </c>
      <c r="C280">
        <v>3</v>
      </c>
      <c r="D280" t="s">
        <v>137</v>
      </c>
      <c r="E280" t="s">
        <v>536</v>
      </c>
      <c r="F280">
        <v>4</v>
      </c>
      <c r="G280">
        <v>4</v>
      </c>
      <c r="H280">
        <v>3</v>
      </c>
      <c r="I280">
        <v>5</v>
      </c>
      <c r="J280">
        <v>12</v>
      </c>
      <c r="K280">
        <v>1.827</v>
      </c>
      <c r="L280">
        <v>58</v>
      </c>
      <c r="M280">
        <v>32.840000000000003</v>
      </c>
      <c r="N280" t="s">
        <v>123</v>
      </c>
      <c r="O280" t="s">
        <v>130</v>
      </c>
      <c r="P280">
        <v>0.66700000000000004</v>
      </c>
      <c r="Q280">
        <v>1</v>
      </c>
      <c r="R280">
        <v>0.8</v>
      </c>
    </row>
    <row r="281" spans="1:18" x14ac:dyDescent="0.3">
      <c r="A281">
        <v>280</v>
      </c>
      <c r="B281">
        <v>3</v>
      </c>
      <c r="C281">
        <v>3</v>
      </c>
      <c r="D281" t="s">
        <v>139</v>
      </c>
      <c r="E281" t="s">
        <v>537</v>
      </c>
      <c r="F281">
        <v>5</v>
      </c>
      <c r="G281">
        <v>5</v>
      </c>
      <c r="H281">
        <v>3</v>
      </c>
      <c r="I281">
        <v>5</v>
      </c>
      <c r="J281">
        <v>13</v>
      </c>
      <c r="K281">
        <v>1.9079999999999999</v>
      </c>
      <c r="L281">
        <v>63</v>
      </c>
      <c r="M281">
        <v>31.45</v>
      </c>
      <c r="N281" t="s">
        <v>123</v>
      </c>
      <c r="O281" t="s">
        <v>130</v>
      </c>
      <c r="P281">
        <v>0.66700000000000004</v>
      </c>
      <c r="Q281">
        <v>1</v>
      </c>
      <c r="R281">
        <v>0.8</v>
      </c>
    </row>
    <row r="282" spans="1:18" x14ac:dyDescent="0.3">
      <c r="A282">
        <v>281</v>
      </c>
      <c r="B282">
        <v>1</v>
      </c>
      <c r="C282">
        <v>3</v>
      </c>
      <c r="D282" t="s">
        <v>497</v>
      </c>
      <c r="E282" t="s">
        <v>538</v>
      </c>
      <c r="F282">
        <v>5</v>
      </c>
      <c r="G282">
        <v>5</v>
      </c>
      <c r="H282">
        <v>5</v>
      </c>
      <c r="I282">
        <v>5</v>
      </c>
      <c r="J282">
        <v>13</v>
      </c>
      <c r="K282">
        <v>1.831</v>
      </c>
      <c r="L282">
        <v>48</v>
      </c>
      <c r="M282">
        <v>32.770000000000003</v>
      </c>
      <c r="N282" t="s">
        <v>123</v>
      </c>
      <c r="O282" t="s">
        <v>116</v>
      </c>
      <c r="P282">
        <v>0.5</v>
      </c>
      <c r="Q282">
        <v>0.5</v>
      </c>
      <c r="R282">
        <v>0.5</v>
      </c>
    </row>
    <row r="283" spans="1:18" x14ac:dyDescent="0.3">
      <c r="A283">
        <v>282</v>
      </c>
      <c r="B283">
        <v>2</v>
      </c>
      <c r="C283">
        <v>3</v>
      </c>
      <c r="D283" t="s">
        <v>499</v>
      </c>
      <c r="E283" t="s">
        <v>539</v>
      </c>
      <c r="F283">
        <v>2</v>
      </c>
      <c r="G283">
        <v>3</v>
      </c>
      <c r="H283">
        <v>1</v>
      </c>
      <c r="I283">
        <v>5</v>
      </c>
      <c r="J283">
        <v>13</v>
      </c>
      <c r="K283">
        <v>4.2290000000000001</v>
      </c>
      <c r="L283">
        <v>70</v>
      </c>
      <c r="M283">
        <v>14.19</v>
      </c>
      <c r="N283" t="s">
        <v>130</v>
      </c>
      <c r="O283" t="s">
        <v>123</v>
      </c>
      <c r="P283">
        <v>1</v>
      </c>
      <c r="Q283">
        <v>0.66700000000000004</v>
      </c>
      <c r="R283">
        <v>0.8</v>
      </c>
    </row>
    <row r="284" spans="1:18" x14ac:dyDescent="0.3">
      <c r="A284">
        <v>283</v>
      </c>
      <c r="B284">
        <v>3</v>
      </c>
      <c r="C284">
        <v>3</v>
      </c>
      <c r="D284" t="s">
        <v>501</v>
      </c>
      <c r="E284" t="s">
        <v>540</v>
      </c>
      <c r="F284">
        <v>4</v>
      </c>
      <c r="G284">
        <v>5</v>
      </c>
      <c r="H284">
        <v>5</v>
      </c>
      <c r="I284">
        <v>5</v>
      </c>
      <c r="J284">
        <v>11</v>
      </c>
      <c r="K284">
        <v>3.8420000000000001</v>
      </c>
      <c r="L284">
        <v>48</v>
      </c>
      <c r="M284">
        <v>15.62</v>
      </c>
      <c r="N284" t="s">
        <v>130</v>
      </c>
      <c r="O284" t="s">
        <v>123</v>
      </c>
      <c r="P284">
        <v>1</v>
      </c>
      <c r="Q284">
        <v>0.66700000000000004</v>
      </c>
      <c r="R284">
        <v>0.8</v>
      </c>
    </row>
    <row r="285" spans="1:18" x14ac:dyDescent="0.3">
      <c r="A285">
        <v>284</v>
      </c>
      <c r="B285">
        <v>1</v>
      </c>
      <c r="C285">
        <v>3</v>
      </c>
      <c r="D285" t="s">
        <v>147</v>
      </c>
      <c r="E285" t="s">
        <v>541</v>
      </c>
      <c r="F285">
        <v>5</v>
      </c>
      <c r="G285">
        <v>5</v>
      </c>
      <c r="H285">
        <v>4</v>
      </c>
      <c r="I285">
        <v>5</v>
      </c>
      <c r="J285">
        <v>13</v>
      </c>
      <c r="K285">
        <v>1.851</v>
      </c>
      <c r="L285">
        <v>50</v>
      </c>
      <c r="M285">
        <v>32.409999999999997</v>
      </c>
      <c r="N285" t="s">
        <v>123</v>
      </c>
      <c r="O285" t="s">
        <v>116</v>
      </c>
      <c r="P285">
        <v>0.5</v>
      </c>
      <c r="Q285">
        <v>0.5</v>
      </c>
      <c r="R285">
        <v>0.5</v>
      </c>
    </row>
    <row r="286" spans="1:18" x14ac:dyDescent="0.3">
      <c r="A286">
        <v>285</v>
      </c>
      <c r="B286">
        <v>2</v>
      </c>
      <c r="C286">
        <v>3</v>
      </c>
      <c r="D286" t="s">
        <v>149</v>
      </c>
      <c r="E286" t="s">
        <v>542</v>
      </c>
      <c r="F286">
        <v>3</v>
      </c>
      <c r="G286">
        <v>5</v>
      </c>
      <c r="H286">
        <v>4</v>
      </c>
      <c r="I286">
        <v>5</v>
      </c>
      <c r="J286">
        <v>13</v>
      </c>
      <c r="K286">
        <v>3.6459999999999999</v>
      </c>
      <c r="L286">
        <v>40</v>
      </c>
      <c r="M286">
        <v>16.46</v>
      </c>
      <c r="N286" t="s">
        <v>123</v>
      </c>
      <c r="O286" t="s">
        <v>116</v>
      </c>
      <c r="P286">
        <v>0.5</v>
      </c>
      <c r="Q286">
        <v>0.5</v>
      </c>
      <c r="R286">
        <v>0.5</v>
      </c>
    </row>
    <row r="287" spans="1:18" x14ac:dyDescent="0.3">
      <c r="A287">
        <v>286</v>
      </c>
      <c r="B287">
        <v>3</v>
      </c>
      <c r="C287">
        <v>3</v>
      </c>
      <c r="D287" t="s">
        <v>151</v>
      </c>
      <c r="E287" t="s">
        <v>543</v>
      </c>
      <c r="F287">
        <v>5</v>
      </c>
      <c r="G287">
        <v>5</v>
      </c>
      <c r="H287">
        <v>2</v>
      </c>
      <c r="I287">
        <v>5</v>
      </c>
      <c r="J287">
        <v>13</v>
      </c>
      <c r="K287">
        <v>4.069</v>
      </c>
      <c r="L287">
        <v>39</v>
      </c>
      <c r="M287">
        <v>14.75</v>
      </c>
      <c r="N287" t="s">
        <v>123</v>
      </c>
      <c r="O287" t="s">
        <v>116</v>
      </c>
      <c r="P287">
        <v>0.5</v>
      </c>
      <c r="Q287">
        <v>0.5</v>
      </c>
      <c r="R287">
        <v>0.5</v>
      </c>
    </row>
    <row r="288" spans="1:18" x14ac:dyDescent="0.3">
      <c r="A288">
        <v>287</v>
      </c>
      <c r="B288">
        <v>1</v>
      </c>
      <c r="C288">
        <v>3</v>
      </c>
      <c r="D288" t="s">
        <v>153</v>
      </c>
      <c r="E288" t="s">
        <v>544</v>
      </c>
      <c r="F288">
        <v>5</v>
      </c>
      <c r="G288">
        <v>5</v>
      </c>
      <c r="H288">
        <v>5</v>
      </c>
      <c r="I288">
        <v>5</v>
      </c>
      <c r="J288">
        <v>14</v>
      </c>
      <c r="K288">
        <v>1.4610000000000001</v>
      </c>
      <c r="L288">
        <v>44</v>
      </c>
      <c r="M288">
        <v>41.06</v>
      </c>
      <c r="N288" t="s">
        <v>130</v>
      </c>
      <c r="O288" t="s">
        <v>107</v>
      </c>
      <c r="P288">
        <v>1</v>
      </c>
      <c r="Q288">
        <v>0.33300000000000002</v>
      </c>
      <c r="R288">
        <v>0.5</v>
      </c>
    </row>
    <row r="289" spans="1:18" x14ac:dyDescent="0.3">
      <c r="A289">
        <v>288</v>
      </c>
      <c r="B289">
        <v>2</v>
      </c>
      <c r="C289">
        <v>3</v>
      </c>
      <c r="D289" t="s">
        <v>155</v>
      </c>
      <c r="E289" t="s">
        <v>545</v>
      </c>
      <c r="F289">
        <v>4</v>
      </c>
      <c r="G289">
        <v>5</v>
      </c>
      <c r="H289">
        <v>5</v>
      </c>
      <c r="I289">
        <v>5</v>
      </c>
      <c r="J289">
        <v>14</v>
      </c>
      <c r="K289">
        <v>3.516</v>
      </c>
      <c r="L289">
        <v>35</v>
      </c>
      <c r="M289">
        <v>17.059999999999999</v>
      </c>
      <c r="N289" t="s">
        <v>130</v>
      </c>
      <c r="O289" t="s">
        <v>123</v>
      </c>
      <c r="P289">
        <v>1</v>
      </c>
      <c r="Q289">
        <v>0.66700000000000004</v>
      </c>
      <c r="R289">
        <v>0.8</v>
      </c>
    </row>
    <row r="290" spans="1:18" x14ac:dyDescent="0.3">
      <c r="A290">
        <v>289</v>
      </c>
      <c r="B290">
        <v>3</v>
      </c>
      <c r="C290">
        <v>3</v>
      </c>
      <c r="D290" t="s">
        <v>157</v>
      </c>
      <c r="E290" t="s">
        <v>546</v>
      </c>
      <c r="F290">
        <v>3</v>
      </c>
      <c r="G290">
        <v>3</v>
      </c>
      <c r="H290">
        <v>4</v>
      </c>
      <c r="I290">
        <v>5</v>
      </c>
      <c r="J290">
        <v>14</v>
      </c>
      <c r="K290">
        <v>1.3029999999999999</v>
      </c>
      <c r="L290">
        <v>36</v>
      </c>
      <c r="M290">
        <v>46.04</v>
      </c>
      <c r="N290" t="s">
        <v>20</v>
      </c>
      <c r="O290" t="s">
        <v>107</v>
      </c>
      <c r="P290">
        <v>0</v>
      </c>
      <c r="Q290">
        <v>0</v>
      </c>
      <c r="R290">
        <v>0</v>
      </c>
    </row>
    <row r="291" spans="1:18" x14ac:dyDescent="0.3">
      <c r="A291">
        <v>290</v>
      </c>
      <c r="B291">
        <v>1</v>
      </c>
      <c r="C291">
        <v>3</v>
      </c>
      <c r="D291" t="s">
        <v>159</v>
      </c>
      <c r="E291" t="s">
        <v>547</v>
      </c>
      <c r="F291">
        <v>4</v>
      </c>
      <c r="G291">
        <v>5</v>
      </c>
      <c r="H291">
        <v>5</v>
      </c>
      <c r="I291">
        <v>5</v>
      </c>
      <c r="J291">
        <v>14</v>
      </c>
      <c r="K291">
        <v>2.1829999999999998</v>
      </c>
      <c r="L291">
        <v>39</v>
      </c>
      <c r="M291">
        <v>27.48</v>
      </c>
      <c r="N291" t="s">
        <v>20</v>
      </c>
      <c r="O291" t="s">
        <v>116</v>
      </c>
      <c r="P291">
        <v>0.5</v>
      </c>
      <c r="Q291">
        <v>1</v>
      </c>
      <c r="R291">
        <v>0.66700000000000004</v>
      </c>
    </row>
    <row r="292" spans="1:18" x14ac:dyDescent="0.3">
      <c r="A292">
        <v>291</v>
      </c>
      <c r="B292">
        <v>2</v>
      </c>
      <c r="C292">
        <v>3</v>
      </c>
      <c r="D292" t="s">
        <v>161</v>
      </c>
      <c r="E292" t="s">
        <v>548</v>
      </c>
      <c r="F292">
        <v>5</v>
      </c>
      <c r="G292">
        <v>5</v>
      </c>
      <c r="H292">
        <v>5</v>
      </c>
      <c r="I292">
        <v>5</v>
      </c>
      <c r="J292">
        <v>13</v>
      </c>
      <c r="K292">
        <v>1.669</v>
      </c>
      <c r="L292">
        <v>46</v>
      </c>
      <c r="M292">
        <v>35.96</v>
      </c>
      <c r="N292" t="s">
        <v>20</v>
      </c>
      <c r="P292">
        <v>1</v>
      </c>
      <c r="Q292">
        <v>0</v>
      </c>
      <c r="R292">
        <v>0</v>
      </c>
    </row>
    <row r="293" spans="1:18" x14ac:dyDescent="0.3">
      <c r="A293">
        <v>292</v>
      </c>
      <c r="B293">
        <v>3</v>
      </c>
      <c r="C293">
        <v>3</v>
      </c>
      <c r="D293" t="s">
        <v>163</v>
      </c>
      <c r="E293" t="s">
        <v>549</v>
      </c>
      <c r="F293">
        <v>5</v>
      </c>
      <c r="G293">
        <v>5</v>
      </c>
      <c r="H293">
        <v>5</v>
      </c>
      <c r="I293">
        <v>5</v>
      </c>
      <c r="J293">
        <v>15</v>
      </c>
      <c r="K293">
        <v>1.7789999999999999</v>
      </c>
      <c r="L293">
        <v>46</v>
      </c>
      <c r="M293">
        <v>33.729999999999997</v>
      </c>
      <c r="N293" t="s">
        <v>20</v>
      </c>
      <c r="O293" t="s">
        <v>116</v>
      </c>
      <c r="P293">
        <v>0.5</v>
      </c>
      <c r="Q293">
        <v>1</v>
      </c>
      <c r="R293">
        <v>0.66700000000000004</v>
      </c>
    </row>
    <row r="294" spans="1:18" x14ac:dyDescent="0.3">
      <c r="A294">
        <v>293</v>
      </c>
      <c r="B294">
        <v>1</v>
      </c>
      <c r="C294">
        <v>3</v>
      </c>
      <c r="D294" t="s">
        <v>165</v>
      </c>
      <c r="E294" t="s">
        <v>550</v>
      </c>
      <c r="F294">
        <v>4</v>
      </c>
      <c r="G294">
        <v>5</v>
      </c>
      <c r="H294">
        <v>4</v>
      </c>
      <c r="I294">
        <v>5</v>
      </c>
      <c r="J294">
        <v>14</v>
      </c>
      <c r="K294">
        <v>1.9119999999999999</v>
      </c>
      <c r="L294">
        <v>58</v>
      </c>
      <c r="M294">
        <v>31.38</v>
      </c>
      <c r="N294" t="s">
        <v>20</v>
      </c>
      <c r="O294" t="s">
        <v>116</v>
      </c>
      <c r="P294">
        <v>0.5</v>
      </c>
      <c r="Q294">
        <v>1</v>
      </c>
      <c r="R294">
        <v>0.66700000000000004</v>
      </c>
    </row>
    <row r="295" spans="1:18" x14ac:dyDescent="0.3">
      <c r="A295">
        <v>294</v>
      </c>
      <c r="B295">
        <v>2</v>
      </c>
      <c r="C295">
        <v>3</v>
      </c>
      <c r="D295" t="s">
        <v>167</v>
      </c>
      <c r="E295" t="s">
        <v>551</v>
      </c>
      <c r="F295">
        <v>4</v>
      </c>
      <c r="G295">
        <v>5</v>
      </c>
      <c r="H295">
        <v>4</v>
      </c>
      <c r="I295">
        <v>5</v>
      </c>
      <c r="J295">
        <v>12</v>
      </c>
      <c r="K295">
        <v>2.6</v>
      </c>
      <c r="L295">
        <v>33</v>
      </c>
      <c r="M295">
        <v>23.08</v>
      </c>
      <c r="N295" t="s">
        <v>20</v>
      </c>
      <c r="O295" t="s">
        <v>107</v>
      </c>
      <c r="P295">
        <v>0</v>
      </c>
      <c r="Q295">
        <v>0</v>
      </c>
      <c r="R295">
        <v>0</v>
      </c>
    </row>
    <row r="296" spans="1:18" x14ac:dyDescent="0.3">
      <c r="A296">
        <v>295</v>
      </c>
      <c r="B296">
        <v>3</v>
      </c>
      <c r="C296">
        <v>3</v>
      </c>
      <c r="D296" t="s">
        <v>168</v>
      </c>
      <c r="E296" t="s">
        <v>552</v>
      </c>
      <c r="F296">
        <v>3</v>
      </c>
      <c r="G296">
        <v>5</v>
      </c>
      <c r="H296">
        <v>3</v>
      </c>
      <c r="I296">
        <v>5</v>
      </c>
      <c r="J296">
        <v>12</v>
      </c>
      <c r="K296">
        <v>2.7389999999999999</v>
      </c>
      <c r="L296">
        <v>37</v>
      </c>
      <c r="M296">
        <v>21.91</v>
      </c>
      <c r="N296" t="s">
        <v>20</v>
      </c>
      <c r="O296" t="s">
        <v>107</v>
      </c>
      <c r="P296">
        <v>0</v>
      </c>
      <c r="Q296">
        <v>0</v>
      </c>
      <c r="R296">
        <v>0</v>
      </c>
    </row>
    <row r="297" spans="1:18" x14ac:dyDescent="0.3">
      <c r="A297">
        <v>296</v>
      </c>
      <c r="B297">
        <v>1</v>
      </c>
      <c r="C297">
        <v>3</v>
      </c>
      <c r="D297" t="s">
        <v>170</v>
      </c>
      <c r="E297" t="s">
        <v>553</v>
      </c>
      <c r="F297">
        <v>4</v>
      </c>
      <c r="G297">
        <v>5</v>
      </c>
      <c r="H297">
        <v>4</v>
      </c>
      <c r="I297">
        <v>5</v>
      </c>
      <c r="J297">
        <v>14</v>
      </c>
      <c r="K297">
        <v>1.69</v>
      </c>
      <c r="L297">
        <v>33</v>
      </c>
      <c r="M297">
        <v>35.5</v>
      </c>
      <c r="N297" t="s">
        <v>130</v>
      </c>
      <c r="O297" t="s">
        <v>107</v>
      </c>
      <c r="P297">
        <v>1</v>
      </c>
      <c r="Q297">
        <v>0.33300000000000002</v>
      </c>
      <c r="R297">
        <v>0.5</v>
      </c>
    </row>
    <row r="298" spans="1:18" x14ac:dyDescent="0.3">
      <c r="A298">
        <v>297</v>
      </c>
      <c r="B298">
        <v>2</v>
      </c>
      <c r="C298">
        <v>3</v>
      </c>
      <c r="D298" t="s">
        <v>172</v>
      </c>
      <c r="E298" t="s">
        <v>554</v>
      </c>
      <c r="F298">
        <v>4</v>
      </c>
      <c r="G298">
        <v>5</v>
      </c>
      <c r="H298">
        <v>4</v>
      </c>
      <c r="I298">
        <v>5</v>
      </c>
      <c r="J298">
        <v>14</v>
      </c>
      <c r="K298">
        <v>1.6659999999999999</v>
      </c>
      <c r="L298">
        <v>46</v>
      </c>
      <c r="M298">
        <v>36.020000000000003</v>
      </c>
      <c r="N298" t="s">
        <v>20</v>
      </c>
      <c r="O298" t="s">
        <v>107</v>
      </c>
      <c r="P298">
        <v>0</v>
      </c>
      <c r="Q298">
        <v>0</v>
      </c>
      <c r="R298">
        <v>0</v>
      </c>
    </row>
    <row r="299" spans="1:18" x14ac:dyDescent="0.3">
      <c r="A299">
        <v>298</v>
      </c>
      <c r="B299">
        <v>3</v>
      </c>
      <c r="C299">
        <v>3</v>
      </c>
      <c r="D299" t="s">
        <v>174</v>
      </c>
      <c r="E299" t="s">
        <v>555</v>
      </c>
      <c r="F299">
        <v>5</v>
      </c>
      <c r="G299">
        <v>5</v>
      </c>
      <c r="H299">
        <v>5</v>
      </c>
      <c r="I299">
        <v>5</v>
      </c>
      <c r="J299">
        <v>10</v>
      </c>
      <c r="K299">
        <v>3.4</v>
      </c>
      <c r="L299">
        <v>57</v>
      </c>
      <c r="M299">
        <v>17.649999999999999</v>
      </c>
      <c r="N299" t="s">
        <v>20</v>
      </c>
      <c r="O299" t="s">
        <v>107</v>
      </c>
      <c r="P299">
        <v>0</v>
      </c>
      <c r="Q299">
        <v>0</v>
      </c>
      <c r="R299">
        <v>0</v>
      </c>
    </row>
    <row r="300" spans="1:18" x14ac:dyDescent="0.3">
      <c r="A300">
        <v>299</v>
      </c>
      <c r="B300">
        <v>1</v>
      </c>
      <c r="C300">
        <v>3</v>
      </c>
      <c r="D300" t="s">
        <v>176</v>
      </c>
      <c r="E300" t="s">
        <v>556</v>
      </c>
      <c r="F300">
        <v>4</v>
      </c>
      <c r="G300">
        <v>5</v>
      </c>
      <c r="H300">
        <v>5</v>
      </c>
      <c r="I300">
        <v>5</v>
      </c>
      <c r="J300">
        <v>14</v>
      </c>
      <c r="K300">
        <v>3.5270000000000001</v>
      </c>
      <c r="L300">
        <v>63</v>
      </c>
      <c r="M300">
        <v>17.010000000000002</v>
      </c>
      <c r="N300" t="s">
        <v>20</v>
      </c>
      <c r="O300" t="s">
        <v>107</v>
      </c>
      <c r="P300">
        <v>0</v>
      </c>
      <c r="Q300">
        <v>0</v>
      </c>
      <c r="R300">
        <v>0</v>
      </c>
    </row>
    <row r="301" spans="1:18" x14ac:dyDescent="0.3">
      <c r="A301">
        <v>300</v>
      </c>
      <c r="B301">
        <v>2</v>
      </c>
      <c r="C301">
        <v>3</v>
      </c>
      <c r="D301" t="s">
        <v>177</v>
      </c>
      <c r="E301" t="s">
        <v>557</v>
      </c>
      <c r="F301">
        <v>5</v>
      </c>
      <c r="G301">
        <v>5</v>
      </c>
      <c r="H301">
        <v>5</v>
      </c>
      <c r="I301">
        <v>5</v>
      </c>
      <c r="J301">
        <v>14</v>
      </c>
      <c r="K301">
        <v>3.2269999999999999</v>
      </c>
      <c r="L301">
        <v>24</v>
      </c>
      <c r="M301">
        <v>18.59</v>
      </c>
      <c r="N301" t="s">
        <v>130</v>
      </c>
      <c r="O301" t="s">
        <v>107</v>
      </c>
      <c r="P301">
        <v>1</v>
      </c>
      <c r="Q301">
        <v>0.33300000000000002</v>
      </c>
      <c r="R301">
        <v>0.5</v>
      </c>
    </row>
    <row r="302" spans="1:18" x14ac:dyDescent="0.3">
      <c r="A302">
        <v>301</v>
      </c>
      <c r="B302">
        <v>3</v>
      </c>
      <c r="C302">
        <v>3</v>
      </c>
      <c r="D302" t="s">
        <v>179</v>
      </c>
      <c r="E302" t="s">
        <v>558</v>
      </c>
      <c r="F302">
        <v>5</v>
      </c>
      <c r="G302">
        <v>5</v>
      </c>
      <c r="H302">
        <v>5</v>
      </c>
      <c r="I302">
        <v>5</v>
      </c>
      <c r="J302">
        <v>15</v>
      </c>
      <c r="K302">
        <v>1.6539999999999999</v>
      </c>
      <c r="L302">
        <v>24</v>
      </c>
      <c r="M302">
        <v>36.270000000000003</v>
      </c>
      <c r="N302" t="s">
        <v>130</v>
      </c>
      <c r="P302">
        <v>1</v>
      </c>
      <c r="Q302">
        <v>0</v>
      </c>
      <c r="R302">
        <v>0</v>
      </c>
    </row>
    <row r="303" spans="1:18" x14ac:dyDescent="0.3">
      <c r="A303">
        <v>302</v>
      </c>
      <c r="B303">
        <v>1</v>
      </c>
      <c r="C303">
        <v>3</v>
      </c>
      <c r="D303" t="s">
        <v>181</v>
      </c>
      <c r="E303" t="s">
        <v>559</v>
      </c>
      <c r="F303">
        <v>5</v>
      </c>
      <c r="G303">
        <v>5</v>
      </c>
      <c r="H303">
        <v>5</v>
      </c>
      <c r="I303">
        <v>5</v>
      </c>
      <c r="J303">
        <v>14</v>
      </c>
      <c r="K303">
        <v>2.61</v>
      </c>
      <c r="L303">
        <v>75</v>
      </c>
      <c r="M303">
        <v>22.99</v>
      </c>
      <c r="O303" t="s">
        <v>116</v>
      </c>
      <c r="P303">
        <v>0</v>
      </c>
      <c r="Q303">
        <v>1</v>
      </c>
      <c r="R303">
        <v>0</v>
      </c>
    </row>
    <row r="304" spans="1:18" x14ac:dyDescent="0.3">
      <c r="A304">
        <v>303</v>
      </c>
      <c r="B304">
        <v>1</v>
      </c>
      <c r="C304">
        <v>4</v>
      </c>
      <c r="D304" t="s">
        <v>183</v>
      </c>
      <c r="E304" t="s">
        <v>560</v>
      </c>
      <c r="F304">
        <v>3</v>
      </c>
      <c r="G304">
        <v>2</v>
      </c>
      <c r="H304">
        <v>2</v>
      </c>
      <c r="I304">
        <v>5</v>
      </c>
      <c r="J304">
        <v>14</v>
      </c>
      <c r="K304">
        <v>1.792</v>
      </c>
      <c r="L304">
        <v>35</v>
      </c>
      <c r="M304">
        <v>33.479999999999997</v>
      </c>
      <c r="N304" t="s">
        <v>33</v>
      </c>
      <c r="O304" t="s">
        <v>107</v>
      </c>
      <c r="P304">
        <v>0</v>
      </c>
      <c r="Q304">
        <v>0</v>
      </c>
      <c r="R304">
        <v>0</v>
      </c>
    </row>
    <row r="305" spans="1:18" x14ac:dyDescent="0.3">
      <c r="A305">
        <v>304</v>
      </c>
      <c r="B305">
        <v>2</v>
      </c>
      <c r="C305">
        <v>4</v>
      </c>
      <c r="D305" t="s">
        <v>185</v>
      </c>
      <c r="E305" t="s">
        <v>561</v>
      </c>
      <c r="F305">
        <v>4</v>
      </c>
      <c r="G305">
        <v>4</v>
      </c>
      <c r="H305">
        <v>3</v>
      </c>
      <c r="I305">
        <v>5</v>
      </c>
      <c r="J305">
        <v>14</v>
      </c>
      <c r="K305">
        <v>1.804</v>
      </c>
      <c r="L305">
        <v>39</v>
      </c>
      <c r="M305">
        <v>33.26</v>
      </c>
      <c r="N305" t="s">
        <v>33</v>
      </c>
      <c r="O305" t="s">
        <v>107</v>
      </c>
      <c r="P305">
        <v>0</v>
      </c>
      <c r="Q305">
        <v>0</v>
      </c>
      <c r="R305">
        <v>0</v>
      </c>
    </row>
    <row r="306" spans="1:18" x14ac:dyDescent="0.3">
      <c r="A306">
        <v>305</v>
      </c>
      <c r="B306">
        <v>3</v>
      </c>
      <c r="C306">
        <v>4</v>
      </c>
      <c r="D306" t="s">
        <v>187</v>
      </c>
      <c r="E306" t="s">
        <v>562</v>
      </c>
      <c r="F306">
        <v>4</v>
      </c>
      <c r="G306">
        <v>5</v>
      </c>
      <c r="H306">
        <v>4</v>
      </c>
      <c r="I306">
        <v>5</v>
      </c>
      <c r="J306">
        <v>12</v>
      </c>
      <c r="K306">
        <v>2.3180000000000001</v>
      </c>
      <c r="L306">
        <v>63</v>
      </c>
      <c r="M306">
        <v>25.88</v>
      </c>
      <c r="N306" t="s">
        <v>33</v>
      </c>
      <c r="O306" t="s">
        <v>191</v>
      </c>
      <c r="P306">
        <v>0</v>
      </c>
      <c r="Q306">
        <v>0</v>
      </c>
      <c r="R306">
        <v>0</v>
      </c>
    </row>
    <row r="307" spans="1:18" x14ac:dyDescent="0.3">
      <c r="A307">
        <v>306</v>
      </c>
      <c r="B307">
        <v>1</v>
      </c>
      <c r="C307">
        <v>4</v>
      </c>
      <c r="D307" t="s">
        <v>189</v>
      </c>
      <c r="E307" t="s">
        <v>563</v>
      </c>
      <c r="F307">
        <v>4</v>
      </c>
      <c r="G307">
        <v>5</v>
      </c>
      <c r="H307">
        <v>5</v>
      </c>
      <c r="I307">
        <v>5</v>
      </c>
      <c r="J307">
        <v>13</v>
      </c>
      <c r="K307">
        <v>1.7969999999999999</v>
      </c>
      <c r="L307">
        <v>49</v>
      </c>
      <c r="M307">
        <v>33.39</v>
      </c>
      <c r="N307" t="s">
        <v>33</v>
      </c>
      <c r="O307" t="s">
        <v>226</v>
      </c>
      <c r="P307">
        <v>0.5</v>
      </c>
      <c r="Q307">
        <v>1</v>
      </c>
      <c r="R307">
        <v>0.66700000000000004</v>
      </c>
    </row>
    <row r="308" spans="1:18" x14ac:dyDescent="0.3">
      <c r="A308">
        <v>307</v>
      </c>
      <c r="B308">
        <v>2</v>
      </c>
      <c r="C308">
        <v>4</v>
      </c>
      <c r="D308" t="s">
        <v>192</v>
      </c>
      <c r="E308" t="s">
        <v>564</v>
      </c>
      <c r="F308">
        <v>5</v>
      </c>
      <c r="G308">
        <v>5</v>
      </c>
      <c r="H308">
        <v>4</v>
      </c>
      <c r="I308">
        <v>5</v>
      </c>
      <c r="J308">
        <v>13</v>
      </c>
      <c r="K308">
        <v>1.659</v>
      </c>
      <c r="L308">
        <v>32</v>
      </c>
      <c r="M308">
        <v>36.159999999999997</v>
      </c>
      <c r="O308" t="s">
        <v>226</v>
      </c>
      <c r="P308">
        <v>0</v>
      </c>
      <c r="Q308">
        <v>1</v>
      </c>
      <c r="R308">
        <v>0</v>
      </c>
    </row>
    <row r="309" spans="1:18" x14ac:dyDescent="0.3">
      <c r="A309">
        <v>308</v>
      </c>
      <c r="B309">
        <v>3</v>
      </c>
      <c r="C309">
        <v>4</v>
      </c>
      <c r="D309" t="s">
        <v>565</v>
      </c>
      <c r="E309" t="s">
        <v>566</v>
      </c>
      <c r="F309">
        <v>5</v>
      </c>
      <c r="G309">
        <v>5</v>
      </c>
      <c r="H309">
        <v>4</v>
      </c>
      <c r="I309">
        <v>5</v>
      </c>
      <c r="J309">
        <v>13</v>
      </c>
      <c r="K309">
        <v>1.722</v>
      </c>
      <c r="L309">
        <v>44</v>
      </c>
      <c r="M309">
        <v>34.840000000000003</v>
      </c>
      <c r="O309" t="s">
        <v>107</v>
      </c>
      <c r="P309">
        <v>0</v>
      </c>
      <c r="Q309">
        <v>1</v>
      </c>
      <c r="R309">
        <v>0</v>
      </c>
    </row>
    <row r="310" spans="1:18" x14ac:dyDescent="0.3">
      <c r="A310">
        <v>309</v>
      </c>
      <c r="B310">
        <v>1</v>
      </c>
      <c r="C310">
        <v>4</v>
      </c>
      <c r="D310" t="s">
        <v>196</v>
      </c>
      <c r="E310" t="s">
        <v>567</v>
      </c>
      <c r="F310">
        <v>4</v>
      </c>
      <c r="G310">
        <v>5</v>
      </c>
      <c r="H310">
        <v>4</v>
      </c>
      <c r="I310">
        <v>5</v>
      </c>
      <c r="J310">
        <v>15</v>
      </c>
      <c r="K310">
        <v>2.0790000000000002</v>
      </c>
      <c r="L310">
        <v>26</v>
      </c>
      <c r="M310">
        <v>28.86</v>
      </c>
      <c r="N310" t="s">
        <v>33</v>
      </c>
      <c r="O310" t="s">
        <v>226</v>
      </c>
      <c r="P310">
        <v>0.5</v>
      </c>
      <c r="Q310">
        <v>1</v>
      </c>
      <c r="R310">
        <v>0.66700000000000004</v>
      </c>
    </row>
    <row r="311" spans="1:18" x14ac:dyDescent="0.3">
      <c r="A311">
        <v>310</v>
      </c>
      <c r="B311">
        <v>2</v>
      </c>
      <c r="C311">
        <v>4</v>
      </c>
      <c r="D311" t="s">
        <v>88</v>
      </c>
      <c r="E311" t="s">
        <v>568</v>
      </c>
      <c r="F311">
        <v>3</v>
      </c>
      <c r="G311">
        <v>5</v>
      </c>
      <c r="H311">
        <v>3</v>
      </c>
      <c r="I311">
        <v>5</v>
      </c>
      <c r="J311">
        <v>13</v>
      </c>
      <c r="K311">
        <v>2.2629999999999999</v>
      </c>
      <c r="L311">
        <v>41</v>
      </c>
      <c r="M311">
        <v>26.51</v>
      </c>
      <c r="O311" t="s">
        <v>107</v>
      </c>
      <c r="P311">
        <v>0</v>
      </c>
      <c r="Q311">
        <v>1</v>
      </c>
      <c r="R311">
        <v>0</v>
      </c>
    </row>
    <row r="312" spans="1:18" x14ac:dyDescent="0.3">
      <c r="A312">
        <v>311</v>
      </c>
      <c r="B312">
        <v>3</v>
      </c>
      <c r="C312">
        <v>4</v>
      </c>
      <c r="D312" t="s">
        <v>199</v>
      </c>
      <c r="E312" t="s">
        <v>569</v>
      </c>
      <c r="F312">
        <v>4</v>
      </c>
      <c r="G312">
        <v>5</v>
      </c>
      <c r="H312">
        <v>4</v>
      </c>
      <c r="I312">
        <v>5</v>
      </c>
      <c r="J312">
        <v>14</v>
      </c>
      <c r="K312">
        <v>1.421</v>
      </c>
      <c r="L312">
        <v>22</v>
      </c>
      <c r="M312">
        <v>42.22</v>
      </c>
      <c r="N312" t="s">
        <v>33</v>
      </c>
      <c r="O312" t="s">
        <v>107</v>
      </c>
      <c r="P312">
        <v>0</v>
      </c>
      <c r="Q312">
        <v>0</v>
      </c>
      <c r="R312">
        <v>0</v>
      </c>
    </row>
    <row r="313" spans="1:18" x14ac:dyDescent="0.3">
      <c r="A313">
        <v>312</v>
      </c>
      <c r="B313">
        <v>1</v>
      </c>
      <c r="C313">
        <v>4</v>
      </c>
      <c r="D313" t="s">
        <v>200</v>
      </c>
      <c r="E313" t="s">
        <v>570</v>
      </c>
      <c r="F313">
        <v>4</v>
      </c>
      <c r="G313">
        <v>5</v>
      </c>
      <c r="H313">
        <v>4</v>
      </c>
      <c r="I313">
        <v>5</v>
      </c>
      <c r="J313">
        <v>15</v>
      </c>
      <c r="K313">
        <v>3.6379999999999999</v>
      </c>
      <c r="L313">
        <v>61</v>
      </c>
      <c r="M313">
        <v>16.489999999999998</v>
      </c>
      <c r="N313" t="s">
        <v>202</v>
      </c>
      <c r="O313" t="s">
        <v>191</v>
      </c>
      <c r="P313">
        <v>0.5</v>
      </c>
      <c r="Q313">
        <v>1</v>
      </c>
      <c r="R313">
        <v>0.66700000000000004</v>
      </c>
    </row>
    <row r="314" spans="1:18" x14ac:dyDescent="0.3">
      <c r="A314">
        <v>313</v>
      </c>
      <c r="B314">
        <v>2</v>
      </c>
      <c r="C314">
        <v>4</v>
      </c>
      <c r="D314" t="s">
        <v>571</v>
      </c>
      <c r="E314" t="s">
        <v>572</v>
      </c>
      <c r="F314">
        <v>4</v>
      </c>
      <c r="G314">
        <v>5</v>
      </c>
      <c r="H314">
        <v>4</v>
      </c>
      <c r="I314">
        <v>5</v>
      </c>
      <c r="J314">
        <v>14</v>
      </c>
      <c r="K314">
        <v>1.921</v>
      </c>
      <c r="L314">
        <v>44</v>
      </c>
      <c r="M314">
        <v>31.24</v>
      </c>
      <c r="N314" t="s">
        <v>33</v>
      </c>
      <c r="O314" t="s">
        <v>107</v>
      </c>
      <c r="P314">
        <v>0</v>
      </c>
      <c r="Q314">
        <v>0</v>
      </c>
      <c r="R314">
        <v>0</v>
      </c>
    </row>
    <row r="315" spans="1:18" x14ac:dyDescent="0.3">
      <c r="A315">
        <v>314</v>
      </c>
      <c r="B315">
        <v>3</v>
      </c>
      <c r="C315">
        <v>4</v>
      </c>
      <c r="D315" t="s">
        <v>205</v>
      </c>
      <c r="E315" t="s">
        <v>573</v>
      </c>
      <c r="F315">
        <v>5</v>
      </c>
      <c r="G315">
        <v>5</v>
      </c>
      <c r="H315">
        <v>5</v>
      </c>
      <c r="I315">
        <v>5</v>
      </c>
      <c r="J315">
        <v>14</v>
      </c>
      <c r="K315">
        <v>3.0920000000000001</v>
      </c>
      <c r="L315">
        <v>39</v>
      </c>
      <c r="M315">
        <v>19.399999999999999</v>
      </c>
      <c r="N315" t="s">
        <v>33</v>
      </c>
      <c r="O315" t="s">
        <v>107</v>
      </c>
      <c r="P315">
        <v>0</v>
      </c>
      <c r="Q315">
        <v>0</v>
      </c>
      <c r="R315">
        <v>0</v>
      </c>
    </row>
    <row r="316" spans="1:18" x14ac:dyDescent="0.3">
      <c r="A316">
        <v>315</v>
      </c>
      <c r="B316">
        <v>1</v>
      </c>
      <c r="C316">
        <v>4</v>
      </c>
      <c r="D316" t="s">
        <v>207</v>
      </c>
      <c r="E316" t="s">
        <v>574</v>
      </c>
      <c r="F316">
        <v>4</v>
      </c>
      <c r="G316">
        <v>5</v>
      </c>
      <c r="H316">
        <v>4</v>
      </c>
      <c r="I316">
        <v>5</v>
      </c>
      <c r="J316">
        <v>14</v>
      </c>
      <c r="K316">
        <v>2.1389999999999998</v>
      </c>
      <c r="L316">
        <v>45</v>
      </c>
      <c r="M316">
        <v>28.05</v>
      </c>
      <c r="N316" t="s">
        <v>33</v>
      </c>
      <c r="O316" t="s">
        <v>191</v>
      </c>
      <c r="P316">
        <v>0</v>
      </c>
      <c r="Q316">
        <v>0</v>
      </c>
      <c r="R316">
        <v>0</v>
      </c>
    </row>
    <row r="317" spans="1:18" x14ac:dyDescent="0.3">
      <c r="A317">
        <v>316</v>
      </c>
      <c r="B317">
        <v>2</v>
      </c>
      <c r="C317">
        <v>4</v>
      </c>
      <c r="D317" t="s">
        <v>209</v>
      </c>
      <c r="E317" t="s">
        <v>575</v>
      </c>
      <c r="F317">
        <v>3</v>
      </c>
      <c r="G317">
        <v>5</v>
      </c>
      <c r="H317">
        <v>3</v>
      </c>
      <c r="I317">
        <v>5</v>
      </c>
      <c r="J317">
        <v>14</v>
      </c>
      <c r="K317">
        <v>2.0499999999999998</v>
      </c>
      <c r="L317">
        <v>54</v>
      </c>
      <c r="M317">
        <v>29.27</v>
      </c>
      <c r="O317" t="s">
        <v>191</v>
      </c>
      <c r="P317">
        <v>0</v>
      </c>
      <c r="Q317">
        <v>1</v>
      </c>
      <c r="R317">
        <v>0</v>
      </c>
    </row>
    <row r="318" spans="1:18" x14ac:dyDescent="0.3">
      <c r="A318">
        <v>317</v>
      </c>
      <c r="B318">
        <v>3</v>
      </c>
      <c r="C318">
        <v>4</v>
      </c>
      <c r="D318" t="s">
        <v>211</v>
      </c>
      <c r="E318" t="s">
        <v>576</v>
      </c>
      <c r="F318">
        <v>5</v>
      </c>
      <c r="G318">
        <v>5</v>
      </c>
      <c r="H318">
        <v>2</v>
      </c>
      <c r="I318">
        <v>5</v>
      </c>
      <c r="J318">
        <v>12</v>
      </c>
      <c r="K318">
        <v>1.552</v>
      </c>
      <c r="L318">
        <v>28</v>
      </c>
      <c r="M318">
        <v>38.659999999999997</v>
      </c>
      <c r="N318" t="s">
        <v>202</v>
      </c>
      <c r="O318" t="s">
        <v>107</v>
      </c>
      <c r="P318">
        <v>0</v>
      </c>
      <c r="Q318">
        <v>0</v>
      </c>
      <c r="R318">
        <v>0</v>
      </c>
    </row>
    <row r="319" spans="1:18" x14ac:dyDescent="0.3">
      <c r="A319">
        <v>318</v>
      </c>
      <c r="B319">
        <v>1</v>
      </c>
      <c r="C319">
        <v>4</v>
      </c>
      <c r="D319" t="s">
        <v>213</v>
      </c>
      <c r="E319" t="s">
        <v>577</v>
      </c>
      <c r="F319">
        <v>5</v>
      </c>
      <c r="G319">
        <v>5</v>
      </c>
      <c r="H319">
        <v>4</v>
      </c>
      <c r="I319">
        <v>5</v>
      </c>
      <c r="J319">
        <v>13</v>
      </c>
      <c r="K319">
        <v>1.905</v>
      </c>
      <c r="L319">
        <v>37</v>
      </c>
      <c r="M319">
        <v>31.49</v>
      </c>
      <c r="N319" t="s">
        <v>202</v>
      </c>
      <c r="O319" t="s">
        <v>107</v>
      </c>
      <c r="P319">
        <v>0</v>
      </c>
      <c r="Q319">
        <v>0</v>
      </c>
      <c r="R319">
        <v>0</v>
      </c>
    </row>
    <row r="320" spans="1:18" x14ac:dyDescent="0.3">
      <c r="A320">
        <v>319</v>
      </c>
      <c r="B320">
        <v>2</v>
      </c>
      <c r="C320">
        <v>4</v>
      </c>
      <c r="D320" t="s">
        <v>215</v>
      </c>
      <c r="E320" t="s">
        <v>578</v>
      </c>
      <c r="F320">
        <v>3</v>
      </c>
      <c r="G320">
        <v>5</v>
      </c>
      <c r="H320">
        <v>4</v>
      </c>
      <c r="I320">
        <v>5</v>
      </c>
      <c r="J320">
        <v>13</v>
      </c>
      <c r="K320">
        <v>3.323</v>
      </c>
      <c r="L320">
        <v>39</v>
      </c>
      <c r="M320">
        <v>18.05</v>
      </c>
      <c r="N320" t="s">
        <v>217</v>
      </c>
      <c r="O320" t="s">
        <v>107</v>
      </c>
      <c r="P320">
        <v>0</v>
      </c>
      <c r="Q320">
        <v>0</v>
      </c>
      <c r="R320">
        <v>0</v>
      </c>
    </row>
    <row r="321" spans="1:18" x14ac:dyDescent="0.3">
      <c r="A321">
        <v>320</v>
      </c>
      <c r="B321">
        <v>3</v>
      </c>
      <c r="C321">
        <v>4</v>
      </c>
      <c r="D321" t="s">
        <v>218</v>
      </c>
      <c r="E321" t="s">
        <v>579</v>
      </c>
      <c r="F321">
        <v>1</v>
      </c>
      <c r="G321">
        <v>0</v>
      </c>
      <c r="H321">
        <v>1</v>
      </c>
      <c r="I321">
        <v>1</v>
      </c>
      <c r="J321">
        <v>14</v>
      </c>
      <c r="K321">
        <v>2.1890000000000001</v>
      </c>
      <c r="L321">
        <v>48</v>
      </c>
      <c r="M321">
        <v>27.41</v>
      </c>
      <c r="N321" t="s">
        <v>217</v>
      </c>
      <c r="O321" t="s">
        <v>202</v>
      </c>
      <c r="P321">
        <v>1</v>
      </c>
      <c r="Q321">
        <v>0.5</v>
      </c>
      <c r="R321">
        <v>0.66700000000000004</v>
      </c>
    </row>
    <row r="322" spans="1:18" x14ac:dyDescent="0.3">
      <c r="A322">
        <v>321</v>
      </c>
      <c r="B322">
        <v>1</v>
      </c>
      <c r="C322">
        <v>4</v>
      </c>
      <c r="D322" t="s">
        <v>220</v>
      </c>
      <c r="E322" t="s">
        <v>580</v>
      </c>
      <c r="F322">
        <v>2</v>
      </c>
      <c r="G322">
        <v>2</v>
      </c>
      <c r="H322">
        <v>2</v>
      </c>
      <c r="I322">
        <v>1</v>
      </c>
      <c r="J322">
        <v>15</v>
      </c>
      <c r="K322">
        <v>1.657</v>
      </c>
      <c r="L322">
        <v>57</v>
      </c>
      <c r="M322">
        <v>36.22</v>
      </c>
      <c r="N322" t="s">
        <v>202</v>
      </c>
      <c r="O322" t="s">
        <v>237</v>
      </c>
      <c r="P322">
        <v>0.33300000000000002</v>
      </c>
      <c r="Q322">
        <v>1</v>
      </c>
      <c r="R322">
        <v>0.5</v>
      </c>
    </row>
    <row r="323" spans="1:18" x14ac:dyDescent="0.3">
      <c r="A323">
        <v>322</v>
      </c>
      <c r="B323">
        <v>2</v>
      </c>
      <c r="C323">
        <v>4</v>
      </c>
      <c r="D323" t="s">
        <v>222</v>
      </c>
      <c r="E323" t="s">
        <v>581</v>
      </c>
      <c r="F323">
        <v>2</v>
      </c>
      <c r="G323">
        <v>0</v>
      </c>
      <c r="H323">
        <v>2</v>
      </c>
      <c r="I323">
        <v>1</v>
      </c>
      <c r="J323">
        <v>14</v>
      </c>
      <c r="K323">
        <v>1.3240000000000001</v>
      </c>
      <c r="L323">
        <v>18</v>
      </c>
      <c r="M323">
        <v>45.31</v>
      </c>
      <c r="O323" t="s">
        <v>33</v>
      </c>
      <c r="P323">
        <v>0</v>
      </c>
      <c r="Q323">
        <v>1</v>
      </c>
      <c r="R323">
        <v>0</v>
      </c>
    </row>
    <row r="324" spans="1:18" x14ac:dyDescent="0.3">
      <c r="A324">
        <v>323</v>
      </c>
      <c r="B324">
        <v>3</v>
      </c>
      <c r="C324">
        <v>4</v>
      </c>
      <c r="D324" t="s">
        <v>224</v>
      </c>
      <c r="E324" t="s">
        <v>582</v>
      </c>
      <c r="F324">
        <v>4</v>
      </c>
      <c r="G324">
        <v>5</v>
      </c>
      <c r="H324">
        <v>4</v>
      </c>
      <c r="I324">
        <v>5</v>
      </c>
      <c r="J324">
        <v>12</v>
      </c>
      <c r="K324">
        <v>1.9690000000000001</v>
      </c>
      <c r="L324">
        <v>45</v>
      </c>
      <c r="M324">
        <v>30.47</v>
      </c>
      <c r="N324" t="s">
        <v>217</v>
      </c>
      <c r="O324" t="s">
        <v>107</v>
      </c>
      <c r="P324">
        <v>0</v>
      </c>
      <c r="Q324">
        <v>0</v>
      </c>
      <c r="R324">
        <v>0</v>
      </c>
    </row>
    <row r="325" spans="1:18" x14ac:dyDescent="0.3">
      <c r="A325">
        <v>324</v>
      </c>
      <c r="B325">
        <v>1</v>
      </c>
      <c r="C325">
        <v>4</v>
      </c>
      <c r="D325" t="s">
        <v>583</v>
      </c>
      <c r="E325" t="s">
        <v>584</v>
      </c>
      <c r="F325">
        <v>4</v>
      </c>
      <c r="G325">
        <v>5</v>
      </c>
      <c r="H325">
        <v>4</v>
      </c>
      <c r="I325">
        <v>5</v>
      </c>
      <c r="J325">
        <v>14</v>
      </c>
      <c r="K325">
        <v>1.65</v>
      </c>
      <c r="L325">
        <v>49</v>
      </c>
      <c r="M325">
        <v>36.369999999999997</v>
      </c>
      <c r="N325" t="s">
        <v>202</v>
      </c>
      <c r="O325" t="s">
        <v>226</v>
      </c>
      <c r="P325">
        <v>0</v>
      </c>
      <c r="Q325">
        <v>0</v>
      </c>
      <c r="R325">
        <v>0</v>
      </c>
    </row>
    <row r="326" spans="1:18" x14ac:dyDescent="0.3">
      <c r="A326">
        <v>325</v>
      </c>
      <c r="B326">
        <v>2</v>
      </c>
      <c r="C326">
        <v>4</v>
      </c>
      <c r="D326" t="s">
        <v>585</v>
      </c>
      <c r="E326" t="s">
        <v>586</v>
      </c>
      <c r="F326">
        <v>1</v>
      </c>
      <c r="G326">
        <v>0</v>
      </c>
      <c r="H326">
        <v>2</v>
      </c>
      <c r="I326">
        <v>1</v>
      </c>
      <c r="J326">
        <v>15</v>
      </c>
      <c r="K326">
        <v>2.972</v>
      </c>
      <c r="L326">
        <v>37</v>
      </c>
      <c r="M326">
        <v>20.190000000000001</v>
      </c>
      <c r="N326" t="s">
        <v>202</v>
      </c>
      <c r="O326" t="s">
        <v>226</v>
      </c>
      <c r="P326">
        <v>0</v>
      </c>
      <c r="Q326">
        <v>0</v>
      </c>
      <c r="R326">
        <v>0</v>
      </c>
    </row>
    <row r="327" spans="1:18" x14ac:dyDescent="0.3">
      <c r="A327">
        <v>326</v>
      </c>
      <c r="B327">
        <v>3</v>
      </c>
      <c r="C327">
        <v>4</v>
      </c>
      <c r="D327" t="s">
        <v>231</v>
      </c>
      <c r="E327" t="s">
        <v>587</v>
      </c>
      <c r="F327">
        <v>4</v>
      </c>
      <c r="G327">
        <v>5</v>
      </c>
      <c r="H327">
        <v>4</v>
      </c>
      <c r="I327">
        <v>5</v>
      </c>
      <c r="J327">
        <v>10</v>
      </c>
      <c r="K327">
        <v>3.0920000000000001</v>
      </c>
      <c r="L327">
        <v>48</v>
      </c>
      <c r="M327">
        <v>19.41</v>
      </c>
      <c r="N327" t="s">
        <v>217</v>
      </c>
      <c r="O327" t="s">
        <v>226</v>
      </c>
      <c r="P327">
        <v>0.5</v>
      </c>
      <c r="Q327">
        <v>0.5</v>
      </c>
      <c r="R327">
        <v>0.5</v>
      </c>
    </row>
    <row r="328" spans="1:18" x14ac:dyDescent="0.3">
      <c r="A328">
        <v>327</v>
      </c>
      <c r="B328">
        <v>1</v>
      </c>
      <c r="C328">
        <v>4</v>
      </c>
      <c r="D328" t="s">
        <v>233</v>
      </c>
      <c r="E328" t="s">
        <v>588</v>
      </c>
      <c r="F328">
        <v>3</v>
      </c>
      <c r="G328">
        <v>5</v>
      </c>
      <c r="H328">
        <v>3</v>
      </c>
      <c r="I328">
        <v>5</v>
      </c>
      <c r="J328">
        <v>13</v>
      </c>
      <c r="K328">
        <v>1.2769999999999999</v>
      </c>
      <c r="L328">
        <v>23</v>
      </c>
      <c r="M328">
        <v>46.97</v>
      </c>
      <c r="N328" t="s">
        <v>217</v>
      </c>
      <c r="P328">
        <v>1</v>
      </c>
      <c r="Q328">
        <v>0</v>
      </c>
      <c r="R328">
        <v>0</v>
      </c>
    </row>
    <row r="329" spans="1:18" x14ac:dyDescent="0.3">
      <c r="A329">
        <v>328</v>
      </c>
      <c r="B329">
        <v>2</v>
      </c>
      <c r="C329">
        <v>4</v>
      </c>
      <c r="D329" t="s">
        <v>235</v>
      </c>
      <c r="E329" t="s">
        <v>589</v>
      </c>
      <c r="F329">
        <v>4</v>
      </c>
      <c r="G329">
        <v>5</v>
      </c>
      <c r="H329">
        <v>4</v>
      </c>
      <c r="I329">
        <v>5</v>
      </c>
      <c r="J329">
        <v>15</v>
      </c>
      <c r="K329">
        <v>1.875</v>
      </c>
      <c r="L329">
        <v>39</v>
      </c>
      <c r="M329">
        <v>32</v>
      </c>
      <c r="N329" t="s">
        <v>202</v>
      </c>
      <c r="O329" t="s">
        <v>107</v>
      </c>
      <c r="P329">
        <v>0</v>
      </c>
      <c r="Q329">
        <v>0</v>
      </c>
      <c r="R329">
        <v>0</v>
      </c>
    </row>
    <row r="330" spans="1:18" x14ac:dyDescent="0.3">
      <c r="A330">
        <v>329</v>
      </c>
      <c r="B330">
        <v>3</v>
      </c>
      <c r="C330">
        <v>4</v>
      </c>
      <c r="D330" t="s">
        <v>238</v>
      </c>
      <c r="E330" t="s">
        <v>590</v>
      </c>
      <c r="F330">
        <v>3</v>
      </c>
      <c r="G330">
        <v>5</v>
      </c>
      <c r="H330">
        <v>5</v>
      </c>
      <c r="I330">
        <v>5</v>
      </c>
      <c r="J330">
        <v>12</v>
      </c>
      <c r="K330">
        <v>2.9670000000000001</v>
      </c>
      <c r="L330">
        <v>42</v>
      </c>
      <c r="M330">
        <v>20.22</v>
      </c>
      <c r="N330" t="s">
        <v>202</v>
      </c>
      <c r="O330" t="s">
        <v>107</v>
      </c>
      <c r="P330">
        <v>0</v>
      </c>
      <c r="Q330">
        <v>0</v>
      </c>
      <c r="R330">
        <v>0</v>
      </c>
    </row>
    <row r="331" spans="1:18" x14ac:dyDescent="0.3">
      <c r="A331">
        <v>330</v>
      </c>
      <c r="B331">
        <v>1</v>
      </c>
      <c r="C331">
        <v>4</v>
      </c>
      <c r="D331" t="s">
        <v>240</v>
      </c>
      <c r="E331" t="s">
        <v>591</v>
      </c>
      <c r="F331">
        <v>4</v>
      </c>
      <c r="G331">
        <v>5</v>
      </c>
      <c r="H331">
        <v>4</v>
      </c>
      <c r="I331">
        <v>5</v>
      </c>
      <c r="J331">
        <v>11</v>
      </c>
      <c r="K331">
        <v>3.298</v>
      </c>
      <c r="L331">
        <v>50</v>
      </c>
      <c r="M331">
        <v>18.190000000000001</v>
      </c>
      <c r="N331" t="s">
        <v>217</v>
      </c>
      <c r="O331" t="s">
        <v>107</v>
      </c>
      <c r="P331">
        <v>0</v>
      </c>
      <c r="Q331">
        <v>0</v>
      </c>
      <c r="R331">
        <v>0</v>
      </c>
    </row>
    <row r="332" spans="1:18" x14ac:dyDescent="0.3">
      <c r="A332">
        <v>331</v>
      </c>
      <c r="B332">
        <v>2</v>
      </c>
      <c r="C332">
        <v>4</v>
      </c>
      <c r="D332" t="s">
        <v>592</v>
      </c>
      <c r="E332" t="s">
        <v>593</v>
      </c>
      <c r="F332">
        <v>4</v>
      </c>
      <c r="G332">
        <v>5</v>
      </c>
      <c r="H332">
        <v>4</v>
      </c>
      <c r="I332">
        <v>5</v>
      </c>
      <c r="J332">
        <v>14</v>
      </c>
      <c r="K332">
        <v>1.5660000000000001</v>
      </c>
      <c r="L332">
        <v>50</v>
      </c>
      <c r="M332">
        <v>38.32</v>
      </c>
      <c r="N332" t="s">
        <v>202</v>
      </c>
      <c r="O332" t="s">
        <v>107</v>
      </c>
      <c r="P332">
        <v>0</v>
      </c>
      <c r="Q332">
        <v>0</v>
      </c>
      <c r="R332">
        <v>0</v>
      </c>
    </row>
    <row r="333" spans="1:18" x14ac:dyDescent="0.3">
      <c r="A333">
        <v>332</v>
      </c>
      <c r="B333">
        <v>3</v>
      </c>
      <c r="C333">
        <v>4</v>
      </c>
      <c r="D333" t="s">
        <v>244</v>
      </c>
      <c r="E333" t="s">
        <v>594</v>
      </c>
      <c r="F333">
        <v>2</v>
      </c>
      <c r="G333">
        <v>0</v>
      </c>
      <c r="H333">
        <v>2</v>
      </c>
      <c r="I333">
        <v>1</v>
      </c>
      <c r="J333">
        <v>15</v>
      </c>
      <c r="K333">
        <v>3.9129999999999998</v>
      </c>
      <c r="L333">
        <v>50</v>
      </c>
      <c r="M333">
        <v>15.33</v>
      </c>
      <c r="N333" t="s">
        <v>217</v>
      </c>
      <c r="O333" t="s">
        <v>191</v>
      </c>
      <c r="P333">
        <v>0.5</v>
      </c>
      <c r="Q333">
        <v>0.5</v>
      </c>
      <c r="R333">
        <v>0.5</v>
      </c>
    </row>
    <row r="334" spans="1:18" x14ac:dyDescent="0.3">
      <c r="A334">
        <v>333</v>
      </c>
      <c r="B334">
        <v>1</v>
      </c>
      <c r="C334">
        <v>4</v>
      </c>
      <c r="D334" t="s">
        <v>246</v>
      </c>
      <c r="E334" t="s">
        <v>595</v>
      </c>
      <c r="F334">
        <v>2</v>
      </c>
      <c r="G334">
        <v>0</v>
      </c>
      <c r="H334">
        <v>2</v>
      </c>
      <c r="I334">
        <v>1</v>
      </c>
      <c r="J334">
        <v>15</v>
      </c>
      <c r="K334">
        <v>1.4650000000000001</v>
      </c>
      <c r="L334">
        <v>40</v>
      </c>
      <c r="M334">
        <v>40.96</v>
      </c>
      <c r="N334" t="s">
        <v>217</v>
      </c>
      <c r="O334" t="s">
        <v>226</v>
      </c>
      <c r="P334">
        <v>0.5</v>
      </c>
      <c r="Q334">
        <v>0.5</v>
      </c>
      <c r="R334">
        <v>0.5</v>
      </c>
    </row>
    <row r="335" spans="1:18" x14ac:dyDescent="0.3">
      <c r="A335">
        <v>334</v>
      </c>
      <c r="B335">
        <v>2</v>
      </c>
      <c r="C335">
        <v>4</v>
      </c>
      <c r="D335" t="s">
        <v>248</v>
      </c>
      <c r="E335" t="s">
        <v>596</v>
      </c>
      <c r="F335">
        <v>4</v>
      </c>
      <c r="G335">
        <v>5</v>
      </c>
      <c r="H335">
        <v>4</v>
      </c>
      <c r="I335">
        <v>5</v>
      </c>
      <c r="J335">
        <v>16</v>
      </c>
      <c r="K335">
        <v>1.8839999999999999</v>
      </c>
      <c r="L335">
        <v>35</v>
      </c>
      <c r="M335">
        <v>31.84</v>
      </c>
      <c r="N335" t="s">
        <v>202</v>
      </c>
      <c r="O335" t="s">
        <v>237</v>
      </c>
      <c r="P335">
        <v>0.33300000000000002</v>
      </c>
      <c r="Q335">
        <v>1</v>
      </c>
      <c r="R335">
        <v>0.5</v>
      </c>
    </row>
    <row r="336" spans="1:18" x14ac:dyDescent="0.3">
      <c r="A336">
        <v>335</v>
      </c>
      <c r="B336">
        <v>3</v>
      </c>
      <c r="C336">
        <v>4</v>
      </c>
      <c r="D336" t="s">
        <v>250</v>
      </c>
      <c r="E336" t="s">
        <v>597</v>
      </c>
      <c r="F336">
        <v>5</v>
      </c>
      <c r="G336">
        <v>5</v>
      </c>
      <c r="H336">
        <v>5</v>
      </c>
      <c r="I336">
        <v>5</v>
      </c>
      <c r="J336">
        <v>14</v>
      </c>
      <c r="K336">
        <v>1.4079999999999999</v>
      </c>
      <c r="L336">
        <v>23</v>
      </c>
      <c r="M336">
        <v>42.61</v>
      </c>
      <c r="O336" t="s">
        <v>107</v>
      </c>
      <c r="P336">
        <v>0</v>
      </c>
      <c r="Q336">
        <v>1</v>
      </c>
      <c r="R336">
        <v>0</v>
      </c>
    </row>
    <row r="337" spans="1:18" x14ac:dyDescent="0.3">
      <c r="A337">
        <v>336</v>
      </c>
      <c r="B337">
        <v>1</v>
      </c>
      <c r="C337">
        <v>4</v>
      </c>
      <c r="D337" t="s">
        <v>183</v>
      </c>
      <c r="E337" t="s">
        <v>598</v>
      </c>
      <c r="F337">
        <v>4</v>
      </c>
      <c r="G337">
        <v>5</v>
      </c>
      <c r="H337">
        <v>4</v>
      </c>
      <c r="I337">
        <v>5</v>
      </c>
      <c r="J337">
        <v>14</v>
      </c>
      <c r="K337">
        <v>1.2410000000000001</v>
      </c>
      <c r="L337">
        <v>31</v>
      </c>
      <c r="M337">
        <v>48.37</v>
      </c>
      <c r="N337" t="s">
        <v>33</v>
      </c>
      <c r="O337" t="s">
        <v>107</v>
      </c>
      <c r="P337">
        <v>0</v>
      </c>
      <c r="Q337">
        <v>0</v>
      </c>
      <c r="R337">
        <v>0</v>
      </c>
    </row>
    <row r="338" spans="1:18" x14ac:dyDescent="0.3">
      <c r="A338">
        <v>337</v>
      </c>
      <c r="B338">
        <v>2</v>
      </c>
      <c r="C338">
        <v>4</v>
      </c>
      <c r="D338" t="s">
        <v>185</v>
      </c>
      <c r="E338" t="s">
        <v>599</v>
      </c>
      <c r="F338">
        <v>4</v>
      </c>
      <c r="G338">
        <v>5</v>
      </c>
      <c r="H338">
        <v>5</v>
      </c>
      <c r="I338">
        <v>5</v>
      </c>
      <c r="J338">
        <v>15</v>
      </c>
      <c r="K338">
        <v>1.645</v>
      </c>
      <c r="L338">
        <v>52</v>
      </c>
      <c r="M338">
        <v>36.479999999999997</v>
      </c>
      <c r="N338" t="s">
        <v>33</v>
      </c>
      <c r="O338" t="s">
        <v>107</v>
      </c>
      <c r="P338">
        <v>0</v>
      </c>
      <c r="Q338">
        <v>0</v>
      </c>
      <c r="R338">
        <v>0</v>
      </c>
    </row>
    <row r="339" spans="1:18" x14ac:dyDescent="0.3">
      <c r="A339">
        <v>338</v>
      </c>
      <c r="B339">
        <v>3</v>
      </c>
      <c r="C339">
        <v>4</v>
      </c>
      <c r="D339" t="s">
        <v>187</v>
      </c>
      <c r="E339" t="s">
        <v>600</v>
      </c>
      <c r="F339">
        <v>3</v>
      </c>
      <c r="G339">
        <v>5</v>
      </c>
      <c r="H339">
        <v>3</v>
      </c>
      <c r="I339">
        <v>5</v>
      </c>
      <c r="J339">
        <v>12</v>
      </c>
      <c r="K339">
        <v>1.625</v>
      </c>
      <c r="L339">
        <v>52</v>
      </c>
      <c r="M339">
        <v>36.93</v>
      </c>
      <c r="N339" t="s">
        <v>33</v>
      </c>
      <c r="O339" t="s">
        <v>107</v>
      </c>
      <c r="P339">
        <v>0</v>
      </c>
      <c r="Q339">
        <v>0</v>
      </c>
      <c r="R339">
        <v>0</v>
      </c>
    </row>
    <row r="340" spans="1:18" x14ac:dyDescent="0.3">
      <c r="A340">
        <v>339</v>
      </c>
      <c r="B340">
        <v>1</v>
      </c>
      <c r="C340">
        <v>4</v>
      </c>
      <c r="D340" t="s">
        <v>189</v>
      </c>
      <c r="E340" t="s">
        <v>601</v>
      </c>
      <c r="F340">
        <v>5</v>
      </c>
      <c r="G340">
        <v>5</v>
      </c>
      <c r="H340">
        <v>5</v>
      </c>
      <c r="I340">
        <v>5</v>
      </c>
      <c r="J340">
        <v>13</v>
      </c>
      <c r="K340">
        <v>2.0449999999999999</v>
      </c>
      <c r="L340">
        <v>37</v>
      </c>
      <c r="M340">
        <v>29.34</v>
      </c>
      <c r="N340" t="s">
        <v>33</v>
      </c>
      <c r="P340">
        <v>1</v>
      </c>
      <c r="Q340">
        <v>0</v>
      </c>
      <c r="R340">
        <v>0</v>
      </c>
    </row>
    <row r="341" spans="1:18" x14ac:dyDescent="0.3">
      <c r="A341">
        <v>340</v>
      </c>
      <c r="B341">
        <v>2</v>
      </c>
      <c r="C341">
        <v>4</v>
      </c>
      <c r="D341" t="s">
        <v>192</v>
      </c>
      <c r="E341" t="s">
        <v>602</v>
      </c>
      <c r="F341">
        <v>4</v>
      </c>
      <c r="G341">
        <v>5</v>
      </c>
      <c r="H341">
        <v>5</v>
      </c>
      <c r="I341">
        <v>5</v>
      </c>
      <c r="J341">
        <v>14</v>
      </c>
      <c r="K341">
        <v>1.3380000000000001</v>
      </c>
      <c r="L341">
        <v>40</v>
      </c>
      <c r="M341">
        <v>44.84</v>
      </c>
      <c r="O341" t="s">
        <v>107</v>
      </c>
      <c r="P341">
        <v>0</v>
      </c>
      <c r="Q341">
        <v>1</v>
      </c>
      <c r="R341">
        <v>0</v>
      </c>
    </row>
    <row r="342" spans="1:18" x14ac:dyDescent="0.3">
      <c r="A342">
        <v>341</v>
      </c>
      <c r="B342">
        <v>3</v>
      </c>
      <c r="C342">
        <v>4</v>
      </c>
      <c r="D342" t="s">
        <v>565</v>
      </c>
      <c r="E342" t="s">
        <v>603</v>
      </c>
      <c r="F342">
        <v>3</v>
      </c>
      <c r="G342">
        <v>4</v>
      </c>
      <c r="H342">
        <v>2</v>
      </c>
      <c r="I342">
        <v>5</v>
      </c>
      <c r="J342">
        <v>15</v>
      </c>
      <c r="K342">
        <v>1.9530000000000001</v>
      </c>
      <c r="L342">
        <v>52</v>
      </c>
      <c r="M342">
        <v>30.72</v>
      </c>
      <c r="O342" t="s">
        <v>191</v>
      </c>
      <c r="P342">
        <v>0</v>
      </c>
      <c r="Q342">
        <v>1</v>
      </c>
      <c r="R342">
        <v>0</v>
      </c>
    </row>
    <row r="343" spans="1:18" x14ac:dyDescent="0.3">
      <c r="A343">
        <v>342</v>
      </c>
      <c r="B343">
        <v>1</v>
      </c>
      <c r="C343">
        <v>4</v>
      </c>
      <c r="D343" t="s">
        <v>196</v>
      </c>
      <c r="E343" t="s">
        <v>604</v>
      </c>
      <c r="F343">
        <v>3</v>
      </c>
      <c r="G343">
        <v>3</v>
      </c>
      <c r="H343">
        <v>3</v>
      </c>
      <c r="I343">
        <v>5</v>
      </c>
      <c r="J343">
        <v>14</v>
      </c>
      <c r="K343">
        <v>3.782</v>
      </c>
      <c r="L343">
        <v>40</v>
      </c>
      <c r="M343">
        <v>15.87</v>
      </c>
      <c r="N343" t="s">
        <v>33</v>
      </c>
      <c r="O343" t="s">
        <v>226</v>
      </c>
      <c r="P343">
        <v>0.5</v>
      </c>
      <c r="Q343">
        <v>1</v>
      </c>
      <c r="R343">
        <v>0.66700000000000004</v>
      </c>
    </row>
    <row r="344" spans="1:18" x14ac:dyDescent="0.3">
      <c r="A344">
        <v>343</v>
      </c>
      <c r="B344">
        <v>2</v>
      </c>
      <c r="C344">
        <v>4</v>
      </c>
      <c r="D344" t="s">
        <v>88</v>
      </c>
      <c r="E344" t="s">
        <v>605</v>
      </c>
      <c r="F344">
        <v>4</v>
      </c>
      <c r="G344">
        <v>5</v>
      </c>
      <c r="H344">
        <v>5</v>
      </c>
      <c r="I344">
        <v>5</v>
      </c>
      <c r="J344">
        <v>13</v>
      </c>
      <c r="K344">
        <v>1.9890000000000001</v>
      </c>
      <c r="L344">
        <v>48</v>
      </c>
      <c r="M344">
        <v>30.16</v>
      </c>
      <c r="O344" t="s">
        <v>107</v>
      </c>
      <c r="P344">
        <v>0</v>
      </c>
      <c r="Q344">
        <v>1</v>
      </c>
      <c r="R344">
        <v>0</v>
      </c>
    </row>
    <row r="345" spans="1:18" x14ac:dyDescent="0.3">
      <c r="A345">
        <v>344</v>
      </c>
      <c r="B345">
        <v>3</v>
      </c>
      <c r="C345">
        <v>4</v>
      </c>
      <c r="D345" t="s">
        <v>199</v>
      </c>
      <c r="E345" t="s">
        <v>606</v>
      </c>
      <c r="F345">
        <v>4</v>
      </c>
      <c r="G345">
        <v>5</v>
      </c>
      <c r="H345">
        <v>4</v>
      </c>
      <c r="I345">
        <v>5</v>
      </c>
      <c r="J345">
        <v>14</v>
      </c>
      <c r="K345">
        <v>2.8860000000000001</v>
      </c>
      <c r="L345">
        <v>24</v>
      </c>
      <c r="M345">
        <v>20.79</v>
      </c>
      <c r="N345" t="s">
        <v>33</v>
      </c>
      <c r="O345" t="s">
        <v>226</v>
      </c>
      <c r="P345">
        <v>0.5</v>
      </c>
      <c r="Q345">
        <v>1</v>
      </c>
      <c r="R345">
        <v>0.66700000000000004</v>
      </c>
    </row>
    <row r="346" spans="1:18" x14ac:dyDescent="0.3">
      <c r="A346">
        <v>345</v>
      </c>
      <c r="B346">
        <v>1</v>
      </c>
      <c r="C346">
        <v>4</v>
      </c>
      <c r="D346" t="s">
        <v>200</v>
      </c>
      <c r="E346" t="s">
        <v>607</v>
      </c>
      <c r="F346">
        <v>2</v>
      </c>
      <c r="G346">
        <v>3</v>
      </c>
      <c r="H346">
        <v>1</v>
      </c>
      <c r="I346">
        <v>3</v>
      </c>
      <c r="J346">
        <v>15</v>
      </c>
      <c r="K346">
        <v>1.5609999999999999</v>
      </c>
      <c r="L346">
        <v>40</v>
      </c>
      <c r="M346">
        <v>38.43</v>
      </c>
      <c r="N346" t="s">
        <v>202</v>
      </c>
      <c r="O346" t="s">
        <v>107</v>
      </c>
      <c r="P346">
        <v>0</v>
      </c>
      <c r="Q346">
        <v>0</v>
      </c>
      <c r="R346">
        <v>0</v>
      </c>
    </row>
    <row r="347" spans="1:18" x14ac:dyDescent="0.3">
      <c r="A347">
        <v>346</v>
      </c>
      <c r="B347">
        <v>2</v>
      </c>
      <c r="C347">
        <v>4</v>
      </c>
      <c r="D347" t="s">
        <v>571</v>
      </c>
      <c r="E347" t="s">
        <v>608</v>
      </c>
      <c r="F347">
        <v>5</v>
      </c>
      <c r="G347">
        <v>5</v>
      </c>
      <c r="H347">
        <v>4</v>
      </c>
      <c r="I347">
        <v>5</v>
      </c>
      <c r="J347">
        <v>14</v>
      </c>
      <c r="K347">
        <v>3.74</v>
      </c>
      <c r="L347">
        <v>44</v>
      </c>
      <c r="M347">
        <v>16.04</v>
      </c>
      <c r="N347" t="s">
        <v>33</v>
      </c>
      <c r="O347" t="s">
        <v>107</v>
      </c>
      <c r="P347">
        <v>0</v>
      </c>
      <c r="Q347">
        <v>0</v>
      </c>
      <c r="R347">
        <v>0</v>
      </c>
    </row>
    <row r="348" spans="1:18" x14ac:dyDescent="0.3">
      <c r="A348">
        <v>347</v>
      </c>
      <c r="B348">
        <v>3</v>
      </c>
      <c r="C348">
        <v>4</v>
      </c>
      <c r="D348" t="s">
        <v>205</v>
      </c>
      <c r="E348" t="s">
        <v>609</v>
      </c>
      <c r="F348">
        <v>4</v>
      </c>
      <c r="G348">
        <v>5</v>
      </c>
      <c r="H348">
        <v>3</v>
      </c>
      <c r="I348">
        <v>5</v>
      </c>
      <c r="J348">
        <v>14</v>
      </c>
      <c r="K348">
        <v>3.6349999999999998</v>
      </c>
      <c r="L348">
        <v>37</v>
      </c>
      <c r="M348">
        <v>16.510000000000002</v>
      </c>
      <c r="N348" t="s">
        <v>33</v>
      </c>
      <c r="O348" t="s">
        <v>107</v>
      </c>
      <c r="P348">
        <v>0</v>
      </c>
      <c r="Q348">
        <v>0</v>
      </c>
      <c r="R348">
        <v>0</v>
      </c>
    </row>
    <row r="349" spans="1:18" x14ac:dyDescent="0.3">
      <c r="A349">
        <v>348</v>
      </c>
      <c r="B349">
        <v>1</v>
      </c>
      <c r="C349">
        <v>4</v>
      </c>
      <c r="D349" t="s">
        <v>207</v>
      </c>
      <c r="E349" t="s">
        <v>610</v>
      </c>
      <c r="F349">
        <v>4</v>
      </c>
      <c r="G349">
        <v>5</v>
      </c>
      <c r="H349">
        <v>3</v>
      </c>
      <c r="I349">
        <v>5</v>
      </c>
      <c r="J349">
        <v>14</v>
      </c>
      <c r="K349">
        <v>3.4660000000000002</v>
      </c>
      <c r="L349">
        <v>39</v>
      </c>
      <c r="M349">
        <v>17.309999999999999</v>
      </c>
      <c r="N349" t="s">
        <v>33</v>
      </c>
      <c r="O349" t="s">
        <v>226</v>
      </c>
      <c r="P349">
        <v>0.5</v>
      </c>
      <c r="Q349">
        <v>1</v>
      </c>
      <c r="R349">
        <v>0.66700000000000004</v>
      </c>
    </row>
    <row r="350" spans="1:18" x14ac:dyDescent="0.3">
      <c r="A350">
        <v>349</v>
      </c>
      <c r="B350">
        <v>2</v>
      </c>
      <c r="C350">
        <v>4</v>
      </c>
      <c r="D350" t="s">
        <v>209</v>
      </c>
      <c r="E350" t="s">
        <v>611</v>
      </c>
      <c r="F350">
        <v>5</v>
      </c>
      <c r="G350">
        <v>5</v>
      </c>
      <c r="H350">
        <v>5</v>
      </c>
      <c r="I350">
        <v>5</v>
      </c>
      <c r="J350">
        <v>14</v>
      </c>
      <c r="K350">
        <v>1.829</v>
      </c>
      <c r="L350">
        <v>39</v>
      </c>
      <c r="M350">
        <v>32.799999999999997</v>
      </c>
      <c r="O350" t="s">
        <v>191</v>
      </c>
      <c r="P350">
        <v>0</v>
      </c>
      <c r="Q350">
        <v>1</v>
      </c>
      <c r="R350">
        <v>0</v>
      </c>
    </row>
    <row r="351" spans="1:18" x14ac:dyDescent="0.3">
      <c r="A351">
        <v>350</v>
      </c>
      <c r="B351">
        <v>3</v>
      </c>
      <c r="C351">
        <v>4</v>
      </c>
      <c r="D351" t="s">
        <v>211</v>
      </c>
      <c r="E351" t="s">
        <v>612</v>
      </c>
      <c r="F351">
        <v>3</v>
      </c>
      <c r="G351">
        <v>3</v>
      </c>
      <c r="H351">
        <v>2</v>
      </c>
      <c r="I351">
        <v>5</v>
      </c>
      <c r="J351">
        <v>13</v>
      </c>
      <c r="K351">
        <v>1.26</v>
      </c>
      <c r="L351">
        <v>27</v>
      </c>
      <c r="M351">
        <v>47.61</v>
      </c>
      <c r="N351" t="s">
        <v>202</v>
      </c>
      <c r="O351" t="s">
        <v>107</v>
      </c>
      <c r="P351">
        <v>0</v>
      </c>
      <c r="Q351">
        <v>0</v>
      </c>
      <c r="R351">
        <v>0</v>
      </c>
    </row>
    <row r="352" spans="1:18" x14ac:dyDescent="0.3">
      <c r="A352">
        <v>351</v>
      </c>
      <c r="B352">
        <v>1</v>
      </c>
      <c r="C352">
        <v>4</v>
      </c>
      <c r="D352" t="s">
        <v>213</v>
      </c>
      <c r="E352" t="s">
        <v>613</v>
      </c>
      <c r="F352">
        <v>3</v>
      </c>
      <c r="G352">
        <v>5</v>
      </c>
      <c r="H352">
        <v>4</v>
      </c>
      <c r="I352">
        <v>5</v>
      </c>
      <c r="J352">
        <v>13</v>
      </c>
      <c r="K352">
        <v>1.48</v>
      </c>
      <c r="L352">
        <v>45</v>
      </c>
      <c r="M352">
        <v>40.54</v>
      </c>
      <c r="N352" t="s">
        <v>202</v>
      </c>
      <c r="O352" t="s">
        <v>107</v>
      </c>
      <c r="P352">
        <v>0</v>
      </c>
      <c r="Q352">
        <v>0</v>
      </c>
      <c r="R352">
        <v>0</v>
      </c>
    </row>
    <row r="353" spans="1:18" x14ac:dyDescent="0.3">
      <c r="A353">
        <v>352</v>
      </c>
      <c r="B353">
        <v>2</v>
      </c>
      <c r="C353">
        <v>4</v>
      </c>
      <c r="D353" t="s">
        <v>215</v>
      </c>
      <c r="E353" t="s">
        <v>614</v>
      </c>
      <c r="F353">
        <v>4</v>
      </c>
      <c r="G353">
        <v>5</v>
      </c>
      <c r="H353">
        <v>4</v>
      </c>
      <c r="I353">
        <v>5</v>
      </c>
      <c r="J353">
        <v>13</v>
      </c>
      <c r="K353">
        <v>2.0350000000000001</v>
      </c>
      <c r="L353">
        <v>41</v>
      </c>
      <c r="M353">
        <v>29.49</v>
      </c>
      <c r="N353" t="s">
        <v>217</v>
      </c>
      <c r="P353">
        <v>1</v>
      </c>
      <c r="Q353">
        <v>0</v>
      </c>
      <c r="R353">
        <v>0</v>
      </c>
    </row>
    <row r="354" spans="1:18" x14ac:dyDescent="0.3">
      <c r="A354">
        <v>353</v>
      </c>
      <c r="B354">
        <v>3</v>
      </c>
      <c r="C354">
        <v>4</v>
      </c>
      <c r="D354" t="s">
        <v>218</v>
      </c>
      <c r="E354" t="s">
        <v>615</v>
      </c>
      <c r="F354">
        <v>4</v>
      </c>
      <c r="G354">
        <v>5</v>
      </c>
      <c r="H354">
        <v>4</v>
      </c>
      <c r="I354">
        <v>5</v>
      </c>
      <c r="J354">
        <v>13</v>
      </c>
      <c r="K354">
        <v>1.9910000000000001</v>
      </c>
      <c r="L354">
        <v>63</v>
      </c>
      <c r="M354">
        <v>30.13</v>
      </c>
      <c r="N354" t="s">
        <v>217</v>
      </c>
      <c r="O354" t="s">
        <v>107</v>
      </c>
      <c r="P354">
        <v>0</v>
      </c>
      <c r="Q354">
        <v>0</v>
      </c>
      <c r="R354">
        <v>0</v>
      </c>
    </row>
    <row r="355" spans="1:18" x14ac:dyDescent="0.3">
      <c r="A355">
        <v>354</v>
      </c>
      <c r="B355">
        <v>1</v>
      </c>
      <c r="C355">
        <v>4</v>
      </c>
      <c r="D355" t="s">
        <v>220</v>
      </c>
      <c r="E355" t="s">
        <v>616</v>
      </c>
      <c r="F355">
        <v>4</v>
      </c>
      <c r="G355">
        <v>5</v>
      </c>
      <c r="H355">
        <v>4</v>
      </c>
      <c r="I355">
        <v>5</v>
      </c>
      <c r="J355">
        <v>14</v>
      </c>
      <c r="K355">
        <v>1.2070000000000001</v>
      </c>
      <c r="L355">
        <v>42</v>
      </c>
      <c r="M355">
        <v>49.7</v>
      </c>
      <c r="N355" t="s">
        <v>202</v>
      </c>
      <c r="O355" t="s">
        <v>107</v>
      </c>
      <c r="P355">
        <v>0</v>
      </c>
      <c r="Q355">
        <v>0</v>
      </c>
      <c r="R355">
        <v>0</v>
      </c>
    </row>
    <row r="356" spans="1:18" x14ac:dyDescent="0.3">
      <c r="A356">
        <v>355</v>
      </c>
      <c r="B356">
        <v>2</v>
      </c>
      <c r="C356">
        <v>4</v>
      </c>
      <c r="D356" t="s">
        <v>222</v>
      </c>
      <c r="E356" t="s">
        <v>617</v>
      </c>
      <c r="F356">
        <v>4</v>
      </c>
      <c r="G356">
        <v>5</v>
      </c>
      <c r="H356">
        <v>2</v>
      </c>
      <c r="I356">
        <v>5</v>
      </c>
      <c r="J356">
        <v>13</v>
      </c>
      <c r="K356">
        <v>2.5529999999999999</v>
      </c>
      <c r="L356">
        <v>14</v>
      </c>
      <c r="M356">
        <v>23.5</v>
      </c>
      <c r="O356" t="s">
        <v>107</v>
      </c>
      <c r="P356">
        <v>0</v>
      </c>
      <c r="Q356">
        <v>1</v>
      </c>
      <c r="R356">
        <v>0</v>
      </c>
    </row>
    <row r="357" spans="1:18" x14ac:dyDescent="0.3">
      <c r="A357">
        <v>356</v>
      </c>
      <c r="B357">
        <v>3</v>
      </c>
      <c r="C357">
        <v>4</v>
      </c>
      <c r="D357" t="s">
        <v>224</v>
      </c>
      <c r="E357" t="s">
        <v>618</v>
      </c>
      <c r="F357">
        <v>4</v>
      </c>
      <c r="G357">
        <v>5</v>
      </c>
      <c r="H357">
        <v>4</v>
      </c>
      <c r="I357">
        <v>5</v>
      </c>
      <c r="J357">
        <v>14</v>
      </c>
      <c r="K357">
        <v>1.694</v>
      </c>
      <c r="L357">
        <v>46</v>
      </c>
      <c r="M357">
        <v>35.43</v>
      </c>
      <c r="N357" t="s">
        <v>217</v>
      </c>
      <c r="O357" t="s">
        <v>107</v>
      </c>
      <c r="P357">
        <v>0</v>
      </c>
      <c r="Q357">
        <v>0</v>
      </c>
      <c r="R357">
        <v>0</v>
      </c>
    </row>
    <row r="358" spans="1:18" x14ac:dyDescent="0.3">
      <c r="A358">
        <v>357</v>
      </c>
      <c r="B358">
        <v>1</v>
      </c>
      <c r="C358">
        <v>4</v>
      </c>
      <c r="D358" t="s">
        <v>583</v>
      </c>
      <c r="E358" t="s">
        <v>619</v>
      </c>
      <c r="F358">
        <v>5</v>
      </c>
      <c r="G358">
        <v>5</v>
      </c>
      <c r="H358">
        <v>4</v>
      </c>
      <c r="I358">
        <v>5</v>
      </c>
      <c r="J358">
        <v>14</v>
      </c>
      <c r="K358">
        <v>1.165</v>
      </c>
      <c r="L358">
        <v>39</v>
      </c>
      <c r="M358">
        <v>51.48</v>
      </c>
      <c r="N358" t="s">
        <v>202</v>
      </c>
      <c r="O358" t="s">
        <v>107</v>
      </c>
      <c r="P358">
        <v>0</v>
      </c>
      <c r="Q358">
        <v>0</v>
      </c>
      <c r="R358">
        <v>0</v>
      </c>
    </row>
    <row r="359" spans="1:18" x14ac:dyDescent="0.3">
      <c r="A359">
        <v>358</v>
      </c>
      <c r="B359">
        <v>2</v>
      </c>
      <c r="C359">
        <v>4</v>
      </c>
      <c r="D359" t="s">
        <v>585</v>
      </c>
      <c r="E359" t="s">
        <v>620</v>
      </c>
      <c r="F359">
        <v>4</v>
      </c>
      <c r="G359">
        <v>3</v>
      </c>
      <c r="H359">
        <v>4</v>
      </c>
      <c r="I359">
        <v>5</v>
      </c>
      <c r="J359">
        <v>14</v>
      </c>
      <c r="K359">
        <v>1.9650000000000001</v>
      </c>
      <c r="L359">
        <v>63</v>
      </c>
      <c r="M359">
        <v>30.53</v>
      </c>
      <c r="N359" t="s">
        <v>202</v>
      </c>
      <c r="O359" t="s">
        <v>191</v>
      </c>
      <c r="P359">
        <v>0.5</v>
      </c>
      <c r="Q359">
        <v>1</v>
      </c>
      <c r="R359">
        <v>0.66700000000000004</v>
      </c>
    </row>
    <row r="360" spans="1:18" x14ac:dyDescent="0.3">
      <c r="A360">
        <v>359</v>
      </c>
      <c r="B360">
        <v>3</v>
      </c>
      <c r="C360">
        <v>4</v>
      </c>
      <c r="D360" t="s">
        <v>231</v>
      </c>
      <c r="E360" t="s">
        <v>621</v>
      </c>
      <c r="F360">
        <v>5</v>
      </c>
      <c r="G360">
        <v>5</v>
      </c>
      <c r="H360">
        <v>4</v>
      </c>
      <c r="I360">
        <v>5</v>
      </c>
      <c r="J360">
        <v>13</v>
      </c>
      <c r="K360">
        <v>1.8779999999999999</v>
      </c>
      <c r="L360">
        <v>53</v>
      </c>
      <c r="M360">
        <v>31.95</v>
      </c>
      <c r="N360" t="s">
        <v>217</v>
      </c>
      <c r="O360" t="s">
        <v>191</v>
      </c>
      <c r="P360">
        <v>0.5</v>
      </c>
      <c r="Q360">
        <v>0.5</v>
      </c>
      <c r="R360">
        <v>0.5</v>
      </c>
    </row>
    <row r="361" spans="1:18" x14ac:dyDescent="0.3">
      <c r="A361">
        <v>360</v>
      </c>
      <c r="B361">
        <v>1</v>
      </c>
      <c r="C361">
        <v>4</v>
      </c>
      <c r="D361" t="s">
        <v>233</v>
      </c>
      <c r="E361" t="s">
        <v>622</v>
      </c>
      <c r="F361">
        <v>5</v>
      </c>
      <c r="G361">
        <v>5</v>
      </c>
      <c r="H361">
        <v>4</v>
      </c>
      <c r="I361">
        <v>5</v>
      </c>
      <c r="J361">
        <v>14</v>
      </c>
      <c r="K361">
        <v>1.877</v>
      </c>
      <c r="L361">
        <v>29</v>
      </c>
      <c r="M361">
        <v>31.97</v>
      </c>
      <c r="N361" t="s">
        <v>217</v>
      </c>
      <c r="O361" t="s">
        <v>107</v>
      </c>
      <c r="P361">
        <v>0</v>
      </c>
      <c r="Q361">
        <v>0</v>
      </c>
      <c r="R361">
        <v>0</v>
      </c>
    </row>
    <row r="362" spans="1:18" x14ac:dyDescent="0.3">
      <c r="A362">
        <v>361</v>
      </c>
      <c r="B362">
        <v>2</v>
      </c>
      <c r="C362">
        <v>4</v>
      </c>
      <c r="D362" t="s">
        <v>235</v>
      </c>
      <c r="E362" t="s">
        <v>623</v>
      </c>
      <c r="F362">
        <v>3</v>
      </c>
      <c r="G362">
        <v>5</v>
      </c>
      <c r="H362">
        <v>4</v>
      </c>
      <c r="I362">
        <v>5</v>
      </c>
      <c r="J362">
        <v>15</v>
      </c>
      <c r="K362">
        <v>1.2729999999999999</v>
      </c>
      <c r="L362">
        <v>35</v>
      </c>
      <c r="M362">
        <v>47.13</v>
      </c>
      <c r="N362" t="s">
        <v>202</v>
      </c>
      <c r="O362" t="s">
        <v>107</v>
      </c>
      <c r="P362">
        <v>0</v>
      </c>
      <c r="Q362">
        <v>0</v>
      </c>
      <c r="R362">
        <v>0</v>
      </c>
    </row>
    <row r="363" spans="1:18" x14ac:dyDescent="0.3">
      <c r="A363">
        <v>362</v>
      </c>
      <c r="B363">
        <v>3</v>
      </c>
      <c r="C363">
        <v>4</v>
      </c>
      <c r="D363" t="s">
        <v>238</v>
      </c>
      <c r="E363" t="s">
        <v>624</v>
      </c>
      <c r="F363">
        <v>4</v>
      </c>
      <c r="G363">
        <v>5</v>
      </c>
      <c r="H363">
        <v>4</v>
      </c>
      <c r="I363">
        <v>5</v>
      </c>
      <c r="J363">
        <v>13</v>
      </c>
      <c r="K363">
        <v>2.7639999999999998</v>
      </c>
      <c r="L363">
        <v>33</v>
      </c>
      <c r="M363">
        <v>21.71</v>
      </c>
      <c r="N363" t="s">
        <v>202</v>
      </c>
      <c r="O363" t="s">
        <v>107</v>
      </c>
      <c r="P363">
        <v>0</v>
      </c>
      <c r="Q363">
        <v>0</v>
      </c>
      <c r="R363">
        <v>0</v>
      </c>
    </row>
    <row r="364" spans="1:18" x14ac:dyDescent="0.3">
      <c r="A364">
        <v>363</v>
      </c>
      <c r="B364">
        <v>1</v>
      </c>
      <c r="C364">
        <v>4</v>
      </c>
      <c r="D364" t="s">
        <v>240</v>
      </c>
      <c r="E364" t="s">
        <v>625</v>
      </c>
      <c r="F364">
        <v>3</v>
      </c>
      <c r="G364">
        <v>5</v>
      </c>
      <c r="H364">
        <v>3</v>
      </c>
      <c r="I364">
        <v>5</v>
      </c>
      <c r="J364">
        <v>16</v>
      </c>
      <c r="K364">
        <v>2.262</v>
      </c>
      <c r="L364">
        <v>40</v>
      </c>
      <c r="M364">
        <v>26.52</v>
      </c>
      <c r="N364" t="s">
        <v>217</v>
      </c>
      <c r="O364" t="s">
        <v>107</v>
      </c>
      <c r="P364">
        <v>0</v>
      </c>
      <c r="Q364">
        <v>0</v>
      </c>
      <c r="R364">
        <v>0</v>
      </c>
    </row>
    <row r="365" spans="1:18" x14ac:dyDescent="0.3">
      <c r="A365">
        <v>364</v>
      </c>
      <c r="B365">
        <v>2</v>
      </c>
      <c r="C365">
        <v>4</v>
      </c>
      <c r="D365" t="s">
        <v>592</v>
      </c>
      <c r="E365" t="s">
        <v>626</v>
      </c>
      <c r="F365">
        <v>4</v>
      </c>
      <c r="G365">
        <v>5</v>
      </c>
      <c r="H365">
        <v>4</v>
      </c>
      <c r="I365">
        <v>5</v>
      </c>
      <c r="J365">
        <v>14</v>
      </c>
      <c r="K365">
        <v>1.1419999999999999</v>
      </c>
      <c r="L365">
        <v>37</v>
      </c>
      <c r="M365">
        <v>52.55</v>
      </c>
      <c r="N365" t="s">
        <v>202</v>
      </c>
      <c r="O365" t="s">
        <v>107</v>
      </c>
      <c r="P365">
        <v>0</v>
      </c>
      <c r="Q365">
        <v>0</v>
      </c>
      <c r="R365">
        <v>0</v>
      </c>
    </row>
    <row r="366" spans="1:18" x14ac:dyDescent="0.3">
      <c r="A366">
        <v>365</v>
      </c>
      <c r="B366">
        <v>3</v>
      </c>
      <c r="C366">
        <v>4</v>
      </c>
      <c r="D366" t="s">
        <v>244</v>
      </c>
      <c r="E366" t="s">
        <v>627</v>
      </c>
      <c r="F366">
        <v>4</v>
      </c>
      <c r="G366">
        <v>5</v>
      </c>
      <c r="H366">
        <v>3</v>
      </c>
      <c r="I366">
        <v>5</v>
      </c>
      <c r="J366">
        <v>13</v>
      </c>
      <c r="K366">
        <v>3.3580000000000001</v>
      </c>
      <c r="L366">
        <v>44</v>
      </c>
      <c r="M366">
        <v>17.87</v>
      </c>
      <c r="N366" t="s">
        <v>217</v>
      </c>
      <c r="O366" t="s">
        <v>33</v>
      </c>
      <c r="P366">
        <v>1</v>
      </c>
      <c r="Q366">
        <v>0.5</v>
      </c>
      <c r="R366">
        <v>0.66700000000000004</v>
      </c>
    </row>
    <row r="367" spans="1:18" x14ac:dyDescent="0.3">
      <c r="A367">
        <v>366</v>
      </c>
      <c r="B367">
        <v>1</v>
      </c>
      <c r="C367">
        <v>4</v>
      </c>
      <c r="D367" t="s">
        <v>246</v>
      </c>
      <c r="E367" t="s">
        <v>628</v>
      </c>
      <c r="F367">
        <v>3</v>
      </c>
      <c r="G367">
        <v>5</v>
      </c>
      <c r="H367">
        <v>2</v>
      </c>
      <c r="I367">
        <v>5</v>
      </c>
      <c r="J367">
        <v>11</v>
      </c>
      <c r="K367">
        <v>1.5940000000000001</v>
      </c>
      <c r="L367">
        <v>39</v>
      </c>
      <c r="M367">
        <v>37.64</v>
      </c>
      <c r="N367" t="s">
        <v>217</v>
      </c>
      <c r="O367" t="s">
        <v>226</v>
      </c>
      <c r="P367">
        <v>0.5</v>
      </c>
      <c r="Q367">
        <v>0.5</v>
      </c>
      <c r="R367">
        <v>0.5</v>
      </c>
    </row>
    <row r="368" spans="1:18" x14ac:dyDescent="0.3">
      <c r="A368">
        <v>367</v>
      </c>
      <c r="B368">
        <v>2</v>
      </c>
      <c r="C368">
        <v>4</v>
      </c>
      <c r="D368" t="s">
        <v>248</v>
      </c>
      <c r="E368" t="s">
        <v>629</v>
      </c>
      <c r="F368">
        <v>5</v>
      </c>
      <c r="G368">
        <v>5</v>
      </c>
      <c r="H368">
        <v>5</v>
      </c>
      <c r="I368">
        <v>5</v>
      </c>
      <c r="J368">
        <v>15</v>
      </c>
      <c r="K368">
        <v>2.0939999999999999</v>
      </c>
      <c r="L368">
        <v>28</v>
      </c>
      <c r="M368">
        <v>28.65</v>
      </c>
      <c r="N368" t="s">
        <v>202</v>
      </c>
      <c r="O368" t="s">
        <v>226</v>
      </c>
      <c r="P368">
        <v>0</v>
      </c>
      <c r="Q368">
        <v>0</v>
      </c>
      <c r="R368">
        <v>0</v>
      </c>
    </row>
    <row r="369" spans="1:18" x14ac:dyDescent="0.3">
      <c r="A369">
        <v>368</v>
      </c>
      <c r="B369">
        <v>3</v>
      </c>
      <c r="C369">
        <v>4</v>
      </c>
      <c r="D369" t="s">
        <v>250</v>
      </c>
      <c r="E369" t="s">
        <v>630</v>
      </c>
      <c r="F369">
        <v>5</v>
      </c>
      <c r="G369">
        <v>5</v>
      </c>
      <c r="H369">
        <v>5</v>
      </c>
      <c r="I369">
        <v>5</v>
      </c>
      <c r="J369">
        <v>14</v>
      </c>
      <c r="K369">
        <v>1.329</v>
      </c>
      <c r="L369">
        <v>36</v>
      </c>
      <c r="M369">
        <v>45.14</v>
      </c>
      <c r="O369" t="s">
        <v>107</v>
      </c>
      <c r="P369">
        <v>0</v>
      </c>
      <c r="Q369">
        <v>1</v>
      </c>
      <c r="R369">
        <v>0</v>
      </c>
    </row>
    <row r="370" spans="1:18" x14ac:dyDescent="0.3">
      <c r="A370">
        <v>369</v>
      </c>
      <c r="B370">
        <v>1</v>
      </c>
      <c r="C370">
        <v>5</v>
      </c>
      <c r="D370" t="s">
        <v>209</v>
      </c>
      <c r="E370" t="s">
        <v>631</v>
      </c>
      <c r="F370">
        <v>3</v>
      </c>
      <c r="G370">
        <v>5</v>
      </c>
      <c r="H370">
        <v>4</v>
      </c>
      <c r="I370">
        <v>5</v>
      </c>
      <c r="J370">
        <v>15</v>
      </c>
      <c r="K370">
        <v>2.0459999999999998</v>
      </c>
      <c r="L370">
        <v>45</v>
      </c>
      <c r="M370">
        <v>29.33</v>
      </c>
      <c r="N370" t="s">
        <v>202</v>
      </c>
      <c r="O370" t="s">
        <v>33</v>
      </c>
      <c r="P370">
        <v>0</v>
      </c>
      <c r="Q370">
        <v>0</v>
      </c>
      <c r="R370">
        <v>0</v>
      </c>
    </row>
    <row r="371" spans="1:18" x14ac:dyDescent="0.3">
      <c r="A371">
        <v>370</v>
      </c>
      <c r="B371">
        <v>2</v>
      </c>
      <c r="C371">
        <v>5</v>
      </c>
      <c r="D371" t="s">
        <v>194</v>
      </c>
      <c r="E371" t="s">
        <v>632</v>
      </c>
      <c r="F371">
        <v>4</v>
      </c>
      <c r="G371">
        <v>5</v>
      </c>
      <c r="H371">
        <v>4</v>
      </c>
      <c r="I371">
        <v>5</v>
      </c>
      <c r="J371">
        <v>17</v>
      </c>
      <c r="K371">
        <v>2.9670000000000001</v>
      </c>
      <c r="L371">
        <v>49</v>
      </c>
      <c r="M371">
        <v>20.22</v>
      </c>
      <c r="N371" t="s">
        <v>202</v>
      </c>
      <c r="O371" t="s">
        <v>202</v>
      </c>
      <c r="P371">
        <v>1</v>
      </c>
      <c r="Q371">
        <v>1</v>
      </c>
      <c r="R371">
        <v>1</v>
      </c>
    </row>
    <row r="372" spans="1:18" x14ac:dyDescent="0.3">
      <c r="A372">
        <v>371</v>
      </c>
      <c r="B372">
        <v>3</v>
      </c>
      <c r="C372">
        <v>5</v>
      </c>
      <c r="D372" t="s">
        <v>254</v>
      </c>
      <c r="E372" t="s">
        <v>633</v>
      </c>
      <c r="F372">
        <v>3</v>
      </c>
      <c r="G372">
        <v>3</v>
      </c>
      <c r="H372">
        <v>3</v>
      </c>
      <c r="I372">
        <v>3</v>
      </c>
      <c r="J372">
        <v>15</v>
      </c>
      <c r="K372">
        <v>4.2720000000000002</v>
      </c>
      <c r="L372">
        <v>39</v>
      </c>
      <c r="M372">
        <v>14.04</v>
      </c>
      <c r="O372" t="s">
        <v>202</v>
      </c>
      <c r="P372">
        <v>0</v>
      </c>
      <c r="Q372">
        <v>1</v>
      </c>
      <c r="R372">
        <v>0</v>
      </c>
    </row>
    <row r="373" spans="1:18" x14ac:dyDescent="0.3">
      <c r="A373">
        <v>372</v>
      </c>
      <c r="B373">
        <v>1</v>
      </c>
      <c r="C373">
        <v>5</v>
      </c>
      <c r="D373" t="s">
        <v>256</v>
      </c>
      <c r="E373" t="s">
        <v>257</v>
      </c>
      <c r="F373">
        <v>3</v>
      </c>
      <c r="G373">
        <v>3</v>
      </c>
      <c r="H373">
        <v>2</v>
      </c>
      <c r="I373">
        <v>2</v>
      </c>
      <c r="J373">
        <v>15</v>
      </c>
      <c r="K373">
        <v>1.9079999999999999</v>
      </c>
      <c r="L373">
        <v>20</v>
      </c>
      <c r="M373">
        <v>31.45</v>
      </c>
      <c r="N373" t="s">
        <v>33</v>
      </c>
      <c r="P373">
        <v>1</v>
      </c>
      <c r="Q373">
        <v>0</v>
      </c>
      <c r="R373">
        <v>0</v>
      </c>
    </row>
    <row r="374" spans="1:18" x14ac:dyDescent="0.3">
      <c r="A374">
        <v>373</v>
      </c>
      <c r="B374">
        <v>2</v>
      </c>
      <c r="C374">
        <v>5</v>
      </c>
      <c r="D374" t="s">
        <v>258</v>
      </c>
      <c r="E374" t="s">
        <v>57</v>
      </c>
      <c r="F374">
        <v>1</v>
      </c>
      <c r="G374">
        <v>2</v>
      </c>
      <c r="H374">
        <v>1</v>
      </c>
      <c r="I374">
        <v>1</v>
      </c>
      <c r="J374">
        <v>10</v>
      </c>
      <c r="K374">
        <v>1.083</v>
      </c>
      <c r="L374">
        <v>35</v>
      </c>
      <c r="M374">
        <v>55.42</v>
      </c>
      <c r="N374" t="s">
        <v>33</v>
      </c>
      <c r="P374">
        <v>1</v>
      </c>
      <c r="Q374">
        <v>0</v>
      </c>
      <c r="R374">
        <v>0</v>
      </c>
    </row>
    <row r="375" spans="1:18" x14ac:dyDescent="0.3">
      <c r="A375">
        <v>374</v>
      </c>
      <c r="B375">
        <v>3</v>
      </c>
      <c r="C375">
        <v>5</v>
      </c>
      <c r="D375" t="s">
        <v>259</v>
      </c>
      <c r="E375" t="s">
        <v>634</v>
      </c>
      <c r="F375">
        <v>4</v>
      </c>
      <c r="G375">
        <v>5</v>
      </c>
      <c r="H375">
        <v>3</v>
      </c>
      <c r="I375">
        <v>5</v>
      </c>
      <c r="J375">
        <v>14</v>
      </c>
      <c r="K375">
        <v>1.4950000000000001</v>
      </c>
      <c r="L375">
        <v>41</v>
      </c>
      <c r="M375">
        <v>40.130000000000003</v>
      </c>
      <c r="N375" t="s">
        <v>33</v>
      </c>
      <c r="P375">
        <v>1</v>
      </c>
      <c r="Q375">
        <v>0</v>
      </c>
      <c r="R375">
        <v>0</v>
      </c>
    </row>
    <row r="376" spans="1:18" x14ac:dyDescent="0.3">
      <c r="A376">
        <v>375</v>
      </c>
      <c r="B376">
        <v>1</v>
      </c>
      <c r="C376">
        <v>5</v>
      </c>
      <c r="D376" t="s">
        <v>261</v>
      </c>
      <c r="E376" t="s">
        <v>635</v>
      </c>
      <c r="F376">
        <v>4</v>
      </c>
      <c r="G376">
        <v>5</v>
      </c>
      <c r="H376">
        <v>4</v>
      </c>
      <c r="I376">
        <v>5</v>
      </c>
      <c r="J376">
        <v>14</v>
      </c>
      <c r="K376">
        <v>1.484</v>
      </c>
      <c r="L376">
        <v>40</v>
      </c>
      <c r="M376">
        <v>40.44</v>
      </c>
      <c r="N376" t="s">
        <v>33</v>
      </c>
      <c r="P376">
        <v>1</v>
      </c>
      <c r="Q376">
        <v>0</v>
      </c>
      <c r="R376">
        <v>0</v>
      </c>
    </row>
    <row r="377" spans="1:18" x14ac:dyDescent="0.3">
      <c r="A377">
        <v>376</v>
      </c>
      <c r="B377">
        <v>2</v>
      </c>
      <c r="C377">
        <v>5</v>
      </c>
      <c r="D377" t="s">
        <v>263</v>
      </c>
      <c r="E377" t="s">
        <v>636</v>
      </c>
      <c r="F377">
        <v>3</v>
      </c>
      <c r="G377">
        <v>3</v>
      </c>
      <c r="H377">
        <v>3</v>
      </c>
      <c r="I377">
        <v>5</v>
      </c>
      <c r="J377">
        <v>16</v>
      </c>
      <c r="K377">
        <v>3.0059999999999998</v>
      </c>
      <c r="L377">
        <v>39</v>
      </c>
      <c r="M377">
        <v>19.96</v>
      </c>
      <c r="N377" t="s">
        <v>217</v>
      </c>
      <c r="P377">
        <v>1</v>
      </c>
      <c r="Q377">
        <v>0</v>
      </c>
      <c r="R377">
        <v>0</v>
      </c>
    </row>
    <row r="378" spans="1:18" x14ac:dyDescent="0.3">
      <c r="A378">
        <v>377</v>
      </c>
      <c r="B378">
        <v>3</v>
      </c>
      <c r="C378">
        <v>5</v>
      </c>
      <c r="D378" t="s">
        <v>265</v>
      </c>
      <c r="E378" t="s">
        <v>637</v>
      </c>
      <c r="F378">
        <v>1</v>
      </c>
      <c r="G378">
        <v>3</v>
      </c>
      <c r="H378">
        <v>1</v>
      </c>
      <c r="I378">
        <v>1</v>
      </c>
      <c r="J378">
        <v>14</v>
      </c>
      <c r="K378">
        <v>1.3140000000000001</v>
      </c>
      <c r="L378">
        <v>24</v>
      </c>
      <c r="M378">
        <v>45.65</v>
      </c>
      <c r="N378" t="s">
        <v>33</v>
      </c>
      <c r="P378">
        <v>1</v>
      </c>
      <c r="Q378">
        <v>0</v>
      </c>
      <c r="R378">
        <v>0</v>
      </c>
    </row>
    <row r="379" spans="1:18" x14ac:dyDescent="0.3">
      <c r="A379">
        <v>378</v>
      </c>
      <c r="B379">
        <v>1</v>
      </c>
      <c r="C379">
        <v>5</v>
      </c>
      <c r="D379" t="s">
        <v>267</v>
      </c>
      <c r="E379" t="s">
        <v>638</v>
      </c>
      <c r="F379">
        <v>1</v>
      </c>
      <c r="G379">
        <v>0</v>
      </c>
      <c r="H379">
        <v>1</v>
      </c>
      <c r="I379">
        <v>1</v>
      </c>
      <c r="J379">
        <v>15</v>
      </c>
      <c r="K379">
        <v>1.915</v>
      </c>
      <c r="L379">
        <v>36</v>
      </c>
      <c r="M379">
        <v>31.33</v>
      </c>
      <c r="N379" t="s">
        <v>33</v>
      </c>
      <c r="O379" t="s">
        <v>33</v>
      </c>
      <c r="P379">
        <v>1</v>
      </c>
      <c r="Q379">
        <v>1</v>
      </c>
      <c r="R379">
        <v>1</v>
      </c>
    </row>
    <row r="380" spans="1:18" x14ac:dyDescent="0.3">
      <c r="A380">
        <v>379</v>
      </c>
      <c r="B380">
        <v>2</v>
      </c>
      <c r="C380">
        <v>5</v>
      </c>
      <c r="D380" t="s">
        <v>269</v>
      </c>
      <c r="E380" t="s">
        <v>639</v>
      </c>
      <c r="F380">
        <v>5</v>
      </c>
      <c r="G380">
        <v>5</v>
      </c>
      <c r="H380">
        <v>5</v>
      </c>
      <c r="I380">
        <v>5</v>
      </c>
      <c r="J380">
        <v>15</v>
      </c>
      <c r="K380">
        <v>2.081</v>
      </c>
      <c r="L380">
        <v>54</v>
      </c>
      <c r="M380">
        <v>28.83</v>
      </c>
      <c r="N380" t="s">
        <v>33</v>
      </c>
      <c r="O380" t="s">
        <v>217</v>
      </c>
      <c r="P380">
        <v>0.5</v>
      </c>
      <c r="Q380">
        <v>1</v>
      </c>
      <c r="R380">
        <v>0.66700000000000004</v>
      </c>
    </row>
    <row r="381" spans="1:18" x14ac:dyDescent="0.3">
      <c r="A381">
        <v>380</v>
      </c>
      <c r="B381">
        <v>3</v>
      </c>
      <c r="C381">
        <v>5</v>
      </c>
      <c r="D381" t="s">
        <v>271</v>
      </c>
      <c r="E381" t="s">
        <v>640</v>
      </c>
      <c r="F381">
        <v>3</v>
      </c>
      <c r="G381">
        <v>4</v>
      </c>
      <c r="H381">
        <v>3</v>
      </c>
      <c r="I381">
        <v>5</v>
      </c>
      <c r="J381">
        <v>14</v>
      </c>
      <c r="K381">
        <v>1.655</v>
      </c>
      <c r="L381">
        <v>46</v>
      </c>
      <c r="M381">
        <v>36.26</v>
      </c>
      <c r="N381" t="s">
        <v>202</v>
      </c>
      <c r="P381">
        <v>1</v>
      </c>
      <c r="Q381">
        <v>0</v>
      </c>
      <c r="R381">
        <v>0</v>
      </c>
    </row>
    <row r="382" spans="1:18" x14ac:dyDescent="0.3">
      <c r="A382">
        <v>381</v>
      </c>
      <c r="B382">
        <v>1</v>
      </c>
      <c r="C382">
        <v>5</v>
      </c>
      <c r="D382" t="s">
        <v>177</v>
      </c>
      <c r="E382" t="s">
        <v>641</v>
      </c>
      <c r="F382">
        <v>4</v>
      </c>
      <c r="G382">
        <v>5</v>
      </c>
      <c r="H382">
        <v>4</v>
      </c>
      <c r="I382">
        <v>5</v>
      </c>
      <c r="J382">
        <v>12</v>
      </c>
      <c r="K382">
        <v>2.6880000000000002</v>
      </c>
      <c r="L382">
        <v>45</v>
      </c>
      <c r="M382">
        <v>22.33</v>
      </c>
      <c r="N382" t="s">
        <v>202</v>
      </c>
      <c r="P382">
        <v>1</v>
      </c>
      <c r="Q382">
        <v>0</v>
      </c>
      <c r="R382">
        <v>0</v>
      </c>
    </row>
    <row r="383" spans="1:18" x14ac:dyDescent="0.3">
      <c r="A383">
        <v>382</v>
      </c>
      <c r="B383">
        <v>2</v>
      </c>
      <c r="C383">
        <v>5</v>
      </c>
      <c r="D383" t="s">
        <v>274</v>
      </c>
      <c r="E383" t="s">
        <v>642</v>
      </c>
      <c r="F383">
        <v>5</v>
      </c>
      <c r="G383">
        <v>5</v>
      </c>
      <c r="H383">
        <v>5</v>
      </c>
      <c r="I383">
        <v>5</v>
      </c>
      <c r="J383">
        <v>11</v>
      </c>
      <c r="K383">
        <v>3.9860000000000002</v>
      </c>
      <c r="L383">
        <v>48</v>
      </c>
      <c r="M383">
        <v>15.05</v>
      </c>
      <c r="P383">
        <v>1</v>
      </c>
      <c r="Q383">
        <v>1</v>
      </c>
      <c r="R383">
        <v>1</v>
      </c>
    </row>
    <row r="384" spans="1:18" x14ac:dyDescent="0.3">
      <c r="A384">
        <v>383</v>
      </c>
      <c r="B384">
        <v>3</v>
      </c>
      <c r="C384">
        <v>5</v>
      </c>
      <c r="D384" t="s">
        <v>276</v>
      </c>
      <c r="E384" t="s">
        <v>643</v>
      </c>
      <c r="F384">
        <v>4</v>
      </c>
      <c r="G384">
        <v>5</v>
      </c>
      <c r="H384">
        <v>4</v>
      </c>
      <c r="I384">
        <v>5</v>
      </c>
      <c r="J384">
        <v>12</v>
      </c>
      <c r="K384">
        <v>3.0779999999999998</v>
      </c>
      <c r="L384">
        <v>54</v>
      </c>
      <c r="M384">
        <v>19.489999999999998</v>
      </c>
      <c r="N384" t="s">
        <v>202</v>
      </c>
      <c r="P384">
        <v>1</v>
      </c>
      <c r="Q384">
        <v>0</v>
      </c>
      <c r="R384">
        <v>0</v>
      </c>
    </row>
    <row r="385" spans="1:18" x14ac:dyDescent="0.3">
      <c r="A385">
        <v>384</v>
      </c>
      <c r="B385">
        <v>1</v>
      </c>
      <c r="C385">
        <v>5</v>
      </c>
      <c r="D385" t="s">
        <v>213</v>
      </c>
      <c r="E385" t="s">
        <v>644</v>
      </c>
      <c r="F385">
        <v>3</v>
      </c>
      <c r="G385">
        <v>5</v>
      </c>
      <c r="H385">
        <v>4</v>
      </c>
      <c r="I385">
        <v>5</v>
      </c>
      <c r="J385">
        <v>13</v>
      </c>
      <c r="K385">
        <v>1.7410000000000001</v>
      </c>
      <c r="L385">
        <v>66</v>
      </c>
      <c r="M385">
        <v>34.46</v>
      </c>
      <c r="N385" t="s">
        <v>202</v>
      </c>
      <c r="O385" t="s">
        <v>237</v>
      </c>
      <c r="P385">
        <v>0.33300000000000002</v>
      </c>
      <c r="Q385">
        <v>1</v>
      </c>
      <c r="R385">
        <v>0.5</v>
      </c>
    </row>
    <row r="386" spans="1:18" x14ac:dyDescent="0.3">
      <c r="A386">
        <v>385</v>
      </c>
      <c r="B386">
        <v>2</v>
      </c>
      <c r="C386">
        <v>5</v>
      </c>
      <c r="D386" t="s">
        <v>211</v>
      </c>
      <c r="E386" t="s">
        <v>645</v>
      </c>
      <c r="F386">
        <v>2</v>
      </c>
      <c r="G386">
        <v>3</v>
      </c>
      <c r="H386">
        <v>1</v>
      </c>
      <c r="I386">
        <v>3</v>
      </c>
      <c r="J386">
        <v>13</v>
      </c>
      <c r="K386">
        <v>1.7270000000000001</v>
      </c>
      <c r="L386">
        <v>55</v>
      </c>
      <c r="M386">
        <v>34.74</v>
      </c>
      <c r="N386" t="s">
        <v>202</v>
      </c>
      <c r="P386">
        <v>1</v>
      </c>
      <c r="Q386">
        <v>0</v>
      </c>
      <c r="R386">
        <v>0</v>
      </c>
    </row>
    <row r="387" spans="1:18" x14ac:dyDescent="0.3">
      <c r="A387">
        <v>386</v>
      </c>
      <c r="B387">
        <v>3</v>
      </c>
      <c r="C387">
        <v>5</v>
      </c>
      <c r="D387" t="s">
        <v>280</v>
      </c>
      <c r="E387" t="s">
        <v>646</v>
      </c>
      <c r="F387">
        <v>2</v>
      </c>
      <c r="G387">
        <v>4</v>
      </c>
      <c r="H387">
        <v>1</v>
      </c>
      <c r="I387">
        <v>5</v>
      </c>
      <c r="J387">
        <v>13</v>
      </c>
      <c r="K387">
        <v>1.76</v>
      </c>
      <c r="L387">
        <v>33</v>
      </c>
      <c r="M387">
        <v>34.08</v>
      </c>
      <c r="N387" t="s">
        <v>202</v>
      </c>
      <c r="P387">
        <v>1</v>
      </c>
      <c r="Q387">
        <v>0</v>
      </c>
      <c r="R387">
        <v>0</v>
      </c>
    </row>
    <row r="388" spans="1:18" x14ac:dyDescent="0.3">
      <c r="A388">
        <v>387</v>
      </c>
      <c r="B388">
        <v>1</v>
      </c>
      <c r="C388">
        <v>5</v>
      </c>
      <c r="D388" t="s">
        <v>282</v>
      </c>
      <c r="E388" t="s">
        <v>647</v>
      </c>
      <c r="F388">
        <v>3</v>
      </c>
      <c r="G388">
        <v>3</v>
      </c>
      <c r="H388">
        <v>2</v>
      </c>
      <c r="I388">
        <v>5</v>
      </c>
      <c r="J388">
        <v>14</v>
      </c>
      <c r="K388">
        <v>1.282</v>
      </c>
      <c r="L388">
        <v>45</v>
      </c>
      <c r="M388">
        <v>46.8</v>
      </c>
      <c r="N388" t="s">
        <v>202</v>
      </c>
      <c r="P388">
        <v>1</v>
      </c>
      <c r="Q388">
        <v>0</v>
      </c>
      <c r="R388">
        <v>0</v>
      </c>
    </row>
    <row r="389" spans="1:18" x14ac:dyDescent="0.3">
      <c r="A389">
        <v>388</v>
      </c>
      <c r="B389">
        <v>2</v>
      </c>
      <c r="C389">
        <v>5</v>
      </c>
      <c r="D389" t="s">
        <v>284</v>
      </c>
      <c r="E389" t="s">
        <v>648</v>
      </c>
      <c r="F389">
        <v>3</v>
      </c>
      <c r="G389">
        <v>3</v>
      </c>
      <c r="H389">
        <v>4</v>
      </c>
      <c r="I389">
        <v>5</v>
      </c>
      <c r="J389">
        <v>14</v>
      </c>
      <c r="K389">
        <v>1.33</v>
      </c>
      <c r="L389">
        <v>40</v>
      </c>
      <c r="M389">
        <v>45.1</v>
      </c>
      <c r="N389" t="s">
        <v>202</v>
      </c>
      <c r="P389">
        <v>1</v>
      </c>
      <c r="Q389">
        <v>0</v>
      </c>
      <c r="R389">
        <v>0</v>
      </c>
    </row>
    <row r="390" spans="1:18" x14ac:dyDescent="0.3">
      <c r="A390">
        <v>389</v>
      </c>
      <c r="B390">
        <v>3</v>
      </c>
      <c r="C390">
        <v>5</v>
      </c>
      <c r="D390" t="s">
        <v>286</v>
      </c>
      <c r="E390" t="s">
        <v>649</v>
      </c>
      <c r="F390">
        <v>3</v>
      </c>
      <c r="G390">
        <v>5</v>
      </c>
      <c r="H390">
        <v>4</v>
      </c>
      <c r="I390">
        <v>5</v>
      </c>
      <c r="J390">
        <v>16</v>
      </c>
      <c r="K390">
        <v>1.3460000000000001</v>
      </c>
      <c r="L390">
        <v>32</v>
      </c>
      <c r="M390">
        <v>44.57</v>
      </c>
      <c r="N390" t="s">
        <v>217</v>
      </c>
      <c r="O390" t="s">
        <v>33</v>
      </c>
      <c r="P390">
        <v>1</v>
      </c>
      <c r="Q390">
        <v>0.5</v>
      </c>
      <c r="R390">
        <v>0.66700000000000004</v>
      </c>
    </row>
    <row r="391" spans="1:18" x14ac:dyDescent="0.3">
      <c r="A391">
        <v>390</v>
      </c>
      <c r="B391">
        <v>1</v>
      </c>
      <c r="C391">
        <v>5</v>
      </c>
      <c r="D391" t="s">
        <v>288</v>
      </c>
      <c r="E391" t="s">
        <v>650</v>
      </c>
      <c r="F391">
        <v>4</v>
      </c>
      <c r="G391">
        <v>5</v>
      </c>
      <c r="H391">
        <v>4</v>
      </c>
      <c r="I391">
        <v>5</v>
      </c>
      <c r="J391">
        <v>14</v>
      </c>
      <c r="K391">
        <v>1.931</v>
      </c>
      <c r="L391">
        <v>39</v>
      </c>
      <c r="M391">
        <v>31.07</v>
      </c>
      <c r="N391" t="s">
        <v>202</v>
      </c>
      <c r="P391">
        <v>1</v>
      </c>
      <c r="Q391">
        <v>0</v>
      </c>
      <c r="R391">
        <v>0</v>
      </c>
    </row>
    <row r="392" spans="1:18" x14ac:dyDescent="0.3">
      <c r="A392">
        <v>391</v>
      </c>
      <c r="B392">
        <v>2</v>
      </c>
      <c r="C392">
        <v>5</v>
      </c>
      <c r="D392" t="s">
        <v>290</v>
      </c>
      <c r="E392" t="s">
        <v>651</v>
      </c>
      <c r="F392">
        <v>5</v>
      </c>
      <c r="G392">
        <v>5</v>
      </c>
      <c r="H392">
        <v>5</v>
      </c>
      <c r="I392">
        <v>5</v>
      </c>
      <c r="J392">
        <v>13</v>
      </c>
      <c r="K392">
        <v>1.675</v>
      </c>
      <c r="L392">
        <v>48</v>
      </c>
      <c r="M392">
        <v>35.83</v>
      </c>
      <c r="N392" t="s">
        <v>202</v>
      </c>
      <c r="P392">
        <v>1</v>
      </c>
      <c r="Q392">
        <v>0</v>
      </c>
      <c r="R392">
        <v>0</v>
      </c>
    </row>
    <row r="393" spans="1:18" x14ac:dyDescent="0.3">
      <c r="A393">
        <v>392</v>
      </c>
      <c r="B393">
        <v>3</v>
      </c>
      <c r="C393">
        <v>5</v>
      </c>
      <c r="D393" t="s">
        <v>292</v>
      </c>
      <c r="E393" t="s">
        <v>652</v>
      </c>
      <c r="F393">
        <v>3</v>
      </c>
      <c r="G393">
        <v>4</v>
      </c>
      <c r="H393">
        <v>3</v>
      </c>
      <c r="I393">
        <v>5</v>
      </c>
      <c r="J393">
        <v>13</v>
      </c>
      <c r="K393">
        <v>0.94099999999999995</v>
      </c>
      <c r="L393">
        <v>29</v>
      </c>
      <c r="M393">
        <v>63.74</v>
      </c>
      <c r="N393" t="s">
        <v>202</v>
      </c>
      <c r="O393" t="s">
        <v>107</v>
      </c>
      <c r="P393">
        <v>0</v>
      </c>
      <c r="Q393">
        <v>0</v>
      </c>
      <c r="R393">
        <v>0</v>
      </c>
    </row>
    <row r="394" spans="1:18" x14ac:dyDescent="0.3">
      <c r="A394">
        <v>393</v>
      </c>
      <c r="B394">
        <v>1</v>
      </c>
      <c r="C394">
        <v>5</v>
      </c>
      <c r="D394" t="s">
        <v>294</v>
      </c>
      <c r="E394" t="s">
        <v>653</v>
      </c>
      <c r="F394">
        <v>5</v>
      </c>
      <c r="G394">
        <v>5</v>
      </c>
      <c r="H394">
        <v>5</v>
      </c>
      <c r="I394">
        <v>5</v>
      </c>
      <c r="J394">
        <v>13</v>
      </c>
      <c r="K394">
        <v>1.6379999999999999</v>
      </c>
      <c r="L394">
        <v>46</v>
      </c>
      <c r="M394">
        <v>36.64</v>
      </c>
      <c r="N394" t="s">
        <v>202</v>
      </c>
      <c r="P394">
        <v>1</v>
      </c>
      <c r="Q394">
        <v>0</v>
      </c>
      <c r="R394">
        <v>0</v>
      </c>
    </row>
    <row r="395" spans="1:18" x14ac:dyDescent="0.3">
      <c r="A395">
        <v>394</v>
      </c>
      <c r="B395">
        <v>2</v>
      </c>
      <c r="C395">
        <v>5</v>
      </c>
      <c r="D395" t="s">
        <v>296</v>
      </c>
      <c r="E395" t="s">
        <v>654</v>
      </c>
      <c r="F395">
        <v>5</v>
      </c>
      <c r="G395">
        <v>5</v>
      </c>
      <c r="H395">
        <v>5</v>
      </c>
      <c r="I395">
        <v>5</v>
      </c>
      <c r="J395">
        <v>13</v>
      </c>
      <c r="K395">
        <v>1.7470000000000001</v>
      </c>
      <c r="L395">
        <v>48</v>
      </c>
      <c r="M395">
        <v>34.340000000000003</v>
      </c>
      <c r="N395" t="s">
        <v>217</v>
      </c>
      <c r="O395" t="s">
        <v>33</v>
      </c>
      <c r="P395">
        <v>1</v>
      </c>
      <c r="Q395">
        <v>0.5</v>
      </c>
      <c r="R395">
        <v>0.66700000000000004</v>
      </c>
    </row>
    <row r="396" spans="1:18" x14ac:dyDescent="0.3">
      <c r="A396">
        <v>395</v>
      </c>
      <c r="B396">
        <v>3</v>
      </c>
      <c r="C396">
        <v>5</v>
      </c>
      <c r="D396" t="s">
        <v>298</v>
      </c>
      <c r="E396" t="s">
        <v>655</v>
      </c>
      <c r="F396">
        <v>4</v>
      </c>
      <c r="G396">
        <v>5</v>
      </c>
      <c r="H396">
        <v>3</v>
      </c>
      <c r="I396">
        <v>5</v>
      </c>
      <c r="J396">
        <v>13</v>
      </c>
      <c r="K396">
        <v>1.18</v>
      </c>
      <c r="L396">
        <v>49</v>
      </c>
      <c r="M396">
        <v>50.86</v>
      </c>
      <c r="N396" t="s">
        <v>202</v>
      </c>
      <c r="P396">
        <v>1</v>
      </c>
      <c r="Q396">
        <v>0</v>
      </c>
      <c r="R396">
        <v>0</v>
      </c>
    </row>
    <row r="397" spans="1:18" x14ac:dyDescent="0.3">
      <c r="A397">
        <v>396</v>
      </c>
      <c r="B397">
        <v>1</v>
      </c>
      <c r="C397">
        <v>5</v>
      </c>
      <c r="D397" t="s">
        <v>84</v>
      </c>
      <c r="E397" t="s">
        <v>656</v>
      </c>
      <c r="F397">
        <v>3</v>
      </c>
      <c r="G397">
        <v>5</v>
      </c>
      <c r="H397">
        <v>1</v>
      </c>
      <c r="I397">
        <v>5</v>
      </c>
      <c r="J397">
        <v>13</v>
      </c>
      <c r="K397">
        <v>1.47</v>
      </c>
      <c r="L397">
        <v>46</v>
      </c>
      <c r="M397">
        <v>40.81</v>
      </c>
      <c r="N397" t="s">
        <v>202</v>
      </c>
      <c r="P397">
        <v>1</v>
      </c>
      <c r="Q397">
        <v>0</v>
      </c>
      <c r="R397">
        <v>0</v>
      </c>
    </row>
    <row r="398" spans="1:18" x14ac:dyDescent="0.3">
      <c r="A398">
        <v>397</v>
      </c>
      <c r="B398">
        <v>2</v>
      </c>
      <c r="C398">
        <v>5</v>
      </c>
      <c r="D398" t="s">
        <v>301</v>
      </c>
      <c r="E398" t="s">
        <v>657</v>
      </c>
      <c r="F398">
        <v>3</v>
      </c>
      <c r="G398">
        <v>5</v>
      </c>
      <c r="H398">
        <v>1</v>
      </c>
      <c r="I398">
        <v>5</v>
      </c>
      <c r="J398">
        <v>10</v>
      </c>
      <c r="K398">
        <v>3.8820000000000001</v>
      </c>
      <c r="L398">
        <v>54</v>
      </c>
      <c r="M398">
        <v>15.46</v>
      </c>
      <c r="N398" t="s">
        <v>202</v>
      </c>
      <c r="O398" t="s">
        <v>202</v>
      </c>
      <c r="P398">
        <v>1</v>
      </c>
      <c r="Q398">
        <v>1</v>
      </c>
      <c r="R398">
        <v>1</v>
      </c>
    </row>
    <row r="399" spans="1:18" x14ac:dyDescent="0.3">
      <c r="A399">
        <v>398</v>
      </c>
      <c r="B399">
        <v>3</v>
      </c>
      <c r="C399">
        <v>5</v>
      </c>
      <c r="D399" t="s">
        <v>209</v>
      </c>
      <c r="E399" t="s">
        <v>658</v>
      </c>
      <c r="F399">
        <v>3</v>
      </c>
      <c r="G399">
        <v>5</v>
      </c>
      <c r="H399">
        <v>1</v>
      </c>
      <c r="I399">
        <v>5</v>
      </c>
      <c r="J399">
        <v>15</v>
      </c>
      <c r="K399">
        <v>3.0790000000000002</v>
      </c>
      <c r="L399">
        <v>40</v>
      </c>
      <c r="M399">
        <v>19.489999999999998</v>
      </c>
      <c r="N399" t="s">
        <v>202</v>
      </c>
      <c r="P399">
        <v>1</v>
      </c>
      <c r="Q399">
        <v>0</v>
      </c>
      <c r="R399">
        <v>0</v>
      </c>
    </row>
    <row r="400" spans="1:18" x14ac:dyDescent="0.3">
      <c r="A400">
        <v>399</v>
      </c>
      <c r="B400">
        <v>1</v>
      </c>
      <c r="C400">
        <v>5</v>
      </c>
      <c r="D400" t="s">
        <v>194</v>
      </c>
      <c r="E400" t="s">
        <v>659</v>
      </c>
      <c r="F400">
        <v>4</v>
      </c>
      <c r="G400">
        <v>5</v>
      </c>
      <c r="H400">
        <v>1</v>
      </c>
      <c r="I400">
        <v>5</v>
      </c>
      <c r="J400">
        <v>15</v>
      </c>
      <c r="K400">
        <v>1.962</v>
      </c>
      <c r="L400">
        <v>55</v>
      </c>
      <c r="M400">
        <v>30.58</v>
      </c>
      <c r="N400" t="s">
        <v>202</v>
      </c>
      <c r="P400">
        <v>1</v>
      </c>
      <c r="Q400">
        <v>0</v>
      </c>
      <c r="R400">
        <v>0</v>
      </c>
    </row>
    <row r="401" spans="1:18" x14ac:dyDescent="0.3">
      <c r="A401">
        <v>400</v>
      </c>
      <c r="B401">
        <v>2</v>
      </c>
      <c r="C401">
        <v>5</v>
      </c>
      <c r="D401" t="s">
        <v>254</v>
      </c>
      <c r="E401" t="s">
        <v>660</v>
      </c>
      <c r="F401">
        <v>5</v>
      </c>
      <c r="G401">
        <v>5</v>
      </c>
      <c r="H401">
        <v>3</v>
      </c>
      <c r="I401">
        <v>5</v>
      </c>
      <c r="J401">
        <v>15</v>
      </c>
      <c r="K401">
        <v>1.837</v>
      </c>
      <c r="L401">
        <v>57</v>
      </c>
      <c r="M401">
        <v>32.67</v>
      </c>
      <c r="O401" t="s">
        <v>217</v>
      </c>
      <c r="P401">
        <v>0</v>
      </c>
      <c r="Q401">
        <v>1</v>
      </c>
      <c r="R401">
        <v>0</v>
      </c>
    </row>
    <row r="402" spans="1:18" x14ac:dyDescent="0.3">
      <c r="A402">
        <v>401</v>
      </c>
      <c r="B402">
        <v>3</v>
      </c>
      <c r="C402">
        <v>5</v>
      </c>
      <c r="D402" t="s">
        <v>256</v>
      </c>
      <c r="E402" t="s">
        <v>661</v>
      </c>
      <c r="F402">
        <v>3</v>
      </c>
      <c r="G402">
        <v>5</v>
      </c>
      <c r="H402">
        <v>3</v>
      </c>
      <c r="I402">
        <v>5</v>
      </c>
      <c r="J402">
        <v>12</v>
      </c>
      <c r="K402">
        <v>2.7120000000000002</v>
      </c>
      <c r="L402">
        <v>36</v>
      </c>
      <c r="M402">
        <v>22.12</v>
      </c>
      <c r="N402" t="s">
        <v>33</v>
      </c>
      <c r="P402">
        <v>1</v>
      </c>
      <c r="Q402">
        <v>0</v>
      </c>
      <c r="R402">
        <v>0</v>
      </c>
    </row>
    <row r="403" spans="1:18" x14ac:dyDescent="0.3">
      <c r="A403">
        <v>402</v>
      </c>
      <c r="B403">
        <v>1</v>
      </c>
      <c r="C403">
        <v>5</v>
      </c>
      <c r="D403" t="s">
        <v>258</v>
      </c>
      <c r="E403" t="s">
        <v>662</v>
      </c>
      <c r="F403">
        <v>4</v>
      </c>
      <c r="G403">
        <v>5</v>
      </c>
      <c r="H403">
        <v>3</v>
      </c>
      <c r="I403">
        <v>5</v>
      </c>
      <c r="J403">
        <v>15</v>
      </c>
      <c r="K403">
        <v>1.746</v>
      </c>
      <c r="L403">
        <v>20</v>
      </c>
      <c r="M403">
        <v>34.36</v>
      </c>
      <c r="N403" t="s">
        <v>33</v>
      </c>
      <c r="O403" t="s">
        <v>33</v>
      </c>
      <c r="P403">
        <v>1</v>
      </c>
      <c r="Q403">
        <v>1</v>
      </c>
      <c r="R403">
        <v>1</v>
      </c>
    </row>
    <row r="404" spans="1:18" x14ac:dyDescent="0.3">
      <c r="A404">
        <v>403</v>
      </c>
      <c r="B404">
        <v>2</v>
      </c>
      <c r="C404">
        <v>5</v>
      </c>
      <c r="D404" t="s">
        <v>259</v>
      </c>
      <c r="E404" t="s">
        <v>663</v>
      </c>
      <c r="F404">
        <v>4</v>
      </c>
      <c r="G404">
        <v>5</v>
      </c>
      <c r="H404">
        <v>4</v>
      </c>
      <c r="I404">
        <v>5</v>
      </c>
      <c r="J404">
        <v>15</v>
      </c>
      <c r="K404">
        <v>1.9790000000000001</v>
      </c>
      <c r="L404">
        <v>50</v>
      </c>
      <c r="M404">
        <v>30.32</v>
      </c>
      <c r="N404" t="s">
        <v>33</v>
      </c>
      <c r="O404" t="s">
        <v>237</v>
      </c>
      <c r="P404">
        <v>0.33300000000000002</v>
      </c>
      <c r="Q404">
        <v>1</v>
      </c>
      <c r="R404">
        <v>0.5</v>
      </c>
    </row>
    <row r="405" spans="1:18" x14ac:dyDescent="0.3">
      <c r="A405">
        <v>404</v>
      </c>
      <c r="B405">
        <v>3</v>
      </c>
      <c r="C405">
        <v>5</v>
      </c>
      <c r="D405" t="s">
        <v>261</v>
      </c>
      <c r="E405" t="s">
        <v>664</v>
      </c>
      <c r="F405">
        <v>3</v>
      </c>
      <c r="G405">
        <v>5</v>
      </c>
      <c r="H405">
        <v>4</v>
      </c>
      <c r="I405">
        <v>5</v>
      </c>
      <c r="J405">
        <v>13</v>
      </c>
      <c r="K405">
        <v>1.569</v>
      </c>
      <c r="L405">
        <v>44</v>
      </c>
      <c r="M405">
        <v>38.24</v>
      </c>
      <c r="N405" t="s">
        <v>33</v>
      </c>
      <c r="O405" t="s">
        <v>226</v>
      </c>
      <c r="P405">
        <v>0.5</v>
      </c>
      <c r="Q405">
        <v>1</v>
      </c>
      <c r="R405">
        <v>0.66700000000000004</v>
      </c>
    </row>
    <row r="406" spans="1:18" x14ac:dyDescent="0.3">
      <c r="A406">
        <v>405</v>
      </c>
      <c r="B406">
        <v>1</v>
      </c>
      <c r="C406">
        <v>5</v>
      </c>
      <c r="D406" t="s">
        <v>263</v>
      </c>
      <c r="E406" t="s">
        <v>665</v>
      </c>
      <c r="F406">
        <v>3</v>
      </c>
      <c r="G406">
        <v>5</v>
      </c>
      <c r="H406">
        <v>4</v>
      </c>
      <c r="I406">
        <v>5</v>
      </c>
      <c r="J406">
        <v>14</v>
      </c>
      <c r="K406">
        <v>1.173</v>
      </c>
      <c r="L406">
        <v>27</v>
      </c>
      <c r="M406">
        <v>51.13</v>
      </c>
      <c r="N406" t="s">
        <v>217</v>
      </c>
      <c r="O406" t="s">
        <v>107</v>
      </c>
      <c r="P406">
        <v>0</v>
      </c>
      <c r="Q406">
        <v>0</v>
      </c>
      <c r="R406">
        <v>0</v>
      </c>
    </row>
    <row r="407" spans="1:18" x14ac:dyDescent="0.3">
      <c r="A407">
        <v>406</v>
      </c>
      <c r="B407">
        <v>2</v>
      </c>
      <c r="C407">
        <v>5</v>
      </c>
      <c r="D407" t="s">
        <v>265</v>
      </c>
      <c r="E407" t="s">
        <v>666</v>
      </c>
      <c r="F407">
        <v>3</v>
      </c>
      <c r="G407">
        <v>5</v>
      </c>
      <c r="H407">
        <v>4</v>
      </c>
      <c r="I407">
        <v>5</v>
      </c>
      <c r="J407">
        <v>13</v>
      </c>
      <c r="K407">
        <v>1.6439999999999999</v>
      </c>
      <c r="L407">
        <v>11</v>
      </c>
      <c r="M407">
        <v>36.5</v>
      </c>
      <c r="N407" t="s">
        <v>33</v>
      </c>
      <c r="O407" t="s">
        <v>202</v>
      </c>
      <c r="P407">
        <v>0</v>
      </c>
      <c r="Q407">
        <v>0</v>
      </c>
      <c r="R407">
        <v>0</v>
      </c>
    </row>
    <row r="408" spans="1:18" x14ac:dyDescent="0.3">
      <c r="A408">
        <v>407</v>
      </c>
      <c r="B408">
        <v>3</v>
      </c>
      <c r="C408">
        <v>5</v>
      </c>
      <c r="D408" t="s">
        <v>267</v>
      </c>
      <c r="E408" t="s">
        <v>57</v>
      </c>
      <c r="F408">
        <v>3</v>
      </c>
      <c r="G408">
        <v>5</v>
      </c>
      <c r="H408">
        <v>4</v>
      </c>
      <c r="I408">
        <v>5</v>
      </c>
      <c r="J408">
        <v>10</v>
      </c>
      <c r="K408">
        <v>4.4999999999999998E-2</v>
      </c>
      <c r="L408">
        <v>35</v>
      </c>
      <c r="M408">
        <v>1329.06</v>
      </c>
      <c r="N408" t="s">
        <v>33</v>
      </c>
      <c r="P408">
        <v>1</v>
      </c>
      <c r="Q408">
        <v>0</v>
      </c>
      <c r="R408">
        <v>0</v>
      </c>
    </row>
    <row r="409" spans="1:18" x14ac:dyDescent="0.3">
      <c r="A409">
        <v>408</v>
      </c>
      <c r="B409">
        <v>1</v>
      </c>
      <c r="C409">
        <v>5</v>
      </c>
      <c r="D409" t="s">
        <v>269</v>
      </c>
      <c r="E409" t="s">
        <v>667</v>
      </c>
      <c r="F409">
        <v>4</v>
      </c>
      <c r="G409">
        <v>4</v>
      </c>
      <c r="H409">
        <v>3</v>
      </c>
      <c r="I409">
        <v>5</v>
      </c>
      <c r="J409">
        <v>15</v>
      </c>
      <c r="K409">
        <v>2.2570000000000001</v>
      </c>
      <c r="L409">
        <v>76</v>
      </c>
      <c r="M409">
        <v>26.58</v>
      </c>
      <c r="N409" t="s">
        <v>33</v>
      </c>
      <c r="O409" t="s">
        <v>217</v>
      </c>
      <c r="P409">
        <v>0.5</v>
      </c>
      <c r="Q409">
        <v>1</v>
      </c>
      <c r="R409">
        <v>0.66700000000000004</v>
      </c>
    </row>
    <row r="410" spans="1:18" x14ac:dyDescent="0.3">
      <c r="A410">
        <v>409</v>
      </c>
      <c r="B410">
        <v>2</v>
      </c>
      <c r="C410">
        <v>5</v>
      </c>
      <c r="D410" t="s">
        <v>271</v>
      </c>
      <c r="E410" t="s">
        <v>668</v>
      </c>
      <c r="F410">
        <v>4</v>
      </c>
      <c r="G410">
        <v>4</v>
      </c>
      <c r="H410">
        <v>3</v>
      </c>
      <c r="I410">
        <v>5</v>
      </c>
      <c r="J410">
        <v>15</v>
      </c>
      <c r="K410">
        <v>1.7010000000000001</v>
      </c>
      <c r="L410">
        <v>55</v>
      </c>
      <c r="M410">
        <v>35.270000000000003</v>
      </c>
      <c r="N410" t="s">
        <v>202</v>
      </c>
      <c r="O410" t="s">
        <v>202</v>
      </c>
      <c r="P410">
        <v>1</v>
      </c>
      <c r="Q410">
        <v>1</v>
      </c>
      <c r="R410">
        <v>1</v>
      </c>
    </row>
    <row r="411" spans="1:18" x14ac:dyDescent="0.3">
      <c r="A411">
        <v>410</v>
      </c>
      <c r="B411">
        <v>3</v>
      </c>
      <c r="C411">
        <v>5</v>
      </c>
      <c r="D411" t="s">
        <v>177</v>
      </c>
      <c r="E411" t="s">
        <v>669</v>
      </c>
      <c r="F411">
        <v>4</v>
      </c>
      <c r="G411">
        <v>4</v>
      </c>
      <c r="H411">
        <v>3</v>
      </c>
      <c r="I411">
        <v>5</v>
      </c>
      <c r="J411">
        <v>12</v>
      </c>
      <c r="K411">
        <v>3.3759999999999999</v>
      </c>
      <c r="L411">
        <v>53</v>
      </c>
      <c r="M411">
        <v>17.77</v>
      </c>
      <c r="N411" t="s">
        <v>202</v>
      </c>
      <c r="P411">
        <v>1</v>
      </c>
      <c r="Q411">
        <v>0</v>
      </c>
      <c r="R411">
        <v>0</v>
      </c>
    </row>
    <row r="412" spans="1:18" x14ac:dyDescent="0.3">
      <c r="A412">
        <v>411</v>
      </c>
      <c r="B412">
        <v>1</v>
      </c>
      <c r="C412">
        <v>5</v>
      </c>
      <c r="D412" t="s">
        <v>274</v>
      </c>
      <c r="E412" t="s">
        <v>670</v>
      </c>
      <c r="F412">
        <v>3</v>
      </c>
      <c r="G412">
        <v>5</v>
      </c>
      <c r="H412">
        <v>2</v>
      </c>
      <c r="I412">
        <v>5</v>
      </c>
      <c r="J412">
        <v>15</v>
      </c>
      <c r="K412">
        <v>1.8380000000000001</v>
      </c>
      <c r="L412">
        <v>42</v>
      </c>
      <c r="M412">
        <v>32.64</v>
      </c>
      <c r="O412" t="s">
        <v>217</v>
      </c>
      <c r="P412">
        <v>0</v>
      </c>
      <c r="Q412">
        <v>1</v>
      </c>
      <c r="R412">
        <v>0</v>
      </c>
    </row>
    <row r="413" spans="1:18" x14ac:dyDescent="0.3">
      <c r="A413">
        <v>412</v>
      </c>
      <c r="B413">
        <v>2</v>
      </c>
      <c r="C413">
        <v>5</v>
      </c>
      <c r="D413" t="s">
        <v>276</v>
      </c>
      <c r="E413" t="s">
        <v>671</v>
      </c>
      <c r="F413">
        <v>3</v>
      </c>
      <c r="G413">
        <v>5</v>
      </c>
      <c r="H413">
        <v>2</v>
      </c>
      <c r="I413">
        <v>5</v>
      </c>
      <c r="J413">
        <v>14</v>
      </c>
      <c r="K413">
        <v>1.87</v>
      </c>
      <c r="L413">
        <v>46</v>
      </c>
      <c r="M413">
        <v>32.090000000000003</v>
      </c>
      <c r="N413" t="s">
        <v>202</v>
      </c>
      <c r="O413" t="s">
        <v>107</v>
      </c>
      <c r="P413">
        <v>0</v>
      </c>
      <c r="Q413">
        <v>0</v>
      </c>
      <c r="R413">
        <v>0</v>
      </c>
    </row>
    <row r="414" spans="1:18" x14ac:dyDescent="0.3">
      <c r="A414">
        <v>413</v>
      </c>
      <c r="B414">
        <v>3</v>
      </c>
      <c r="C414">
        <v>5</v>
      </c>
      <c r="D414" t="s">
        <v>213</v>
      </c>
      <c r="E414" t="s">
        <v>672</v>
      </c>
      <c r="F414">
        <v>2</v>
      </c>
      <c r="G414">
        <v>5</v>
      </c>
      <c r="H414">
        <v>2</v>
      </c>
      <c r="I414">
        <v>5</v>
      </c>
      <c r="J414">
        <v>13</v>
      </c>
      <c r="K414">
        <v>2.4830000000000001</v>
      </c>
      <c r="L414">
        <v>36</v>
      </c>
      <c r="M414">
        <v>24.17</v>
      </c>
      <c r="N414" t="s">
        <v>202</v>
      </c>
      <c r="O414" t="s">
        <v>217</v>
      </c>
      <c r="P414">
        <v>0.5</v>
      </c>
      <c r="Q414">
        <v>1</v>
      </c>
      <c r="R414">
        <v>0.66700000000000004</v>
      </c>
    </row>
    <row r="415" spans="1:18" x14ac:dyDescent="0.3">
      <c r="A415">
        <v>414</v>
      </c>
      <c r="B415">
        <v>1</v>
      </c>
      <c r="C415">
        <v>5</v>
      </c>
      <c r="D415" t="s">
        <v>211</v>
      </c>
      <c r="E415" t="s">
        <v>673</v>
      </c>
      <c r="F415">
        <v>4</v>
      </c>
      <c r="G415">
        <v>4</v>
      </c>
      <c r="H415">
        <v>4</v>
      </c>
      <c r="I415">
        <v>5</v>
      </c>
      <c r="J415">
        <v>13</v>
      </c>
      <c r="K415">
        <v>1.633</v>
      </c>
      <c r="L415">
        <v>61</v>
      </c>
      <c r="M415">
        <v>36.75</v>
      </c>
      <c r="N415" t="s">
        <v>202</v>
      </c>
      <c r="O415" t="s">
        <v>217</v>
      </c>
      <c r="P415">
        <v>0.5</v>
      </c>
      <c r="Q415">
        <v>1</v>
      </c>
      <c r="R415">
        <v>0.66700000000000004</v>
      </c>
    </row>
    <row r="416" spans="1:18" x14ac:dyDescent="0.3">
      <c r="A416">
        <v>415</v>
      </c>
      <c r="B416">
        <v>2</v>
      </c>
      <c r="C416">
        <v>5</v>
      </c>
      <c r="D416" t="s">
        <v>280</v>
      </c>
      <c r="E416" t="s">
        <v>674</v>
      </c>
      <c r="F416">
        <v>4</v>
      </c>
      <c r="G416">
        <v>4</v>
      </c>
      <c r="H416">
        <v>4</v>
      </c>
      <c r="I416">
        <v>5</v>
      </c>
      <c r="J416">
        <v>9</v>
      </c>
      <c r="K416">
        <v>2.0790000000000002</v>
      </c>
      <c r="L416">
        <v>52</v>
      </c>
      <c r="M416">
        <v>28.87</v>
      </c>
      <c r="N416" t="s">
        <v>202</v>
      </c>
      <c r="P416">
        <v>1</v>
      </c>
      <c r="Q416">
        <v>0</v>
      </c>
      <c r="R416">
        <v>0</v>
      </c>
    </row>
    <row r="417" spans="1:18" x14ac:dyDescent="0.3">
      <c r="A417">
        <v>416</v>
      </c>
      <c r="B417">
        <v>3</v>
      </c>
      <c r="C417">
        <v>5</v>
      </c>
      <c r="D417" t="s">
        <v>282</v>
      </c>
      <c r="E417" t="s">
        <v>675</v>
      </c>
      <c r="F417">
        <v>5</v>
      </c>
      <c r="G417">
        <v>4</v>
      </c>
      <c r="H417">
        <v>5</v>
      </c>
      <c r="I417">
        <v>5</v>
      </c>
      <c r="J417">
        <v>14</v>
      </c>
      <c r="K417">
        <v>1.5029999999999999</v>
      </c>
      <c r="L417">
        <v>54</v>
      </c>
      <c r="M417">
        <v>39.92</v>
      </c>
      <c r="N417" t="s">
        <v>202</v>
      </c>
      <c r="O417" t="s">
        <v>107</v>
      </c>
      <c r="P417">
        <v>0</v>
      </c>
      <c r="Q417">
        <v>0</v>
      </c>
      <c r="R417">
        <v>0</v>
      </c>
    </row>
    <row r="418" spans="1:18" x14ac:dyDescent="0.3">
      <c r="A418">
        <v>417</v>
      </c>
      <c r="B418">
        <v>1</v>
      </c>
      <c r="C418">
        <v>5</v>
      </c>
      <c r="D418" t="s">
        <v>284</v>
      </c>
      <c r="E418" t="s">
        <v>676</v>
      </c>
      <c r="F418">
        <v>3</v>
      </c>
      <c r="G418">
        <v>5</v>
      </c>
      <c r="H418">
        <v>3</v>
      </c>
      <c r="I418">
        <v>5</v>
      </c>
      <c r="J418">
        <v>14</v>
      </c>
      <c r="K418">
        <v>1.877</v>
      </c>
      <c r="L418">
        <v>45</v>
      </c>
      <c r="M418">
        <v>31.97</v>
      </c>
      <c r="N418" t="s">
        <v>202</v>
      </c>
      <c r="P418">
        <v>1</v>
      </c>
      <c r="Q418">
        <v>0</v>
      </c>
      <c r="R418">
        <v>0</v>
      </c>
    </row>
    <row r="419" spans="1:18" x14ac:dyDescent="0.3">
      <c r="A419">
        <v>418</v>
      </c>
      <c r="B419">
        <v>2</v>
      </c>
      <c r="C419">
        <v>5</v>
      </c>
      <c r="D419" t="s">
        <v>286</v>
      </c>
      <c r="E419" t="s">
        <v>677</v>
      </c>
      <c r="F419">
        <v>2</v>
      </c>
      <c r="G419">
        <v>5</v>
      </c>
      <c r="H419">
        <v>4</v>
      </c>
      <c r="I419">
        <v>5</v>
      </c>
      <c r="J419">
        <v>14</v>
      </c>
      <c r="K419">
        <v>3.3239999999999998</v>
      </c>
      <c r="L419">
        <v>15</v>
      </c>
      <c r="M419">
        <v>18.05</v>
      </c>
      <c r="N419" t="s">
        <v>217</v>
      </c>
      <c r="O419" t="s">
        <v>33</v>
      </c>
      <c r="P419">
        <v>1</v>
      </c>
      <c r="Q419">
        <v>0.5</v>
      </c>
      <c r="R419">
        <v>0.66700000000000004</v>
      </c>
    </row>
    <row r="420" spans="1:18" x14ac:dyDescent="0.3">
      <c r="A420">
        <v>419</v>
      </c>
      <c r="B420">
        <v>3</v>
      </c>
      <c r="C420">
        <v>5</v>
      </c>
      <c r="D420" t="s">
        <v>288</v>
      </c>
      <c r="E420" t="s">
        <v>678</v>
      </c>
      <c r="F420">
        <v>4</v>
      </c>
      <c r="G420">
        <v>5</v>
      </c>
      <c r="H420">
        <v>5</v>
      </c>
      <c r="I420">
        <v>5</v>
      </c>
      <c r="J420">
        <v>14</v>
      </c>
      <c r="K420">
        <v>1.5369999999999999</v>
      </c>
      <c r="L420">
        <v>31</v>
      </c>
      <c r="M420">
        <v>39.020000000000003</v>
      </c>
      <c r="N420" t="s">
        <v>202</v>
      </c>
      <c r="P420">
        <v>1</v>
      </c>
      <c r="Q420">
        <v>0</v>
      </c>
      <c r="R420">
        <v>0</v>
      </c>
    </row>
    <row r="421" spans="1:18" x14ac:dyDescent="0.3">
      <c r="A421">
        <v>420</v>
      </c>
      <c r="B421">
        <v>1</v>
      </c>
      <c r="C421">
        <v>5</v>
      </c>
      <c r="D421" t="s">
        <v>290</v>
      </c>
      <c r="E421" t="s">
        <v>679</v>
      </c>
      <c r="F421">
        <v>4</v>
      </c>
      <c r="G421">
        <v>5</v>
      </c>
      <c r="H421">
        <v>4</v>
      </c>
      <c r="I421">
        <v>5</v>
      </c>
      <c r="J421">
        <v>14</v>
      </c>
      <c r="K421">
        <v>1.58</v>
      </c>
      <c r="L421">
        <v>36</v>
      </c>
      <c r="M421">
        <v>37.979999999999997</v>
      </c>
      <c r="N421" t="s">
        <v>202</v>
      </c>
      <c r="P421">
        <v>1</v>
      </c>
      <c r="Q421">
        <v>0</v>
      </c>
      <c r="R421">
        <v>0</v>
      </c>
    </row>
    <row r="422" spans="1:18" x14ac:dyDescent="0.3">
      <c r="A422">
        <v>421</v>
      </c>
      <c r="B422">
        <v>2</v>
      </c>
      <c r="C422">
        <v>5</v>
      </c>
      <c r="D422" t="s">
        <v>292</v>
      </c>
      <c r="E422" t="s">
        <v>680</v>
      </c>
      <c r="F422">
        <v>4</v>
      </c>
      <c r="G422">
        <v>5</v>
      </c>
      <c r="H422">
        <v>4</v>
      </c>
      <c r="I422">
        <v>5</v>
      </c>
      <c r="J422">
        <v>12</v>
      </c>
      <c r="K422">
        <v>1.016</v>
      </c>
      <c r="L422">
        <v>36</v>
      </c>
      <c r="M422">
        <v>59.06</v>
      </c>
      <c r="N422" t="s">
        <v>202</v>
      </c>
      <c r="P422">
        <v>1</v>
      </c>
      <c r="Q422">
        <v>0</v>
      </c>
      <c r="R422">
        <v>0</v>
      </c>
    </row>
    <row r="423" spans="1:18" x14ac:dyDescent="0.3">
      <c r="A423">
        <v>422</v>
      </c>
      <c r="B423">
        <v>3</v>
      </c>
      <c r="C423">
        <v>5</v>
      </c>
      <c r="D423" t="s">
        <v>294</v>
      </c>
      <c r="E423" t="s">
        <v>681</v>
      </c>
      <c r="F423">
        <v>4</v>
      </c>
      <c r="G423">
        <v>5</v>
      </c>
      <c r="H423">
        <v>4</v>
      </c>
      <c r="I423">
        <v>5</v>
      </c>
      <c r="J423">
        <v>13</v>
      </c>
      <c r="K423">
        <v>1.0269999999999999</v>
      </c>
      <c r="L423">
        <v>27</v>
      </c>
      <c r="M423">
        <v>58.41</v>
      </c>
      <c r="N423" t="s">
        <v>202</v>
      </c>
      <c r="O423" t="s">
        <v>107</v>
      </c>
      <c r="P423">
        <v>0</v>
      </c>
      <c r="Q423">
        <v>0</v>
      </c>
      <c r="R423">
        <v>0</v>
      </c>
    </row>
    <row r="424" spans="1:18" x14ac:dyDescent="0.3">
      <c r="A424">
        <v>423</v>
      </c>
      <c r="B424">
        <v>1</v>
      </c>
      <c r="C424">
        <v>5</v>
      </c>
      <c r="D424" t="s">
        <v>296</v>
      </c>
      <c r="E424" t="s">
        <v>682</v>
      </c>
      <c r="F424">
        <v>3</v>
      </c>
      <c r="G424">
        <v>5</v>
      </c>
      <c r="H424">
        <v>2</v>
      </c>
      <c r="I424">
        <v>5</v>
      </c>
      <c r="J424">
        <v>13</v>
      </c>
      <c r="K424">
        <v>1.4059999999999999</v>
      </c>
      <c r="L424">
        <v>33</v>
      </c>
      <c r="M424">
        <v>42.66</v>
      </c>
      <c r="N424" t="s">
        <v>217</v>
      </c>
      <c r="O424" t="s">
        <v>217</v>
      </c>
      <c r="P424">
        <v>1</v>
      </c>
      <c r="Q424">
        <v>1</v>
      </c>
      <c r="R424">
        <v>1</v>
      </c>
    </row>
    <row r="425" spans="1:18" x14ac:dyDescent="0.3">
      <c r="A425">
        <v>424</v>
      </c>
      <c r="B425">
        <v>2</v>
      </c>
      <c r="C425">
        <v>5</v>
      </c>
      <c r="D425" t="s">
        <v>298</v>
      </c>
      <c r="E425" t="s">
        <v>683</v>
      </c>
      <c r="F425">
        <v>4</v>
      </c>
      <c r="G425">
        <v>5</v>
      </c>
      <c r="H425">
        <v>2</v>
      </c>
      <c r="I425">
        <v>5</v>
      </c>
      <c r="J425">
        <v>14</v>
      </c>
      <c r="K425">
        <v>1.173</v>
      </c>
      <c r="L425">
        <v>45</v>
      </c>
      <c r="M425">
        <v>51.15</v>
      </c>
      <c r="N425" t="s">
        <v>202</v>
      </c>
      <c r="O425" t="s">
        <v>202</v>
      </c>
      <c r="P425">
        <v>1</v>
      </c>
      <c r="Q425">
        <v>1</v>
      </c>
      <c r="R425">
        <v>1</v>
      </c>
    </row>
    <row r="426" spans="1:18" x14ac:dyDescent="0.3">
      <c r="A426">
        <v>425</v>
      </c>
      <c r="B426">
        <v>3</v>
      </c>
      <c r="C426">
        <v>5</v>
      </c>
      <c r="D426" t="s">
        <v>84</v>
      </c>
      <c r="E426" t="s">
        <v>684</v>
      </c>
      <c r="F426">
        <v>3</v>
      </c>
      <c r="G426">
        <v>5</v>
      </c>
      <c r="H426">
        <v>2</v>
      </c>
      <c r="I426">
        <v>5</v>
      </c>
      <c r="J426">
        <v>13</v>
      </c>
      <c r="K426">
        <v>2.8530000000000002</v>
      </c>
      <c r="L426">
        <v>39</v>
      </c>
      <c r="M426">
        <v>21.03</v>
      </c>
      <c r="N426" t="s">
        <v>202</v>
      </c>
      <c r="P426">
        <v>1</v>
      </c>
      <c r="Q426">
        <v>0</v>
      </c>
      <c r="R426">
        <v>0</v>
      </c>
    </row>
    <row r="427" spans="1:18" x14ac:dyDescent="0.3">
      <c r="A427">
        <v>426</v>
      </c>
      <c r="B427">
        <v>1</v>
      </c>
      <c r="C427">
        <v>5</v>
      </c>
      <c r="D427" t="s">
        <v>301</v>
      </c>
      <c r="E427" t="s">
        <v>685</v>
      </c>
      <c r="F427">
        <v>3</v>
      </c>
      <c r="G427">
        <v>2</v>
      </c>
      <c r="H427">
        <v>3</v>
      </c>
      <c r="I427">
        <v>3</v>
      </c>
      <c r="J427">
        <v>14</v>
      </c>
      <c r="K427">
        <v>1.9319999999999999</v>
      </c>
      <c r="L427">
        <v>49</v>
      </c>
      <c r="M427">
        <v>31.06</v>
      </c>
      <c r="N427" t="s">
        <v>202</v>
      </c>
      <c r="O427" t="s">
        <v>33</v>
      </c>
      <c r="P427">
        <v>0</v>
      </c>
      <c r="Q427">
        <v>0</v>
      </c>
      <c r="R427">
        <v>0</v>
      </c>
    </row>
    <row r="428" spans="1:18" x14ac:dyDescent="0.3">
      <c r="A428">
        <v>427</v>
      </c>
      <c r="B428">
        <v>1</v>
      </c>
      <c r="C428">
        <v>6</v>
      </c>
      <c r="D428" t="s">
        <v>686</v>
      </c>
      <c r="E428" t="s">
        <v>687</v>
      </c>
      <c r="F428">
        <v>2</v>
      </c>
      <c r="G428">
        <v>2</v>
      </c>
      <c r="H428">
        <v>1</v>
      </c>
      <c r="I428">
        <v>1</v>
      </c>
      <c r="J428">
        <v>15</v>
      </c>
      <c r="K428">
        <v>1.7549999999999999</v>
      </c>
      <c r="L428">
        <v>24</v>
      </c>
      <c r="M428">
        <v>34.18</v>
      </c>
      <c r="O428" t="s">
        <v>305</v>
      </c>
      <c r="P428">
        <v>0</v>
      </c>
      <c r="Q428">
        <v>1</v>
      </c>
      <c r="R428">
        <v>0</v>
      </c>
    </row>
    <row r="429" spans="1:18" x14ac:dyDescent="0.3">
      <c r="A429">
        <v>428</v>
      </c>
      <c r="B429">
        <v>2</v>
      </c>
      <c r="C429">
        <v>6</v>
      </c>
      <c r="D429" t="s">
        <v>306</v>
      </c>
      <c r="E429" t="s">
        <v>688</v>
      </c>
      <c r="F429">
        <v>4</v>
      </c>
      <c r="G429">
        <v>2</v>
      </c>
      <c r="H429">
        <v>3</v>
      </c>
      <c r="I429">
        <v>4</v>
      </c>
      <c r="J429">
        <v>16</v>
      </c>
      <c r="K429">
        <v>1.516</v>
      </c>
      <c r="L429">
        <v>35</v>
      </c>
      <c r="M429">
        <v>39.590000000000003</v>
      </c>
      <c r="O429" t="s">
        <v>305</v>
      </c>
      <c r="P429">
        <v>0</v>
      </c>
      <c r="Q429">
        <v>1</v>
      </c>
      <c r="R429">
        <v>0</v>
      </c>
    </row>
    <row r="430" spans="1:18" x14ac:dyDescent="0.3">
      <c r="A430">
        <v>429</v>
      </c>
      <c r="B430">
        <v>3</v>
      </c>
      <c r="C430">
        <v>6</v>
      </c>
      <c r="D430" t="s">
        <v>308</v>
      </c>
      <c r="E430" t="s">
        <v>689</v>
      </c>
      <c r="F430">
        <v>4</v>
      </c>
      <c r="G430">
        <v>5</v>
      </c>
      <c r="H430">
        <v>4</v>
      </c>
      <c r="I430">
        <v>5</v>
      </c>
      <c r="J430">
        <v>11</v>
      </c>
      <c r="K430">
        <v>1.954</v>
      </c>
      <c r="L430">
        <v>48</v>
      </c>
      <c r="M430">
        <v>30.71</v>
      </c>
      <c r="O430" t="s">
        <v>305</v>
      </c>
      <c r="P430">
        <v>0</v>
      </c>
      <c r="Q430">
        <v>1</v>
      </c>
      <c r="R430">
        <v>0</v>
      </c>
    </row>
    <row r="431" spans="1:18" x14ac:dyDescent="0.3">
      <c r="A431">
        <v>430</v>
      </c>
      <c r="B431">
        <v>1</v>
      </c>
      <c r="C431">
        <v>6</v>
      </c>
      <c r="D431" t="s">
        <v>310</v>
      </c>
      <c r="E431" t="s">
        <v>311</v>
      </c>
      <c r="F431">
        <v>2</v>
      </c>
      <c r="G431">
        <v>5</v>
      </c>
      <c r="H431">
        <v>4</v>
      </c>
      <c r="I431">
        <v>5</v>
      </c>
      <c r="J431">
        <v>15</v>
      </c>
      <c r="K431">
        <v>1.518</v>
      </c>
      <c r="L431">
        <v>37</v>
      </c>
      <c r="M431">
        <v>39.54</v>
      </c>
      <c r="N431" t="s">
        <v>305</v>
      </c>
      <c r="O431" t="s">
        <v>305</v>
      </c>
      <c r="P431">
        <v>1</v>
      </c>
      <c r="Q431">
        <v>1</v>
      </c>
      <c r="R431">
        <v>1</v>
      </c>
    </row>
    <row r="432" spans="1:18" x14ac:dyDescent="0.3">
      <c r="A432">
        <v>431</v>
      </c>
      <c r="B432">
        <v>2</v>
      </c>
      <c r="C432">
        <v>6</v>
      </c>
      <c r="D432" t="s">
        <v>312</v>
      </c>
      <c r="E432" t="s">
        <v>313</v>
      </c>
      <c r="F432">
        <v>3</v>
      </c>
      <c r="G432">
        <v>4</v>
      </c>
      <c r="H432">
        <v>4</v>
      </c>
      <c r="I432">
        <v>5</v>
      </c>
      <c r="J432">
        <v>15</v>
      </c>
      <c r="K432">
        <v>3.157</v>
      </c>
      <c r="L432">
        <v>40</v>
      </c>
      <c r="M432">
        <v>19.010000000000002</v>
      </c>
      <c r="N432" t="s">
        <v>305</v>
      </c>
      <c r="O432" t="s">
        <v>305</v>
      </c>
      <c r="P432">
        <v>1</v>
      </c>
      <c r="Q432">
        <v>1</v>
      </c>
      <c r="R432">
        <v>1</v>
      </c>
    </row>
    <row r="433" spans="1:18" x14ac:dyDescent="0.3">
      <c r="A433">
        <v>432</v>
      </c>
      <c r="B433">
        <v>3</v>
      </c>
      <c r="C433">
        <v>6</v>
      </c>
      <c r="D433" t="s">
        <v>315</v>
      </c>
      <c r="E433" t="s">
        <v>313</v>
      </c>
      <c r="F433">
        <v>4</v>
      </c>
      <c r="G433">
        <v>4</v>
      </c>
      <c r="H433">
        <v>4</v>
      </c>
      <c r="I433">
        <v>5</v>
      </c>
      <c r="J433">
        <v>15</v>
      </c>
      <c r="K433">
        <v>3.2709999999999999</v>
      </c>
      <c r="L433">
        <v>40</v>
      </c>
      <c r="M433">
        <v>18.34</v>
      </c>
      <c r="N433" t="s">
        <v>305</v>
      </c>
      <c r="O433" t="s">
        <v>305</v>
      </c>
      <c r="P433">
        <v>1</v>
      </c>
      <c r="Q433">
        <v>1</v>
      </c>
      <c r="R433">
        <v>1</v>
      </c>
    </row>
    <row r="434" spans="1:18" x14ac:dyDescent="0.3">
      <c r="A434">
        <v>433</v>
      </c>
      <c r="B434">
        <v>1</v>
      </c>
      <c r="C434">
        <v>6</v>
      </c>
      <c r="D434" t="s">
        <v>317</v>
      </c>
      <c r="E434" t="s">
        <v>690</v>
      </c>
      <c r="F434">
        <v>5</v>
      </c>
      <c r="G434">
        <v>5</v>
      </c>
      <c r="H434">
        <v>5</v>
      </c>
      <c r="I434">
        <v>5</v>
      </c>
      <c r="J434">
        <v>15</v>
      </c>
      <c r="K434">
        <v>1.2549999999999999</v>
      </c>
      <c r="L434">
        <v>31</v>
      </c>
      <c r="M434">
        <v>47.82</v>
      </c>
      <c r="N434" t="s">
        <v>305</v>
      </c>
      <c r="O434" t="s">
        <v>305</v>
      </c>
      <c r="P434">
        <v>1</v>
      </c>
      <c r="Q434">
        <v>1</v>
      </c>
      <c r="R434">
        <v>1</v>
      </c>
    </row>
    <row r="435" spans="1:18" x14ac:dyDescent="0.3">
      <c r="A435">
        <v>434</v>
      </c>
      <c r="B435">
        <v>2</v>
      </c>
      <c r="C435">
        <v>6</v>
      </c>
      <c r="D435" t="s">
        <v>318</v>
      </c>
      <c r="E435" t="s">
        <v>691</v>
      </c>
      <c r="F435">
        <v>4</v>
      </c>
      <c r="G435">
        <v>5</v>
      </c>
      <c r="H435">
        <v>4</v>
      </c>
      <c r="I435">
        <v>5</v>
      </c>
      <c r="J435">
        <v>15</v>
      </c>
      <c r="K435">
        <v>2.8809999999999998</v>
      </c>
      <c r="L435">
        <v>31</v>
      </c>
      <c r="M435">
        <v>20.82</v>
      </c>
      <c r="N435" t="s">
        <v>305</v>
      </c>
      <c r="O435" t="s">
        <v>305</v>
      </c>
      <c r="P435">
        <v>1</v>
      </c>
      <c r="Q435">
        <v>1</v>
      </c>
      <c r="R435">
        <v>1</v>
      </c>
    </row>
    <row r="436" spans="1:18" x14ac:dyDescent="0.3">
      <c r="A436">
        <v>435</v>
      </c>
      <c r="B436">
        <v>3</v>
      </c>
      <c r="C436">
        <v>6</v>
      </c>
      <c r="D436" t="s">
        <v>319</v>
      </c>
      <c r="E436" t="s">
        <v>691</v>
      </c>
      <c r="F436">
        <v>4</v>
      </c>
      <c r="G436">
        <v>5</v>
      </c>
      <c r="H436">
        <v>4</v>
      </c>
      <c r="I436">
        <v>5</v>
      </c>
      <c r="J436">
        <v>15</v>
      </c>
      <c r="K436">
        <v>2.59</v>
      </c>
      <c r="L436">
        <v>31</v>
      </c>
      <c r="M436">
        <v>23.17</v>
      </c>
      <c r="N436" t="s">
        <v>305</v>
      </c>
      <c r="O436" t="s">
        <v>305</v>
      </c>
      <c r="P436">
        <v>1</v>
      </c>
      <c r="Q436">
        <v>1</v>
      </c>
      <c r="R436">
        <v>1</v>
      </c>
    </row>
    <row r="437" spans="1:18" x14ac:dyDescent="0.3">
      <c r="A437">
        <v>436</v>
      </c>
      <c r="B437">
        <v>1</v>
      </c>
      <c r="C437">
        <v>6</v>
      </c>
      <c r="D437" t="s">
        <v>321</v>
      </c>
      <c r="E437" t="s">
        <v>692</v>
      </c>
      <c r="F437">
        <v>4</v>
      </c>
      <c r="G437">
        <v>4</v>
      </c>
      <c r="H437">
        <v>4</v>
      </c>
      <c r="I437">
        <v>5</v>
      </c>
      <c r="J437">
        <v>16</v>
      </c>
      <c r="K437">
        <v>1.909</v>
      </c>
      <c r="L437">
        <v>27</v>
      </c>
      <c r="M437">
        <v>31.44</v>
      </c>
      <c r="N437" t="s">
        <v>305</v>
      </c>
      <c r="O437" t="s">
        <v>344</v>
      </c>
      <c r="P437">
        <v>1</v>
      </c>
      <c r="Q437">
        <v>0.5</v>
      </c>
      <c r="R437">
        <v>0.66700000000000004</v>
      </c>
    </row>
    <row r="438" spans="1:18" x14ac:dyDescent="0.3">
      <c r="A438">
        <v>437</v>
      </c>
      <c r="B438">
        <v>2</v>
      </c>
      <c r="C438">
        <v>6</v>
      </c>
      <c r="D438" t="s">
        <v>323</v>
      </c>
      <c r="E438" t="s">
        <v>693</v>
      </c>
      <c r="F438">
        <v>4</v>
      </c>
      <c r="G438">
        <v>5</v>
      </c>
      <c r="H438">
        <v>4</v>
      </c>
      <c r="I438">
        <v>5</v>
      </c>
      <c r="J438">
        <v>9</v>
      </c>
      <c r="K438">
        <v>3.1829999999999998</v>
      </c>
      <c r="L438">
        <v>22</v>
      </c>
      <c r="M438">
        <v>18.850000000000001</v>
      </c>
      <c r="N438" t="s">
        <v>305</v>
      </c>
      <c r="O438" t="s">
        <v>344</v>
      </c>
      <c r="P438">
        <v>1</v>
      </c>
      <c r="Q438">
        <v>0.5</v>
      </c>
      <c r="R438">
        <v>0.66700000000000004</v>
      </c>
    </row>
    <row r="439" spans="1:18" x14ac:dyDescent="0.3">
      <c r="A439">
        <v>438</v>
      </c>
      <c r="B439">
        <v>3</v>
      </c>
      <c r="C439">
        <v>6</v>
      </c>
      <c r="D439" t="s">
        <v>325</v>
      </c>
      <c r="E439" t="s">
        <v>694</v>
      </c>
      <c r="F439">
        <v>4</v>
      </c>
      <c r="G439">
        <v>5</v>
      </c>
      <c r="H439">
        <v>5</v>
      </c>
      <c r="I439">
        <v>5</v>
      </c>
      <c r="J439">
        <v>10</v>
      </c>
      <c r="K439">
        <v>1.8460000000000001</v>
      </c>
      <c r="L439">
        <v>14</v>
      </c>
      <c r="M439">
        <v>32.5</v>
      </c>
      <c r="N439" t="s">
        <v>305</v>
      </c>
      <c r="O439" t="s">
        <v>344</v>
      </c>
      <c r="P439">
        <v>1</v>
      </c>
      <c r="Q439">
        <v>0.5</v>
      </c>
      <c r="R439">
        <v>0.66700000000000004</v>
      </c>
    </row>
    <row r="440" spans="1:18" x14ac:dyDescent="0.3">
      <c r="A440">
        <v>439</v>
      </c>
      <c r="B440">
        <v>1</v>
      </c>
      <c r="C440">
        <v>6</v>
      </c>
      <c r="D440" t="s">
        <v>327</v>
      </c>
      <c r="E440" t="s">
        <v>695</v>
      </c>
      <c r="F440">
        <v>3</v>
      </c>
      <c r="G440">
        <v>5</v>
      </c>
      <c r="H440">
        <v>3</v>
      </c>
      <c r="I440">
        <v>5</v>
      </c>
      <c r="J440">
        <v>10</v>
      </c>
      <c r="K440">
        <v>1.5780000000000001</v>
      </c>
      <c r="L440">
        <v>50</v>
      </c>
      <c r="M440">
        <v>38.03</v>
      </c>
      <c r="N440" t="s">
        <v>305</v>
      </c>
      <c r="O440" t="s">
        <v>344</v>
      </c>
      <c r="P440">
        <v>1</v>
      </c>
      <c r="Q440">
        <v>0.5</v>
      </c>
      <c r="R440">
        <v>0.66700000000000004</v>
      </c>
    </row>
    <row r="441" spans="1:18" x14ac:dyDescent="0.3">
      <c r="A441">
        <v>440</v>
      </c>
      <c r="B441">
        <v>2</v>
      </c>
      <c r="C441">
        <v>6</v>
      </c>
      <c r="D441" t="s">
        <v>347</v>
      </c>
      <c r="E441" t="s">
        <v>696</v>
      </c>
      <c r="F441">
        <v>4</v>
      </c>
      <c r="G441">
        <v>4</v>
      </c>
      <c r="H441">
        <v>4</v>
      </c>
      <c r="I441">
        <v>5</v>
      </c>
      <c r="J441">
        <v>10</v>
      </c>
      <c r="K441">
        <v>1.738</v>
      </c>
      <c r="L441">
        <v>57</v>
      </c>
      <c r="M441">
        <v>34.53</v>
      </c>
      <c r="O441" t="s">
        <v>305</v>
      </c>
      <c r="P441">
        <v>0</v>
      </c>
      <c r="Q441">
        <v>1</v>
      </c>
      <c r="R441">
        <v>0</v>
      </c>
    </row>
    <row r="442" spans="1:18" x14ac:dyDescent="0.3">
      <c r="A442">
        <v>441</v>
      </c>
      <c r="B442">
        <v>3</v>
      </c>
      <c r="C442">
        <v>6</v>
      </c>
      <c r="D442" t="s">
        <v>349</v>
      </c>
      <c r="E442" t="s">
        <v>697</v>
      </c>
      <c r="F442">
        <v>5</v>
      </c>
      <c r="G442">
        <v>5</v>
      </c>
      <c r="H442">
        <v>5</v>
      </c>
      <c r="I442">
        <v>5</v>
      </c>
      <c r="J442">
        <v>12</v>
      </c>
      <c r="K442">
        <v>2.1640000000000001</v>
      </c>
      <c r="L442">
        <v>29</v>
      </c>
      <c r="M442">
        <v>27.73</v>
      </c>
      <c r="O442" t="s">
        <v>344</v>
      </c>
      <c r="P442">
        <v>0</v>
      </c>
      <c r="Q442">
        <v>1</v>
      </c>
      <c r="R442">
        <v>0</v>
      </c>
    </row>
    <row r="443" spans="1:18" x14ac:dyDescent="0.3">
      <c r="A443">
        <v>442</v>
      </c>
      <c r="B443">
        <v>1</v>
      </c>
      <c r="C443">
        <v>6</v>
      </c>
      <c r="D443" t="s">
        <v>686</v>
      </c>
      <c r="E443" t="s">
        <v>698</v>
      </c>
      <c r="F443">
        <v>2</v>
      </c>
      <c r="G443">
        <v>5</v>
      </c>
      <c r="H443">
        <v>4</v>
      </c>
      <c r="I443">
        <v>5</v>
      </c>
      <c r="J443">
        <v>15</v>
      </c>
      <c r="K443">
        <v>2.1560000000000001</v>
      </c>
      <c r="L443">
        <v>23</v>
      </c>
      <c r="M443">
        <v>27.84</v>
      </c>
      <c r="O443" t="s">
        <v>305</v>
      </c>
      <c r="P443">
        <v>0</v>
      </c>
      <c r="Q443">
        <v>1</v>
      </c>
      <c r="R443">
        <v>0</v>
      </c>
    </row>
    <row r="444" spans="1:18" x14ac:dyDescent="0.3">
      <c r="A444">
        <v>443</v>
      </c>
      <c r="B444">
        <v>2</v>
      </c>
      <c r="C444">
        <v>6</v>
      </c>
      <c r="D444" t="s">
        <v>306</v>
      </c>
      <c r="E444" t="s">
        <v>699</v>
      </c>
      <c r="F444">
        <v>5</v>
      </c>
      <c r="G444">
        <v>5</v>
      </c>
      <c r="H444">
        <v>5</v>
      </c>
      <c r="I444">
        <v>5</v>
      </c>
      <c r="J444">
        <v>14</v>
      </c>
      <c r="K444">
        <v>1.5640000000000001</v>
      </c>
      <c r="L444">
        <v>32</v>
      </c>
      <c r="M444">
        <v>38.36</v>
      </c>
      <c r="O444" t="s">
        <v>305</v>
      </c>
      <c r="P444">
        <v>0</v>
      </c>
      <c r="Q444">
        <v>1</v>
      </c>
      <c r="R444">
        <v>0</v>
      </c>
    </row>
    <row r="445" spans="1:18" x14ac:dyDescent="0.3">
      <c r="A445">
        <v>444</v>
      </c>
      <c r="B445">
        <v>3</v>
      </c>
      <c r="C445">
        <v>6</v>
      </c>
      <c r="D445" t="s">
        <v>308</v>
      </c>
      <c r="E445" t="s">
        <v>700</v>
      </c>
      <c r="F445">
        <v>4</v>
      </c>
      <c r="G445">
        <v>4</v>
      </c>
      <c r="H445">
        <v>5</v>
      </c>
      <c r="I445">
        <v>5</v>
      </c>
      <c r="J445">
        <v>15</v>
      </c>
      <c r="K445">
        <v>1.778</v>
      </c>
      <c r="L445">
        <v>27</v>
      </c>
      <c r="M445">
        <v>33.75</v>
      </c>
      <c r="O445" t="s">
        <v>305</v>
      </c>
      <c r="P445">
        <v>0</v>
      </c>
      <c r="Q445">
        <v>1</v>
      </c>
      <c r="R445">
        <v>0</v>
      </c>
    </row>
    <row r="446" spans="1:18" x14ac:dyDescent="0.3">
      <c r="A446">
        <v>445</v>
      </c>
      <c r="B446">
        <v>1</v>
      </c>
      <c r="C446">
        <v>6</v>
      </c>
      <c r="D446" t="s">
        <v>310</v>
      </c>
      <c r="E446" t="s">
        <v>701</v>
      </c>
      <c r="F446">
        <v>4</v>
      </c>
      <c r="G446">
        <v>5</v>
      </c>
      <c r="H446">
        <v>5</v>
      </c>
      <c r="I446">
        <v>5</v>
      </c>
      <c r="J446">
        <v>14</v>
      </c>
      <c r="K446">
        <v>1.5349999999999999</v>
      </c>
      <c r="L446">
        <v>20</v>
      </c>
      <c r="M446">
        <v>39.08</v>
      </c>
      <c r="N446" t="s">
        <v>305</v>
      </c>
      <c r="O446" t="s">
        <v>305</v>
      </c>
      <c r="P446">
        <v>1</v>
      </c>
      <c r="Q446">
        <v>1</v>
      </c>
      <c r="R446">
        <v>1</v>
      </c>
    </row>
    <row r="447" spans="1:18" x14ac:dyDescent="0.3">
      <c r="A447">
        <v>446</v>
      </c>
      <c r="B447">
        <v>2</v>
      </c>
      <c r="C447">
        <v>6</v>
      </c>
      <c r="D447" t="s">
        <v>312</v>
      </c>
      <c r="E447" t="s">
        <v>702</v>
      </c>
      <c r="F447">
        <v>5</v>
      </c>
      <c r="G447">
        <v>5</v>
      </c>
      <c r="H447">
        <v>5</v>
      </c>
      <c r="I447">
        <v>5</v>
      </c>
      <c r="J447">
        <v>15</v>
      </c>
      <c r="K447">
        <v>2.6579999999999999</v>
      </c>
      <c r="L447">
        <v>22</v>
      </c>
      <c r="M447">
        <v>22.58</v>
      </c>
      <c r="N447" t="s">
        <v>305</v>
      </c>
      <c r="O447" t="s">
        <v>305</v>
      </c>
      <c r="P447">
        <v>1</v>
      </c>
      <c r="Q447">
        <v>1</v>
      </c>
      <c r="R447">
        <v>1</v>
      </c>
    </row>
    <row r="448" spans="1:18" x14ac:dyDescent="0.3">
      <c r="A448">
        <v>447</v>
      </c>
      <c r="B448">
        <v>3</v>
      </c>
      <c r="C448">
        <v>6</v>
      </c>
      <c r="D448" t="s">
        <v>314</v>
      </c>
      <c r="E448" t="s">
        <v>702</v>
      </c>
      <c r="F448">
        <v>4</v>
      </c>
      <c r="G448">
        <v>5</v>
      </c>
      <c r="H448">
        <v>5</v>
      </c>
      <c r="I448">
        <v>5</v>
      </c>
      <c r="J448">
        <v>15</v>
      </c>
      <c r="K448">
        <v>2.6459999999999999</v>
      </c>
      <c r="L448">
        <v>22</v>
      </c>
      <c r="M448">
        <v>22.67</v>
      </c>
      <c r="N448" t="s">
        <v>305</v>
      </c>
      <c r="O448" t="s">
        <v>305</v>
      </c>
      <c r="P448">
        <v>1</v>
      </c>
      <c r="Q448">
        <v>1</v>
      </c>
      <c r="R448">
        <v>1</v>
      </c>
    </row>
    <row r="449" spans="1:18" x14ac:dyDescent="0.3">
      <c r="A449">
        <v>448</v>
      </c>
      <c r="B449">
        <v>1</v>
      </c>
      <c r="C449">
        <v>6</v>
      </c>
      <c r="D449" t="s">
        <v>315</v>
      </c>
      <c r="E449" t="s">
        <v>703</v>
      </c>
      <c r="F449">
        <v>3</v>
      </c>
      <c r="G449">
        <v>3</v>
      </c>
      <c r="H449">
        <v>2</v>
      </c>
      <c r="I449">
        <v>1</v>
      </c>
      <c r="J449">
        <v>15</v>
      </c>
      <c r="K449">
        <v>1.4530000000000001</v>
      </c>
      <c r="L449">
        <v>37</v>
      </c>
      <c r="M449">
        <v>41.29</v>
      </c>
      <c r="N449" t="s">
        <v>305</v>
      </c>
      <c r="O449" t="s">
        <v>305</v>
      </c>
      <c r="P449">
        <v>1</v>
      </c>
      <c r="Q449">
        <v>1</v>
      </c>
      <c r="R449">
        <v>1</v>
      </c>
    </row>
    <row r="450" spans="1:18" x14ac:dyDescent="0.3">
      <c r="A450">
        <v>449</v>
      </c>
      <c r="B450">
        <v>2</v>
      </c>
      <c r="C450">
        <v>6</v>
      </c>
      <c r="D450" t="s">
        <v>317</v>
      </c>
      <c r="E450" t="s">
        <v>703</v>
      </c>
      <c r="F450">
        <v>4</v>
      </c>
      <c r="G450">
        <v>4</v>
      </c>
      <c r="H450">
        <v>3</v>
      </c>
      <c r="I450">
        <v>5</v>
      </c>
      <c r="J450">
        <v>15</v>
      </c>
      <c r="K450">
        <v>2.9119999999999999</v>
      </c>
      <c r="L450">
        <v>37</v>
      </c>
      <c r="M450">
        <v>20.61</v>
      </c>
      <c r="N450" t="s">
        <v>305</v>
      </c>
      <c r="O450" t="s">
        <v>305</v>
      </c>
      <c r="P450">
        <v>1</v>
      </c>
      <c r="Q450">
        <v>1</v>
      </c>
      <c r="R450">
        <v>1</v>
      </c>
    </row>
    <row r="451" spans="1:18" x14ac:dyDescent="0.3">
      <c r="A451">
        <v>450</v>
      </c>
      <c r="B451">
        <v>3</v>
      </c>
      <c r="C451">
        <v>6</v>
      </c>
      <c r="D451" t="s">
        <v>318</v>
      </c>
      <c r="E451" t="s">
        <v>703</v>
      </c>
      <c r="F451">
        <v>4</v>
      </c>
      <c r="G451">
        <v>5</v>
      </c>
      <c r="H451">
        <v>2</v>
      </c>
      <c r="I451">
        <v>5</v>
      </c>
      <c r="J451">
        <v>15</v>
      </c>
      <c r="K451">
        <v>3.0510000000000002</v>
      </c>
      <c r="L451">
        <v>37</v>
      </c>
      <c r="M451">
        <v>19.66</v>
      </c>
      <c r="N451" t="s">
        <v>305</v>
      </c>
      <c r="O451" t="s">
        <v>305</v>
      </c>
      <c r="P451">
        <v>1</v>
      </c>
      <c r="Q451">
        <v>1</v>
      </c>
      <c r="R451">
        <v>1</v>
      </c>
    </row>
    <row r="452" spans="1:18" x14ac:dyDescent="0.3">
      <c r="A452">
        <v>451</v>
      </c>
      <c r="B452">
        <v>1</v>
      </c>
      <c r="C452">
        <v>6</v>
      </c>
      <c r="D452" t="s">
        <v>319</v>
      </c>
      <c r="E452" t="s">
        <v>704</v>
      </c>
      <c r="F452">
        <v>4</v>
      </c>
      <c r="G452">
        <v>5</v>
      </c>
      <c r="H452">
        <v>2</v>
      </c>
      <c r="I452">
        <v>5</v>
      </c>
      <c r="J452">
        <v>15</v>
      </c>
      <c r="K452">
        <v>1.5760000000000001</v>
      </c>
      <c r="L452">
        <v>45</v>
      </c>
      <c r="M452">
        <v>38.08</v>
      </c>
      <c r="N452" t="s">
        <v>305</v>
      </c>
      <c r="O452" t="s">
        <v>305</v>
      </c>
      <c r="P452">
        <v>1</v>
      </c>
      <c r="Q452">
        <v>1</v>
      </c>
      <c r="R452">
        <v>1</v>
      </c>
    </row>
    <row r="453" spans="1:18" x14ac:dyDescent="0.3">
      <c r="A453">
        <v>452</v>
      </c>
      <c r="B453">
        <v>2</v>
      </c>
      <c r="C453">
        <v>6</v>
      </c>
      <c r="D453" t="s">
        <v>321</v>
      </c>
      <c r="E453" t="s">
        <v>705</v>
      </c>
      <c r="F453">
        <v>3</v>
      </c>
      <c r="G453">
        <v>4</v>
      </c>
      <c r="H453">
        <v>2</v>
      </c>
      <c r="I453">
        <v>5</v>
      </c>
      <c r="J453">
        <v>15</v>
      </c>
      <c r="K453">
        <v>1.452</v>
      </c>
      <c r="L453">
        <v>31</v>
      </c>
      <c r="M453">
        <v>41.33</v>
      </c>
      <c r="N453" t="s">
        <v>305</v>
      </c>
      <c r="O453" t="s">
        <v>305</v>
      </c>
      <c r="P453">
        <v>1</v>
      </c>
      <c r="Q453">
        <v>1</v>
      </c>
      <c r="R453">
        <v>1</v>
      </c>
    </row>
    <row r="454" spans="1:18" x14ac:dyDescent="0.3">
      <c r="A454">
        <v>453</v>
      </c>
      <c r="B454">
        <v>3</v>
      </c>
      <c r="C454">
        <v>6</v>
      </c>
      <c r="D454" t="s">
        <v>323</v>
      </c>
      <c r="E454" t="s">
        <v>706</v>
      </c>
      <c r="F454">
        <v>3</v>
      </c>
      <c r="G454">
        <v>3</v>
      </c>
      <c r="H454">
        <v>2</v>
      </c>
      <c r="I454">
        <v>5</v>
      </c>
      <c r="J454">
        <v>9</v>
      </c>
      <c r="K454">
        <v>2.4129999999999998</v>
      </c>
      <c r="L454">
        <v>33</v>
      </c>
      <c r="M454">
        <v>24.86</v>
      </c>
      <c r="N454" t="s">
        <v>305</v>
      </c>
      <c r="O454" t="s">
        <v>305</v>
      </c>
      <c r="P454">
        <v>1</v>
      </c>
      <c r="Q454">
        <v>1</v>
      </c>
      <c r="R454">
        <v>1</v>
      </c>
    </row>
    <row r="455" spans="1:18" x14ac:dyDescent="0.3">
      <c r="A455">
        <v>454</v>
      </c>
      <c r="B455">
        <v>1</v>
      </c>
      <c r="C455">
        <v>6</v>
      </c>
      <c r="D455" t="s">
        <v>325</v>
      </c>
      <c r="E455" t="s">
        <v>707</v>
      </c>
      <c r="F455">
        <v>5</v>
      </c>
      <c r="G455">
        <v>5</v>
      </c>
      <c r="H455">
        <v>5</v>
      </c>
      <c r="I455">
        <v>5</v>
      </c>
      <c r="J455">
        <v>13</v>
      </c>
      <c r="K455">
        <v>1.2250000000000001</v>
      </c>
      <c r="L455">
        <v>37</v>
      </c>
      <c r="M455">
        <v>48.96</v>
      </c>
      <c r="N455" t="s">
        <v>305</v>
      </c>
      <c r="O455" t="s">
        <v>305</v>
      </c>
      <c r="P455">
        <v>1</v>
      </c>
      <c r="Q455">
        <v>1</v>
      </c>
      <c r="R455">
        <v>1</v>
      </c>
    </row>
    <row r="456" spans="1:18" x14ac:dyDescent="0.3">
      <c r="A456">
        <v>455</v>
      </c>
      <c r="B456">
        <v>2</v>
      </c>
      <c r="C456">
        <v>6</v>
      </c>
      <c r="D456" t="s">
        <v>327</v>
      </c>
      <c r="E456" t="s">
        <v>708</v>
      </c>
      <c r="F456">
        <v>3</v>
      </c>
      <c r="G456">
        <v>3</v>
      </c>
      <c r="H456">
        <v>2</v>
      </c>
      <c r="I456">
        <v>5</v>
      </c>
      <c r="J456">
        <v>9</v>
      </c>
      <c r="K456">
        <v>1.411</v>
      </c>
      <c r="L456">
        <v>42</v>
      </c>
      <c r="M456">
        <v>42.52</v>
      </c>
      <c r="N456" t="s">
        <v>305</v>
      </c>
      <c r="O456" t="s">
        <v>344</v>
      </c>
      <c r="P456">
        <v>1</v>
      </c>
      <c r="Q456">
        <v>0.5</v>
      </c>
      <c r="R456">
        <v>0.66700000000000004</v>
      </c>
    </row>
    <row r="457" spans="1:18" x14ac:dyDescent="0.3">
      <c r="A457">
        <v>456</v>
      </c>
      <c r="B457">
        <v>3</v>
      </c>
      <c r="C457">
        <v>6</v>
      </c>
      <c r="D457" t="s">
        <v>329</v>
      </c>
      <c r="E457" t="s">
        <v>708</v>
      </c>
      <c r="F457">
        <v>4</v>
      </c>
      <c r="G457">
        <v>3</v>
      </c>
      <c r="H457">
        <v>2</v>
      </c>
      <c r="I457">
        <v>5</v>
      </c>
      <c r="J457">
        <v>9</v>
      </c>
      <c r="K457">
        <v>2.6030000000000002</v>
      </c>
      <c r="L457">
        <v>42</v>
      </c>
      <c r="M457">
        <v>23.05</v>
      </c>
      <c r="N457" t="s">
        <v>305</v>
      </c>
      <c r="O457" t="s">
        <v>344</v>
      </c>
      <c r="P457">
        <v>1</v>
      </c>
      <c r="Q457">
        <v>0.5</v>
      </c>
      <c r="R457">
        <v>0.66700000000000004</v>
      </c>
    </row>
    <row r="458" spans="1:18" x14ac:dyDescent="0.3">
      <c r="A458">
        <v>457</v>
      </c>
      <c r="B458">
        <v>1</v>
      </c>
      <c r="C458">
        <v>6</v>
      </c>
      <c r="D458" t="s">
        <v>330</v>
      </c>
      <c r="E458" t="s">
        <v>709</v>
      </c>
      <c r="F458">
        <v>4</v>
      </c>
      <c r="G458">
        <v>3</v>
      </c>
      <c r="H458">
        <v>3</v>
      </c>
      <c r="I458">
        <v>5</v>
      </c>
      <c r="J458">
        <v>13</v>
      </c>
      <c r="K458">
        <v>1.859</v>
      </c>
      <c r="L458">
        <v>62</v>
      </c>
      <c r="M458">
        <v>32.28</v>
      </c>
      <c r="N458" t="s">
        <v>305</v>
      </c>
      <c r="O458" t="s">
        <v>305</v>
      </c>
      <c r="P458">
        <v>1</v>
      </c>
      <c r="Q458">
        <v>1</v>
      </c>
      <c r="R458">
        <v>1</v>
      </c>
    </row>
    <row r="459" spans="1:18" x14ac:dyDescent="0.3">
      <c r="A459">
        <v>458</v>
      </c>
      <c r="B459">
        <v>2</v>
      </c>
      <c r="C459">
        <v>6</v>
      </c>
      <c r="D459" t="s">
        <v>332</v>
      </c>
      <c r="E459" t="s">
        <v>710</v>
      </c>
      <c r="F459">
        <v>5</v>
      </c>
      <c r="G459">
        <v>3</v>
      </c>
      <c r="H459">
        <v>2</v>
      </c>
      <c r="I459">
        <v>5</v>
      </c>
      <c r="J459">
        <v>14</v>
      </c>
      <c r="K459">
        <v>2.012</v>
      </c>
      <c r="L459">
        <v>42</v>
      </c>
      <c r="M459">
        <v>29.82</v>
      </c>
      <c r="N459" t="s">
        <v>305</v>
      </c>
      <c r="O459" t="s">
        <v>305</v>
      </c>
      <c r="P459">
        <v>1</v>
      </c>
      <c r="Q459">
        <v>1</v>
      </c>
      <c r="R459">
        <v>1</v>
      </c>
    </row>
    <row r="460" spans="1:18" x14ac:dyDescent="0.3">
      <c r="A460">
        <v>459</v>
      </c>
      <c r="B460">
        <v>3</v>
      </c>
      <c r="C460">
        <v>6</v>
      </c>
      <c r="D460" t="s">
        <v>334</v>
      </c>
      <c r="E460" t="s">
        <v>710</v>
      </c>
      <c r="F460">
        <v>4</v>
      </c>
      <c r="G460">
        <v>3</v>
      </c>
      <c r="H460">
        <v>3</v>
      </c>
      <c r="I460">
        <v>5</v>
      </c>
      <c r="J460">
        <v>14</v>
      </c>
      <c r="K460">
        <v>4.242</v>
      </c>
      <c r="L460">
        <v>42</v>
      </c>
      <c r="M460">
        <v>14.14</v>
      </c>
      <c r="N460" t="s">
        <v>305</v>
      </c>
      <c r="O460" t="s">
        <v>305</v>
      </c>
      <c r="P460">
        <v>1</v>
      </c>
      <c r="Q460">
        <v>1</v>
      </c>
      <c r="R460">
        <v>1</v>
      </c>
    </row>
    <row r="461" spans="1:18" x14ac:dyDescent="0.3">
      <c r="A461">
        <v>460</v>
      </c>
      <c r="B461">
        <v>1</v>
      </c>
      <c r="C461">
        <v>6</v>
      </c>
      <c r="D461" t="s">
        <v>335</v>
      </c>
      <c r="E461" t="s">
        <v>711</v>
      </c>
      <c r="F461">
        <v>3</v>
      </c>
      <c r="G461">
        <v>3</v>
      </c>
      <c r="H461">
        <v>3</v>
      </c>
      <c r="I461">
        <v>5</v>
      </c>
      <c r="J461">
        <v>12</v>
      </c>
      <c r="K461">
        <v>1.679</v>
      </c>
      <c r="L461">
        <v>32</v>
      </c>
      <c r="M461">
        <v>35.74</v>
      </c>
      <c r="N461" t="s">
        <v>305</v>
      </c>
      <c r="O461" t="s">
        <v>305</v>
      </c>
      <c r="P461">
        <v>1</v>
      </c>
      <c r="Q461">
        <v>1</v>
      </c>
      <c r="R461">
        <v>1</v>
      </c>
    </row>
    <row r="462" spans="1:18" x14ac:dyDescent="0.3">
      <c r="A462">
        <v>461</v>
      </c>
      <c r="B462">
        <v>2</v>
      </c>
      <c r="C462">
        <v>6</v>
      </c>
      <c r="D462" t="s">
        <v>337</v>
      </c>
      <c r="E462" t="s">
        <v>712</v>
      </c>
      <c r="F462">
        <v>4</v>
      </c>
      <c r="G462">
        <v>4</v>
      </c>
      <c r="H462">
        <v>3</v>
      </c>
      <c r="I462">
        <v>5</v>
      </c>
      <c r="J462">
        <v>12</v>
      </c>
      <c r="K462">
        <v>2.7250000000000001</v>
      </c>
      <c r="L462">
        <v>32</v>
      </c>
      <c r="M462">
        <v>22.02</v>
      </c>
      <c r="N462" t="s">
        <v>305</v>
      </c>
      <c r="O462" t="s">
        <v>305</v>
      </c>
      <c r="P462">
        <v>1</v>
      </c>
      <c r="Q462">
        <v>1</v>
      </c>
      <c r="R462">
        <v>1</v>
      </c>
    </row>
    <row r="463" spans="1:18" x14ac:dyDescent="0.3">
      <c r="A463">
        <v>462</v>
      </c>
      <c r="B463">
        <v>3</v>
      </c>
      <c r="C463">
        <v>6</v>
      </c>
      <c r="D463" t="s">
        <v>339</v>
      </c>
      <c r="E463" t="s">
        <v>713</v>
      </c>
      <c r="F463">
        <v>3</v>
      </c>
      <c r="G463">
        <v>3</v>
      </c>
      <c r="H463">
        <v>2</v>
      </c>
      <c r="I463">
        <v>5</v>
      </c>
      <c r="J463">
        <v>13</v>
      </c>
      <c r="K463">
        <v>3.1339999999999999</v>
      </c>
      <c r="L463">
        <v>32</v>
      </c>
      <c r="M463">
        <v>19.14</v>
      </c>
      <c r="N463" t="s">
        <v>305</v>
      </c>
      <c r="O463" t="s">
        <v>305</v>
      </c>
      <c r="P463">
        <v>1</v>
      </c>
      <c r="Q463">
        <v>1</v>
      </c>
      <c r="R463">
        <v>1</v>
      </c>
    </row>
    <row r="464" spans="1:18" x14ac:dyDescent="0.3">
      <c r="A464">
        <v>463</v>
      </c>
      <c r="B464">
        <v>1</v>
      </c>
      <c r="C464">
        <v>6</v>
      </c>
      <c r="D464" t="s">
        <v>340</v>
      </c>
      <c r="E464" t="s">
        <v>714</v>
      </c>
      <c r="F464">
        <v>3</v>
      </c>
      <c r="G464">
        <v>3</v>
      </c>
      <c r="H464">
        <v>2</v>
      </c>
      <c r="I464">
        <v>5</v>
      </c>
      <c r="J464">
        <v>14</v>
      </c>
      <c r="K464">
        <v>1.329</v>
      </c>
      <c r="L464">
        <v>24</v>
      </c>
      <c r="M464">
        <v>45.15</v>
      </c>
      <c r="O464" t="s">
        <v>344</v>
      </c>
      <c r="P464">
        <v>0</v>
      </c>
      <c r="Q464">
        <v>1</v>
      </c>
      <c r="R464">
        <v>0</v>
      </c>
    </row>
    <row r="465" spans="1:18" x14ac:dyDescent="0.3">
      <c r="A465">
        <v>464</v>
      </c>
      <c r="B465">
        <v>2</v>
      </c>
      <c r="C465">
        <v>6</v>
      </c>
      <c r="D465" t="s">
        <v>342</v>
      </c>
      <c r="E465" t="s">
        <v>715</v>
      </c>
      <c r="F465">
        <v>4</v>
      </c>
      <c r="G465">
        <v>4</v>
      </c>
      <c r="H465">
        <v>2</v>
      </c>
      <c r="I465">
        <v>5</v>
      </c>
      <c r="J465">
        <v>16</v>
      </c>
      <c r="K465">
        <v>1.607</v>
      </c>
      <c r="L465">
        <v>39</v>
      </c>
      <c r="M465">
        <v>37.340000000000003</v>
      </c>
      <c r="O465" t="s">
        <v>305</v>
      </c>
      <c r="P465">
        <v>0</v>
      </c>
      <c r="Q465">
        <v>1</v>
      </c>
      <c r="R465">
        <v>0</v>
      </c>
    </row>
    <row r="466" spans="1:18" x14ac:dyDescent="0.3">
      <c r="A466">
        <v>465</v>
      </c>
      <c r="B466">
        <v>3</v>
      </c>
      <c r="C466">
        <v>6</v>
      </c>
      <c r="D466" t="s">
        <v>345</v>
      </c>
      <c r="E466" t="s">
        <v>716</v>
      </c>
      <c r="F466">
        <v>3</v>
      </c>
      <c r="G466">
        <v>5</v>
      </c>
      <c r="H466">
        <v>2</v>
      </c>
      <c r="I466">
        <v>5</v>
      </c>
      <c r="J466">
        <v>16</v>
      </c>
      <c r="K466">
        <v>1.321</v>
      </c>
      <c r="L466">
        <v>36</v>
      </c>
      <c r="M466">
        <v>45.43</v>
      </c>
      <c r="O466" t="s">
        <v>305</v>
      </c>
      <c r="P466">
        <v>0</v>
      </c>
      <c r="Q466">
        <v>1</v>
      </c>
      <c r="R466">
        <v>0</v>
      </c>
    </row>
    <row r="467" spans="1:18" x14ac:dyDescent="0.3">
      <c r="A467">
        <v>466</v>
      </c>
      <c r="B467">
        <v>1</v>
      </c>
      <c r="C467">
        <v>6</v>
      </c>
      <c r="D467" t="s">
        <v>347</v>
      </c>
      <c r="E467" t="s">
        <v>717</v>
      </c>
      <c r="F467">
        <v>5</v>
      </c>
      <c r="G467">
        <v>4</v>
      </c>
      <c r="H467">
        <v>2</v>
      </c>
      <c r="I467">
        <v>5</v>
      </c>
      <c r="J467">
        <v>14</v>
      </c>
      <c r="K467">
        <v>1.3</v>
      </c>
      <c r="L467">
        <v>19</v>
      </c>
      <c r="M467">
        <v>46.16</v>
      </c>
      <c r="O467" t="s">
        <v>344</v>
      </c>
      <c r="P467">
        <v>0</v>
      </c>
      <c r="Q467">
        <v>1</v>
      </c>
      <c r="R467">
        <v>0</v>
      </c>
    </row>
    <row r="468" spans="1:18" x14ac:dyDescent="0.3">
      <c r="A468">
        <v>467</v>
      </c>
      <c r="B468">
        <v>2</v>
      </c>
      <c r="C468">
        <v>6</v>
      </c>
      <c r="D468" t="s">
        <v>349</v>
      </c>
      <c r="E468" t="s">
        <v>718</v>
      </c>
      <c r="F468">
        <v>5</v>
      </c>
      <c r="G468">
        <v>3</v>
      </c>
      <c r="H468">
        <v>2</v>
      </c>
      <c r="I468">
        <v>5</v>
      </c>
      <c r="J468">
        <v>15</v>
      </c>
      <c r="K468">
        <v>1.4650000000000001</v>
      </c>
      <c r="L468">
        <v>14</v>
      </c>
      <c r="M468">
        <v>40.96</v>
      </c>
      <c r="O468" t="s">
        <v>344</v>
      </c>
      <c r="P468">
        <v>0</v>
      </c>
      <c r="Q468">
        <v>1</v>
      </c>
      <c r="R468">
        <v>0</v>
      </c>
    </row>
    <row r="469" spans="1:18" x14ac:dyDescent="0.3">
      <c r="A469">
        <v>468</v>
      </c>
      <c r="B469">
        <v>1</v>
      </c>
      <c r="C469">
        <v>7</v>
      </c>
      <c r="D469" t="s">
        <v>351</v>
      </c>
      <c r="E469" t="s">
        <v>719</v>
      </c>
      <c r="F469">
        <v>5</v>
      </c>
      <c r="G469">
        <v>3</v>
      </c>
      <c r="H469">
        <v>2</v>
      </c>
      <c r="I469">
        <v>5</v>
      </c>
      <c r="J469">
        <v>15</v>
      </c>
      <c r="K469">
        <v>1.893</v>
      </c>
      <c r="L469">
        <v>16</v>
      </c>
      <c r="M469">
        <v>31.7</v>
      </c>
      <c r="N469" t="s">
        <v>344</v>
      </c>
      <c r="P469">
        <v>1</v>
      </c>
      <c r="Q469">
        <v>0</v>
      </c>
      <c r="R469">
        <v>0</v>
      </c>
    </row>
    <row r="470" spans="1:18" x14ac:dyDescent="0.3">
      <c r="A470">
        <v>469</v>
      </c>
      <c r="B470">
        <v>2</v>
      </c>
      <c r="C470">
        <v>7</v>
      </c>
      <c r="D470" t="s">
        <v>353</v>
      </c>
      <c r="E470" t="s">
        <v>720</v>
      </c>
      <c r="F470">
        <v>4</v>
      </c>
      <c r="G470">
        <v>3</v>
      </c>
      <c r="H470">
        <v>3</v>
      </c>
      <c r="I470">
        <v>5</v>
      </c>
      <c r="J470">
        <v>13</v>
      </c>
      <c r="K470">
        <v>2.802</v>
      </c>
      <c r="L470">
        <v>16</v>
      </c>
      <c r="M470">
        <v>21.41</v>
      </c>
      <c r="N470" t="s">
        <v>344</v>
      </c>
      <c r="P470">
        <v>1</v>
      </c>
      <c r="Q470">
        <v>0</v>
      </c>
      <c r="R470">
        <v>0</v>
      </c>
    </row>
    <row r="471" spans="1:18" x14ac:dyDescent="0.3">
      <c r="A471">
        <v>470</v>
      </c>
      <c r="B471">
        <v>3</v>
      </c>
      <c r="C471">
        <v>7</v>
      </c>
      <c r="D471" t="s">
        <v>356</v>
      </c>
      <c r="E471" t="s">
        <v>720</v>
      </c>
      <c r="F471">
        <v>4</v>
      </c>
      <c r="G471">
        <v>3</v>
      </c>
      <c r="H471">
        <v>2</v>
      </c>
      <c r="I471">
        <v>5</v>
      </c>
      <c r="J471">
        <v>13</v>
      </c>
      <c r="K471">
        <v>2.8159999999999998</v>
      </c>
      <c r="L471">
        <v>16</v>
      </c>
      <c r="M471">
        <v>21.3</v>
      </c>
      <c r="N471" t="s">
        <v>344</v>
      </c>
      <c r="P471">
        <v>1</v>
      </c>
      <c r="Q471">
        <v>0</v>
      </c>
      <c r="R471">
        <v>0</v>
      </c>
    </row>
    <row r="472" spans="1:18" x14ac:dyDescent="0.3">
      <c r="A472">
        <v>471</v>
      </c>
      <c r="B472">
        <v>1</v>
      </c>
      <c r="C472">
        <v>7</v>
      </c>
      <c r="D472" t="s">
        <v>357</v>
      </c>
      <c r="E472" t="s">
        <v>358</v>
      </c>
      <c r="F472">
        <v>3</v>
      </c>
      <c r="G472">
        <v>3</v>
      </c>
      <c r="H472">
        <v>4</v>
      </c>
      <c r="I472">
        <v>5</v>
      </c>
      <c r="J472">
        <v>16</v>
      </c>
      <c r="K472">
        <v>1.4850000000000001</v>
      </c>
      <c r="L472">
        <v>41</v>
      </c>
      <c r="M472">
        <v>40.409999999999997</v>
      </c>
      <c r="N472" t="s">
        <v>344</v>
      </c>
      <c r="O472" t="s">
        <v>355</v>
      </c>
      <c r="P472">
        <v>0.33300000000000002</v>
      </c>
      <c r="Q472">
        <v>1</v>
      </c>
      <c r="R472">
        <v>0.5</v>
      </c>
    </row>
    <row r="473" spans="1:18" x14ac:dyDescent="0.3">
      <c r="A473">
        <v>472</v>
      </c>
      <c r="B473">
        <v>2</v>
      </c>
      <c r="C473">
        <v>7</v>
      </c>
      <c r="D473" t="s">
        <v>359</v>
      </c>
      <c r="E473" t="s">
        <v>360</v>
      </c>
      <c r="F473">
        <v>4</v>
      </c>
      <c r="G473">
        <v>3</v>
      </c>
      <c r="H473">
        <v>2</v>
      </c>
      <c r="I473">
        <v>5</v>
      </c>
      <c r="J473">
        <v>14</v>
      </c>
      <c r="K473">
        <v>3.1549999999999998</v>
      </c>
      <c r="L473">
        <v>32</v>
      </c>
      <c r="M473">
        <v>19.02</v>
      </c>
      <c r="N473" t="s">
        <v>361</v>
      </c>
      <c r="O473" t="s">
        <v>355</v>
      </c>
      <c r="P473">
        <v>0.66700000000000004</v>
      </c>
      <c r="Q473">
        <v>1</v>
      </c>
      <c r="R473">
        <v>0.8</v>
      </c>
    </row>
    <row r="474" spans="1:18" x14ac:dyDescent="0.3">
      <c r="A474">
        <v>473</v>
      </c>
      <c r="B474">
        <v>3</v>
      </c>
      <c r="C474">
        <v>7</v>
      </c>
      <c r="D474" t="s">
        <v>362</v>
      </c>
      <c r="E474" t="s">
        <v>721</v>
      </c>
      <c r="F474">
        <v>3</v>
      </c>
      <c r="G474">
        <v>2</v>
      </c>
      <c r="H474">
        <v>2</v>
      </c>
      <c r="I474">
        <v>5</v>
      </c>
      <c r="J474">
        <v>14</v>
      </c>
      <c r="K474">
        <v>3.226</v>
      </c>
      <c r="L474">
        <v>36</v>
      </c>
      <c r="M474">
        <v>18.600000000000001</v>
      </c>
      <c r="N474" t="s">
        <v>361</v>
      </c>
      <c r="O474" t="s">
        <v>355</v>
      </c>
      <c r="P474">
        <v>0.66700000000000004</v>
      </c>
      <c r="Q474">
        <v>1</v>
      </c>
      <c r="R474">
        <v>0.8</v>
      </c>
    </row>
    <row r="475" spans="1:18" x14ac:dyDescent="0.3">
      <c r="A475">
        <v>474</v>
      </c>
      <c r="B475">
        <v>1</v>
      </c>
      <c r="C475">
        <v>7</v>
      </c>
      <c r="D475" t="s">
        <v>364</v>
      </c>
      <c r="E475" t="s">
        <v>722</v>
      </c>
      <c r="F475">
        <v>3</v>
      </c>
      <c r="G475">
        <v>2</v>
      </c>
      <c r="H475">
        <v>3</v>
      </c>
      <c r="I475">
        <v>5</v>
      </c>
      <c r="J475">
        <v>16</v>
      </c>
      <c r="K475">
        <v>1.9890000000000001</v>
      </c>
      <c r="L475">
        <v>41</v>
      </c>
      <c r="M475">
        <v>30.16</v>
      </c>
      <c r="O475" t="s">
        <v>355</v>
      </c>
      <c r="P475">
        <v>0</v>
      </c>
      <c r="Q475">
        <v>1</v>
      </c>
      <c r="R475">
        <v>0</v>
      </c>
    </row>
    <row r="476" spans="1:18" x14ac:dyDescent="0.3">
      <c r="A476">
        <v>475</v>
      </c>
      <c r="B476">
        <v>2</v>
      </c>
      <c r="C476">
        <v>7</v>
      </c>
      <c r="D476" t="s">
        <v>366</v>
      </c>
      <c r="E476" t="s">
        <v>723</v>
      </c>
      <c r="F476">
        <v>3</v>
      </c>
      <c r="G476">
        <v>3</v>
      </c>
      <c r="H476">
        <v>2</v>
      </c>
      <c r="I476">
        <v>5</v>
      </c>
      <c r="J476">
        <v>15</v>
      </c>
      <c r="K476">
        <v>1.897</v>
      </c>
      <c r="L476">
        <v>39</v>
      </c>
      <c r="M476">
        <v>31.63</v>
      </c>
      <c r="O476" t="s">
        <v>376</v>
      </c>
      <c r="P476">
        <v>0</v>
      </c>
      <c r="Q476">
        <v>1</v>
      </c>
      <c r="R476">
        <v>0</v>
      </c>
    </row>
    <row r="477" spans="1:18" x14ac:dyDescent="0.3">
      <c r="A477">
        <v>476</v>
      </c>
      <c r="B477">
        <v>3</v>
      </c>
      <c r="C477">
        <v>7</v>
      </c>
      <c r="D477" t="s">
        <v>368</v>
      </c>
      <c r="E477" t="s">
        <v>724</v>
      </c>
      <c r="F477">
        <v>3</v>
      </c>
      <c r="G477">
        <v>5</v>
      </c>
      <c r="H477">
        <v>2</v>
      </c>
      <c r="I477">
        <v>5</v>
      </c>
      <c r="J477">
        <v>11</v>
      </c>
      <c r="K477">
        <v>1.296</v>
      </c>
      <c r="L477">
        <v>28</v>
      </c>
      <c r="M477">
        <v>46.31</v>
      </c>
      <c r="O477" t="s">
        <v>355</v>
      </c>
      <c r="P477">
        <v>0</v>
      </c>
      <c r="Q477">
        <v>1</v>
      </c>
      <c r="R477">
        <v>0</v>
      </c>
    </row>
    <row r="478" spans="1:18" x14ac:dyDescent="0.3">
      <c r="A478">
        <v>477</v>
      </c>
      <c r="B478">
        <v>1</v>
      </c>
      <c r="C478">
        <v>7</v>
      </c>
      <c r="D478" t="s">
        <v>370</v>
      </c>
      <c r="E478" t="s">
        <v>725</v>
      </c>
      <c r="F478">
        <v>4</v>
      </c>
      <c r="G478">
        <v>3</v>
      </c>
      <c r="H478">
        <v>3</v>
      </c>
      <c r="I478">
        <v>5</v>
      </c>
      <c r="J478">
        <v>14</v>
      </c>
      <c r="K478">
        <v>3.0150000000000001</v>
      </c>
      <c r="L478">
        <v>13</v>
      </c>
      <c r="M478">
        <v>19.899999999999999</v>
      </c>
      <c r="O478" t="s">
        <v>355</v>
      </c>
      <c r="P478">
        <v>0</v>
      </c>
      <c r="Q478">
        <v>1</v>
      </c>
      <c r="R478">
        <v>0</v>
      </c>
    </row>
    <row r="479" spans="1:18" x14ac:dyDescent="0.3">
      <c r="A479">
        <v>478</v>
      </c>
      <c r="B479">
        <v>2</v>
      </c>
      <c r="C479">
        <v>7</v>
      </c>
      <c r="D479" t="s">
        <v>372</v>
      </c>
      <c r="E479" t="s">
        <v>726</v>
      </c>
      <c r="F479">
        <v>3</v>
      </c>
      <c r="G479">
        <v>3</v>
      </c>
      <c r="H479">
        <v>3</v>
      </c>
      <c r="I479">
        <v>5</v>
      </c>
      <c r="J479">
        <v>14</v>
      </c>
      <c r="K479">
        <v>1.3129999999999999</v>
      </c>
      <c r="L479">
        <v>11</v>
      </c>
      <c r="M479">
        <v>45.69</v>
      </c>
      <c r="P479">
        <v>1</v>
      </c>
      <c r="Q479">
        <v>1</v>
      </c>
      <c r="R479">
        <v>1</v>
      </c>
    </row>
    <row r="480" spans="1:18" x14ac:dyDescent="0.3">
      <c r="A480">
        <v>479</v>
      </c>
      <c r="B480">
        <v>3</v>
      </c>
      <c r="C480">
        <v>7</v>
      </c>
      <c r="D480" t="s">
        <v>347</v>
      </c>
      <c r="E480" t="s">
        <v>727</v>
      </c>
      <c r="F480">
        <v>3</v>
      </c>
      <c r="G480">
        <v>3</v>
      </c>
      <c r="H480">
        <v>3</v>
      </c>
      <c r="I480">
        <v>5</v>
      </c>
      <c r="J480">
        <v>15</v>
      </c>
      <c r="K480">
        <v>1.1779999999999999</v>
      </c>
      <c r="L480">
        <v>24</v>
      </c>
      <c r="M480">
        <v>50.92</v>
      </c>
      <c r="O480" t="s">
        <v>728</v>
      </c>
      <c r="P480">
        <v>0</v>
      </c>
      <c r="Q480">
        <v>1</v>
      </c>
      <c r="R480">
        <v>0</v>
      </c>
    </row>
    <row r="481" spans="1:18" x14ac:dyDescent="0.3">
      <c r="A481">
        <v>480</v>
      </c>
      <c r="B481">
        <v>1</v>
      </c>
      <c r="C481">
        <v>7</v>
      </c>
      <c r="D481" t="s">
        <v>345</v>
      </c>
      <c r="E481" t="s">
        <v>729</v>
      </c>
      <c r="F481">
        <v>4</v>
      </c>
      <c r="G481">
        <v>5</v>
      </c>
      <c r="H481">
        <v>4</v>
      </c>
      <c r="I481">
        <v>5</v>
      </c>
      <c r="J481">
        <v>16</v>
      </c>
      <c r="K481">
        <v>1.865</v>
      </c>
      <c r="L481">
        <v>37</v>
      </c>
      <c r="M481">
        <v>32.18</v>
      </c>
      <c r="O481" t="s">
        <v>355</v>
      </c>
      <c r="P481">
        <v>0</v>
      </c>
      <c r="Q481">
        <v>1</v>
      </c>
      <c r="R481">
        <v>0</v>
      </c>
    </row>
    <row r="482" spans="1:18" x14ac:dyDescent="0.3">
      <c r="A482">
        <v>481</v>
      </c>
      <c r="B482">
        <v>2</v>
      </c>
      <c r="C482">
        <v>7</v>
      </c>
      <c r="D482" t="s">
        <v>377</v>
      </c>
      <c r="E482" t="s">
        <v>730</v>
      </c>
      <c r="F482">
        <v>5</v>
      </c>
      <c r="G482">
        <v>5</v>
      </c>
      <c r="H482">
        <v>5</v>
      </c>
      <c r="I482">
        <v>5</v>
      </c>
      <c r="J482">
        <v>13</v>
      </c>
      <c r="K482">
        <v>3.3690000000000002</v>
      </c>
      <c r="L482">
        <v>50</v>
      </c>
      <c r="M482">
        <v>17.809999999999999</v>
      </c>
      <c r="N482" t="s">
        <v>344</v>
      </c>
      <c r="O482" t="s">
        <v>355</v>
      </c>
      <c r="P482">
        <v>0.33300000000000002</v>
      </c>
      <c r="Q482">
        <v>1</v>
      </c>
      <c r="R482">
        <v>0.5</v>
      </c>
    </row>
    <row r="483" spans="1:18" x14ac:dyDescent="0.3">
      <c r="A483">
        <v>482</v>
      </c>
      <c r="B483">
        <v>3</v>
      </c>
      <c r="C483">
        <v>7</v>
      </c>
      <c r="D483" t="s">
        <v>379</v>
      </c>
      <c r="E483" t="s">
        <v>731</v>
      </c>
      <c r="F483">
        <v>4</v>
      </c>
      <c r="G483">
        <v>5</v>
      </c>
      <c r="H483">
        <v>5</v>
      </c>
      <c r="I483">
        <v>5</v>
      </c>
      <c r="J483">
        <v>13</v>
      </c>
      <c r="K483">
        <v>1.7789999999999999</v>
      </c>
      <c r="L483">
        <v>28</v>
      </c>
      <c r="M483">
        <v>33.729999999999997</v>
      </c>
      <c r="N483" t="s">
        <v>376</v>
      </c>
      <c r="O483" t="s">
        <v>361</v>
      </c>
      <c r="P483">
        <v>0.5</v>
      </c>
      <c r="Q483">
        <v>1</v>
      </c>
      <c r="R483">
        <v>0.66700000000000004</v>
      </c>
    </row>
    <row r="484" spans="1:18" x14ac:dyDescent="0.3">
      <c r="A484">
        <v>483</v>
      </c>
      <c r="B484">
        <v>1</v>
      </c>
      <c r="C484">
        <v>7</v>
      </c>
      <c r="D484" t="s">
        <v>381</v>
      </c>
      <c r="E484" t="s">
        <v>732</v>
      </c>
      <c r="F484">
        <v>5</v>
      </c>
      <c r="G484">
        <v>5</v>
      </c>
      <c r="H484">
        <v>5</v>
      </c>
      <c r="I484">
        <v>5</v>
      </c>
      <c r="J484">
        <v>13</v>
      </c>
      <c r="K484">
        <v>2.085</v>
      </c>
      <c r="L484">
        <v>29</v>
      </c>
      <c r="M484">
        <v>28.78</v>
      </c>
      <c r="N484" t="s">
        <v>376</v>
      </c>
      <c r="O484" t="s">
        <v>361</v>
      </c>
      <c r="P484">
        <v>0.5</v>
      </c>
      <c r="Q484">
        <v>1</v>
      </c>
      <c r="R484">
        <v>0.66700000000000004</v>
      </c>
    </row>
    <row r="485" spans="1:18" x14ac:dyDescent="0.3">
      <c r="A485">
        <v>484</v>
      </c>
      <c r="B485">
        <v>2</v>
      </c>
      <c r="C485">
        <v>7</v>
      </c>
      <c r="D485" t="s">
        <v>383</v>
      </c>
      <c r="E485" t="s">
        <v>733</v>
      </c>
      <c r="F485">
        <v>5</v>
      </c>
      <c r="G485">
        <v>5</v>
      </c>
      <c r="H485">
        <v>5</v>
      </c>
      <c r="I485">
        <v>5</v>
      </c>
      <c r="J485">
        <v>13</v>
      </c>
      <c r="K485">
        <v>3.4609999999999999</v>
      </c>
      <c r="L485">
        <v>29</v>
      </c>
      <c r="M485">
        <v>17.34</v>
      </c>
      <c r="N485" t="s">
        <v>361</v>
      </c>
      <c r="O485" t="s">
        <v>361</v>
      </c>
      <c r="P485">
        <v>1</v>
      </c>
      <c r="Q485">
        <v>1</v>
      </c>
      <c r="R485">
        <v>1</v>
      </c>
    </row>
    <row r="486" spans="1:18" x14ac:dyDescent="0.3">
      <c r="A486">
        <v>485</v>
      </c>
      <c r="B486">
        <v>3</v>
      </c>
      <c r="C486">
        <v>7</v>
      </c>
      <c r="D486" t="s">
        <v>384</v>
      </c>
      <c r="E486" t="s">
        <v>734</v>
      </c>
      <c r="F486">
        <v>5</v>
      </c>
      <c r="G486">
        <v>5</v>
      </c>
      <c r="H486">
        <v>5</v>
      </c>
      <c r="I486">
        <v>5</v>
      </c>
      <c r="J486">
        <v>14</v>
      </c>
      <c r="K486">
        <v>4.1470000000000002</v>
      </c>
      <c r="L486">
        <v>31</v>
      </c>
      <c r="M486">
        <v>14.47</v>
      </c>
      <c r="N486" t="s">
        <v>376</v>
      </c>
      <c r="O486" t="s">
        <v>355</v>
      </c>
      <c r="P486">
        <v>0.33300000000000002</v>
      </c>
      <c r="Q486">
        <v>1</v>
      </c>
      <c r="R486">
        <v>0.5</v>
      </c>
    </row>
    <row r="487" spans="1:18" x14ac:dyDescent="0.3">
      <c r="A487">
        <v>486</v>
      </c>
      <c r="B487">
        <v>1</v>
      </c>
      <c r="C487">
        <v>7</v>
      </c>
      <c r="D487" t="s">
        <v>385</v>
      </c>
      <c r="E487" t="s">
        <v>735</v>
      </c>
      <c r="F487">
        <v>3</v>
      </c>
      <c r="G487">
        <v>2</v>
      </c>
      <c r="H487">
        <v>2</v>
      </c>
      <c r="I487">
        <v>5</v>
      </c>
      <c r="J487">
        <v>15</v>
      </c>
      <c r="K487">
        <v>1.306</v>
      </c>
      <c r="L487">
        <v>32</v>
      </c>
      <c r="M487">
        <v>45.95</v>
      </c>
      <c r="N487" t="s">
        <v>361</v>
      </c>
      <c r="O487" t="s">
        <v>355</v>
      </c>
      <c r="P487">
        <v>0.66700000000000004</v>
      </c>
      <c r="Q487">
        <v>1</v>
      </c>
      <c r="R487">
        <v>0.8</v>
      </c>
    </row>
    <row r="488" spans="1:18" x14ac:dyDescent="0.3">
      <c r="A488">
        <v>487</v>
      </c>
      <c r="B488">
        <v>2</v>
      </c>
      <c r="C488">
        <v>7</v>
      </c>
      <c r="D488" t="s">
        <v>387</v>
      </c>
      <c r="E488" t="s">
        <v>736</v>
      </c>
      <c r="F488">
        <v>4</v>
      </c>
      <c r="G488">
        <v>4</v>
      </c>
      <c r="H488">
        <v>3</v>
      </c>
      <c r="I488">
        <v>5</v>
      </c>
      <c r="J488">
        <v>14</v>
      </c>
      <c r="K488">
        <v>2.3130000000000002</v>
      </c>
      <c r="L488">
        <v>54</v>
      </c>
      <c r="M488">
        <v>25.94</v>
      </c>
      <c r="O488" t="s">
        <v>355</v>
      </c>
      <c r="P488">
        <v>0</v>
      </c>
      <c r="Q488">
        <v>1</v>
      </c>
      <c r="R488">
        <v>0</v>
      </c>
    </row>
    <row r="489" spans="1:18" x14ac:dyDescent="0.3">
      <c r="A489">
        <v>488</v>
      </c>
      <c r="B489">
        <v>3</v>
      </c>
      <c r="C489">
        <v>7</v>
      </c>
      <c r="D489" t="s">
        <v>389</v>
      </c>
      <c r="E489" t="s">
        <v>737</v>
      </c>
      <c r="F489">
        <v>4</v>
      </c>
      <c r="G489">
        <v>5</v>
      </c>
      <c r="H489">
        <v>4</v>
      </c>
      <c r="I489">
        <v>5</v>
      </c>
      <c r="J489">
        <v>16</v>
      </c>
      <c r="K489">
        <v>1.69</v>
      </c>
      <c r="L489">
        <v>53</v>
      </c>
      <c r="M489">
        <v>35.5</v>
      </c>
      <c r="O489" t="s">
        <v>355</v>
      </c>
      <c r="P489">
        <v>0</v>
      </c>
      <c r="Q489">
        <v>1</v>
      </c>
      <c r="R489">
        <v>0</v>
      </c>
    </row>
    <row r="490" spans="1:18" x14ac:dyDescent="0.3">
      <c r="A490">
        <v>489</v>
      </c>
      <c r="B490">
        <v>1</v>
      </c>
      <c r="C490">
        <v>7</v>
      </c>
      <c r="D490" t="s">
        <v>213</v>
      </c>
      <c r="E490" t="s">
        <v>738</v>
      </c>
      <c r="F490">
        <v>4</v>
      </c>
      <c r="G490">
        <v>5</v>
      </c>
      <c r="H490">
        <v>5</v>
      </c>
      <c r="I490">
        <v>5</v>
      </c>
      <c r="J490">
        <v>15</v>
      </c>
      <c r="K490">
        <v>1.5940000000000001</v>
      </c>
      <c r="L490">
        <v>57</v>
      </c>
      <c r="M490">
        <v>37.64</v>
      </c>
      <c r="O490" t="s">
        <v>355</v>
      </c>
      <c r="P490">
        <v>0</v>
      </c>
      <c r="Q490">
        <v>1</v>
      </c>
      <c r="R490">
        <v>0</v>
      </c>
    </row>
    <row r="491" spans="1:18" x14ac:dyDescent="0.3">
      <c r="A491">
        <v>490</v>
      </c>
      <c r="B491">
        <v>2</v>
      </c>
      <c r="C491">
        <v>7</v>
      </c>
      <c r="D491" t="s">
        <v>211</v>
      </c>
      <c r="E491" t="s">
        <v>739</v>
      </c>
      <c r="F491">
        <v>4</v>
      </c>
      <c r="G491">
        <v>5</v>
      </c>
      <c r="H491">
        <v>4</v>
      </c>
      <c r="I491">
        <v>5</v>
      </c>
      <c r="J491">
        <v>13</v>
      </c>
      <c r="K491">
        <v>1.454</v>
      </c>
      <c r="L491">
        <v>44</v>
      </c>
      <c r="M491">
        <v>41.27</v>
      </c>
      <c r="O491" t="s">
        <v>344</v>
      </c>
      <c r="P491">
        <v>0</v>
      </c>
      <c r="Q491">
        <v>1</v>
      </c>
      <c r="R491">
        <v>0</v>
      </c>
    </row>
    <row r="492" spans="1:18" x14ac:dyDescent="0.3">
      <c r="A492">
        <v>491</v>
      </c>
      <c r="B492">
        <v>3</v>
      </c>
      <c r="C492">
        <v>7</v>
      </c>
      <c r="D492" t="s">
        <v>740</v>
      </c>
      <c r="E492" t="s">
        <v>741</v>
      </c>
      <c r="F492">
        <v>4</v>
      </c>
      <c r="G492">
        <v>5</v>
      </c>
      <c r="H492">
        <v>4</v>
      </c>
      <c r="I492">
        <v>5</v>
      </c>
      <c r="J492">
        <v>16</v>
      </c>
      <c r="K492">
        <v>2.1619999999999999</v>
      </c>
      <c r="L492">
        <v>74</v>
      </c>
      <c r="M492">
        <v>27.75</v>
      </c>
      <c r="O492" t="s">
        <v>361</v>
      </c>
      <c r="P492">
        <v>0</v>
      </c>
      <c r="Q492">
        <v>1</v>
      </c>
      <c r="R492">
        <v>0</v>
      </c>
    </row>
    <row r="493" spans="1:18" x14ac:dyDescent="0.3">
      <c r="A493">
        <v>492</v>
      </c>
      <c r="B493">
        <v>1</v>
      </c>
      <c r="C493">
        <v>7</v>
      </c>
      <c r="D493" t="s">
        <v>395</v>
      </c>
      <c r="E493" t="s">
        <v>742</v>
      </c>
      <c r="F493">
        <v>4</v>
      </c>
      <c r="G493">
        <v>5</v>
      </c>
      <c r="H493">
        <v>4</v>
      </c>
      <c r="I493">
        <v>5</v>
      </c>
      <c r="J493">
        <v>16</v>
      </c>
      <c r="K493">
        <v>2.34</v>
      </c>
      <c r="L493">
        <v>46</v>
      </c>
      <c r="M493">
        <v>25.64</v>
      </c>
      <c r="O493" t="s">
        <v>361</v>
      </c>
      <c r="P493">
        <v>0</v>
      </c>
      <c r="Q493">
        <v>1</v>
      </c>
      <c r="R493">
        <v>0</v>
      </c>
    </row>
    <row r="494" spans="1:18" x14ac:dyDescent="0.3">
      <c r="A494">
        <v>493</v>
      </c>
      <c r="B494">
        <v>2</v>
      </c>
      <c r="C494">
        <v>7</v>
      </c>
      <c r="D494" t="s">
        <v>397</v>
      </c>
      <c r="E494" t="s">
        <v>743</v>
      </c>
      <c r="F494">
        <v>3</v>
      </c>
      <c r="G494">
        <v>5</v>
      </c>
      <c r="H494">
        <v>3</v>
      </c>
      <c r="I494">
        <v>5</v>
      </c>
      <c r="J494">
        <v>14</v>
      </c>
      <c r="K494">
        <v>2.0339999999999998</v>
      </c>
      <c r="L494">
        <v>68</v>
      </c>
      <c r="M494">
        <v>29.5</v>
      </c>
      <c r="O494" t="s">
        <v>361</v>
      </c>
      <c r="P494">
        <v>0</v>
      </c>
      <c r="Q494">
        <v>1</v>
      </c>
      <c r="R494">
        <v>0</v>
      </c>
    </row>
    <row r="495" spans="1:18" x14ac:dyDescent="0.3">
      <c r="A495">
        <v>494</v>
      </c>
      <c r="B495">
        <v>3</v>
      </c>
      <c r="C495">
        <v>7</v>
      </c>
      <c r="D495" t="s">
        <v>399</v>
      </c>
      <c r="E495" t="s">
        <v>744</v>
      </c>
      <c r="F495">
        <v>4</v>
      </c>
      <c r="G495">
        <v>5</v>
      </c>
      <c r="H495">
        <v>4</v>
      </c>
      <c r="I495">
        <v>5</v>
      </c>
      <c r="J495">
        <v>14</v>
      </c>
      <c r="K495">
        <v>2.8650000000000002</v>
      </c>
      <c r="L495">
        <v>50</v>
      </c>
      <c r="M495">
        <v>20.94</v>
      </c>
      <c r="O495" t="s">
        <v>361</v>
      </c>
      <c r="P495">
        <v>0</v>
      </c>
      <c r="Q495">
        <v>1</v>
      </c>
      <c r="R495">
        <v>0</v>
      </c>
    </row>
    <row r="496" spans="1:18" x14ac:dyDescent="0.3">
      <c r="A496">
        <v>495</v>
      </c>
      <c r="B496">
        <v>1</v>
      </c>
      <c r="C496">
        <v>7</v>
      </c>
      <c r="D496" t="s">
        <v>401</v>
      </c>
      <c r="E496" t="s">
        <v>745</v>
      </c>
      <c r="F496">
        <v>4</v>
      </c>
      <c r="G496">
        <v>5</v>
      </c>
      <c r="H496">
        <v>4</v>
      </c>
      <c r="I496">
        <v>5</v>
      </c>
      <c r="J496">
        <v>15</v>
      </c>
      <c r="K496">
        <v>2.4769999999999999</v>
      </c>
      <c r="L496">
        <v>27</v>
      </c>
      <c r="M496">
        <v>24.22</v>
      </c>
      <c r="O496" t="s">
        <v>355</v>
      </c>
      <c r="P496">
        <v>0</v>
      </c>
      <c r="Q496">
        <v>1</v>
      </c>
      <c r="R496">
        <v>0</v>
      </c>
    </row>
    <row r="497" spans="1:18" x14ac:dyDescent="0.3">
      <c r="A497">
        <v>496</v>
      </c>
      <c r="B497">
        <v>2</v>
      </c>
      <c r="C497">
        <v>7</v>
      </c>
      <c r="D497" t="s">
        <v>403</v>
      </c>
      <c r="E497" t="s">
        <v>746</v>
      </c>
      <c r="F497">
        <v>4</v>
      </c>
      <c r="G497">
        <v>5</v>
      </c>
      <c r="H497">
        <v>4</v>
      </c>
      <c r="I497">
        <v>5</v>
      </c>
      <c r="J497">
        <v>16</v>
      </c>
      <c r="K497">
        <v>2.0259999999999998</v>
      </c>
      <c r="L497">
        <v>44</v>
      </c>
      <c r="M497">
        <v>29.61</v>
      </c>
      <c r="O497" t="s">
        <v>355</v>
      </c>
      <c r="P497">
        <v>0</v>
      </c>
      <c r="Q497">
        <v>1</v>
      </c>
      <c r="R497">
        <v>0</v>
      </c>
    </row>
    <row r="498" spans="1:18" x14ac:dyDescent="0.3">
      <c r="A498">
        <v>497</v>
      </c>
      <c r="B498">
        <v>3</v>
      </c>
      <c r="C498">
        <v>7</v>
      </c>
      <c r="D498" t="s">
        <v>405</v>
      </c>
      <c r="E498" t="s">
        <v>747</v>
      </c>
      <c r="F498">
        <v>5</v>
      </c>
      <c r="G498">
        <v>5</v>
      </c>
      <c r="H498">
        <v>5</v>
      </c>
      <c r="I498">
        <v>5</v>
      </c>
      <c r="J498">
        <v>14</v>
      </c>
      <c r="K498">
        <v>2.9710000000000001</v>
      </c>
      <c r="L498">
        <v>42</v>
      </c>
      <c r="M498">
        <v>20.2</v>
      </c>
      <c r="N498" t="s">
        <v>361</v>
      </c>
      <c r="O498" t="s">
        <v>355</v>
      </c>
      <c r="P498">
        <v>0.66700000000000004</v>
      </c>
      <c r="Q498">
        <v>1</v>
      </c>
      <c r="R498">
        <v>0.8</v>
      </c>
    </row>
    <row r="499" spans="1:18" x14ac:dyDescent="0.3">
      <c r="A499">
        <v>498</v>
      </c>
      <c r="B499">
        <v>1</v>
      </c>
      <c r="C499">
        <v>7</v>
      </c>
      <c r="D499" t="s">
        <v>351</v>
      </c>
      <c r="E499" t="s">
        <v>748</v>
      </c>
      <c r="F499">
        <v>4</v>
      </c>
      <c r="G499">
        <v>5</v>
      </c>
      <c r="H499">
        <v>4</v>
      </c>
      <c r="I499">
        <v>5</v>
      </c>
      <c r="J499">
        <v>14</v>
      </c>
      <c r="K499">
        <v>1.577</v>
      </c>
      <c r="L499">
        <v>27</v>
      </c>
      <c r="M499">
        <v>38.049999999999997</v>
      </c>
      <c r="N499" t="s">
        <v>344</v>
      </c>
      <c r="O499" t="s">
        <v>355</v>
      </c>
      <c r="P499">
        <v>0.33300000000000002</v>
      </c>
      <c r="Q499">
        <v>1</v>
      </c>
      <c r="R499">
        <v>0.5</v>
      </c>
    </row>
    <row r="500" spans="1:18" x14ac:dyDescent="0.3">
      <c r="A500">
        <v>499</v>
      </c>
      <c r="B500">
        <v>2</v>
      </c>
      <c r="C500">
        <v>7</v>
      </c>
      <c r="D500" t="s">
        <v>353</v>
      </c>
      <c r="E500" t="s">
        <v>749</v>
      </c>
      <c r="F500">
        <v>3</v>
      </c>
      <c r="G500">
        <v>2</v>
      </c>
      <c r="H500">
        <v>4</v>
      </c>
      <c r="I500">
        <v>5</v>
      </c>
      <c r="J500">
        <v>14</v>
      </c>
      <c r="K500">
        <v>3.2519999999999998</v>
      </c>
      <c r="L500">
        <v>20</v>
      </c>
      <c r="M500">
        <v>18.45</v>
      </c>
      <c r="N500" t="s">
        <v>344</v>
      </c>
      <c r="O500" t="s">
        <v>355</v>
      </c>
      <c r="P500">
        <v>0.33300000000000002</v>
      </c>
      <c r="Q500">
        <v>1</v>
      </c>
      <c r="R500">
        <v>0.5</v>
      </c>
    </row>
    <row r="501" spans="1:18" x14ac:dyDescent="0.3">
      <c r="A501">
        <v>500</v>
      </c>
      <c r="B501">
        <v>3</v>
      </c>
      <c r="C501">
        <v>7</v>
      </c>
      <c r="D501" t="s">
        <v>356</v>
      </c>
      <c r="E501" t="s">
        <v>749</v>
      </c>
      <c r="F501">
        <v>4</v>
      </c>
      <c r="G501">
        <v>3</v>
      </c>
      <c r="H501">
        <v>4</v>
      </c>
      <c r="I501">
        <v>5</v>
      </c>
      <c r="J501">
        <v>14</v>
      </c>
      <c r="K501">
        <v>3.1</v>
      </c>
      <c r="L501">
        <v>20</v>
      </c>
      <c r="M501">
        <v>19.36</v>
      </c>
      <c r="N501" t="s">
        <v>344</v>
      </c>
      <c r="O501" t="s">
        <v>355</v>
      </c>
      <c r="P501">
        <v>0.33300000000000002</v>
      </c>
      <c r="Q501">
        <v>1</v>
      </c>
      <c r="R501">
        <v>0.5</v>
      </c>
    </row>
    <row r="502" spans="1:18" x14ac:dyDescent="0.3">
      <c r="A502">
        <v>501</v>
      </c>
      <c r="B502">
        <v>1</v>
      </c>
      <c r="C502">
        <v>7</v>
      </c>
      <c r="D502" t="s">
        <v>357</v>
      </c>
      <c r="E502" t="s">
        <v>750</v>
      </c>
      <c r="F502">
        <v>3</v>
      </c>
      <c r="G502">
        <v>2</v>
      </c>
      <c r="H502">
        <v>3</v>
      </c>
      <c r="I502">
        <v>5</v>
      </c>
      <c r="J502">
        <v>13</v>
      </c>
      <c r="K502">
        <v>1.4330000000000001</v>
      </c>
      <c r="L502">
        <v>27</v>
      </c>
      <c r="M502">
        <v>41.86</v>
      </c>
      <c r="N502" t="s">
        <v>344</v>
      </c>
      <c r="P502">
        <v>1</v>
      </c>
      <c r="Q502">
        <v>0</v>
      </c>
      <c r="R502">
        <v>0</v>
      </c>
    </row>
    <row r="503" spans="1:18" x14ac:dyDescent="0.3">
      <c r="A503">
        <v>502</v>
      </c>
      <c r="B503">
        <v>2</v>
      </c>
      <c r="C503">
        <v>7</v>
      </c>
      <c r="D503" t="s">
        <v>359</v>
      </c>
      <c r="E503" t="s">
        <v>751</v>
      </c>
      <c r="F503">
        <v>3</v>
      </c>
      <c r="G503">
        <v>3</v>
      </c>
      <c r="H503">
        <v>5</v>
      </c>
      <c r="I503">
        <v>5</v>
      </c>
      <c r="J503">
        <v>16</v>
      </c>
      <c r="K503">
        <v>3.419</v>
      </c>
      <c r="L503">
        <v>37</v>
      </c>
      <c r="M503">
        <v>17.55</v>
      </c>
      <c r="N503" t="s">
        <v>361</v>
      </c>
      <c r="O503" t="s">
        <v>355</v>
      </c>
      <c r="P503">
        <v>0.66700000000000004</v>
      </c>
      <c r="Q503">
        <v>1</v>
      </c>
      <c r="R503">
        <v>0.8</v>
      </c>
    </row>
    <row r="504" spans="1:18" x14ac:dyDescent="0.3">
      <c r="A504">
        <v>503</v>
      </c>
      <c r="B504">
        <v>3</v>
      </c>
      <c r="C504">
        <v>7</v>
      </c>
      <c r="D504" t="s">
        <v>362</v>
      </c>
      <c r="E504" t="s">
        <v>751</v>
      </c>
      <c r="F504">
        <v>3</v>
      </c>
      <c r="G504">
        <v>3</v>
      </c>
      <c r="H504">
        <v>4</v>
      </c>
      <c r="I504">
        <v>5</v>
      </c>
      <c r="J504">
        <v>15</v>
      </c>
      <c r="K504">
        <v>3.4980000000000002</v>
      </c>
      <c r="L504">
        <v>37</v>
      </c>
      <c r="M504">
        <v>17.149999999999999</v>
      </c>
      <c r="N504" t="s">
        <v>361</v>
      </c>
      <c r="O504" t="s">
        <v>355</v>
      </c>
      <c r="P504">
        <v>0.66700000000000004</v>
      </c>
      <c r="Q504">
        <v>1</v>
      </c>
      <c r="R504">
        <v>0.8</v>
      </c>
    </row>
    <row r="505" spans="1:18" x14ac:dyDescent="0.3">
      <c r="A505">
        <v>504</v>
      </c>
      <c r="B505">
        <v>1</v>
      </c>
      <c r="C505">
        <v>7</v>
      </c>
      <c r="D505" t="s">
        <v>364</v>
      </c>
      <c r="E505" t="s">
        <v>752</v>
      </c>
      <c r="F505">
        <v>1</v>
      </c>
      <c r="G505">
        <v>2</v>
      </c>
      <c r="H505">
        <v>3</v>
      </c>
      <c r="I505">
        <v>1</v>
      </c>
      <c r="J505">
        <v>11</v>
      </c>
      <c r="K505">
        <v>2.0049999999999999</v>
      </c>
      <c r="L505">
        <v>15</v>
      </c>
      <c r="M505">
        <v>29.92</v>
      </c>
      <c r="P505">
        <v>1</v>
      </c>
      <c r="Q505">
        <v>1</v>
      </c>
      <c r="R505">
        <v>1</v>
      </c>
    </row>
    <row r="506" spans="1:18" x14ac:dyDescent="0.3">
      <c r="A506">
        <v>505</v>
      </c>
      <c r="B506">
        <v>2</v>
      </c>
      <c r="C506">
        <v>7</v>
      </c>
      <c r="D506" t="s">
        <v>366</v>
      </c>
      <c r="E506" t="s">
        <v>753</v>
      </c>
      <c r="F506">
        <v>3</v>
      </c>
      <c r="G506">
        <v>2</v>
      </c>
      <c r="H506">
        <v>3</v>
      </c>
      <c r="I506">
        <v>3</v>
      </c>
      <c r="J506">
        <v>11</v>
      </c>
      <c r="K506">
        <v>1.2210000000000001</v>
      </c>
      <c r="L506">
        <v>31</v>
      </c>
      <c r="M506">
        <v>49.16</v>
      </c>
      <c r="O506" t="s">
        <v>355</v>
      </c>
      <c r="P506">
        <v>0</v>
      </c>
      <c r="Q506">
        <v>1</v>
      </c>
      <c r="R506">
        <v>0</v>
      </c>
    </row>
    <row r="507" spans="1:18" x14ac:dyDescent="0.3">
      <c r="A507">
        <v>506</v>
      </c>
      <c r="B507">
        <v>3</v>
      </c>
      <c r="C507">
        <v>7</v>
      </c>
      <c r="D507" t="s">
        <v>368</v>
      </c>
      <c r="E507" t="s">
        <v>754</v>
      </c>
      <c r="F507">
        <v>3</v>
      </c>
      <c r="G507">
        <v>3</v>
      </c>
      <c r="H507">
        <v>4</v>
      </c>
      <c r="I507">
        <v>5</v>
      </c>
      <c r="J507">
        <v>15</v>
      </c>
      <c r="K507">
        <v>2.19</v>
      </c>
      <c r="L507">
        <v>36</v>
      </c>
      <c r="M507">
        <v>27.4</v>
      </c>
      <c r="O507" t="s">
        <v>355</v>
      </c>
      <c r="P507">
        <v>0</v>
      </c>
      <c r="Q507">
        <v>1</v>
      </c>
      <c r="R507">
        <v>0</v>
      </c>
    </row>
    <row r="508" spans="1:18" x14ac:dyDescent="0.3">
      <c r="A508">
        <v>507</v>
      </c>
      <c r="B508">
        <v>1</v>
      </c>
      <c r="C508">
        <v>7</v>
      </c>
      <c r="D508" t="s">
        <v>370</v>
      </c>
      <c r="E508" t="s">
        <v>755</v>
      </c>
      <c r="F508">
        <v>3</v>
      </c>
      <c r="G508">
        <v>3</v>
      </c>
      <c r="H508">
        <v>4</v>
      </c>
      <c r="I508">
        <v>5</v>
      </c>
      <c r="J508">
        <v>11</v>
      </c>
      <c r="K508">
        <v>1.9239999999999999</v>
      </c>
      <c r="L508">
        <v>27</v>
      </c>
      <c r="M508">
        <v>31.19</v>
      </c>
      <c r="O508" t="s">
        <v>355</v>
      </c>
      <c r="P508">
        <v>0</v>
      </c>
      <c r="Q508">
        <v>1</v>
      </c>
      <c r="R508">
        <v>0</v>
      </c>
    </row>
    <row r="509" spans="1:18" x14ac:dyDescent="0.3">
      <c r="A509">
        <v>508</v>
      </c>
      <c r="B509">
        <v>2</v>
      </c>
      <c r="C509">
        <v>7</v>
      </c>
      <c r="D509" t="s">
        <v>372</v>
      </c>
      <c r="E509" t="s">
        <v>756</v>
      </c>
      <c r="F509">
        <v>3</v>
      </c>
      <c r="G509">
        <v>4</v>
      </c>
      <c r="H509">
        <v>4</v>
      </c>
      <c r="I509">
        <v>5</v>
      </c>
      <c r="J509">
        <v>16</v>
      </c>
      <c r="K509">
        <v>1.6830000000000001</v>
      </c>
      <c r="L509">
        <v>52</v>
      </c>
      <c r="M509">
        <v>35.65</v>
      </c>
      <c r="O509" t="s">
        <v>355</v>
      </c>
      <c r="P509">
        <v>0</v>
      </c>
      <c r="Q509">
        <v>1</v>
      </c>
      <c r="R509">
        <v>0</v>
      </c>
    </row>
    <row r="510" spans="1:18" x14ac:dyDescent="0.3">
      <c r="A510">
        <v>509</v>
      </c>
      <c r="B510">
        <v>3</v>
      </c>
      <c r="C510">
        <v>7</v>
      </c>
      <c r="D510" t="s">
        <v>347</v>
      </c>
      <c r="E510" t="s">
        <v>757</v>
      </c>
      <c r="F510">
        <v>4</v>
      </c>
      <c r="G510">
        <v>5</v>
      </c>
      <c r="H510">
        <v>3</v>
      </c>
      <c r="I510">
        <v>3</v>
      </c>
      <c r="J510">
        <v>16</v>
      </c>
      <c r="K510">
        <v>1.768</v>
      </c>
      <c r="L510">
        <v>58</v>
      </c>
      <c r="M510">
        <v>33.94</v>
      </c>
      <c r="O510" t="s">
        <v>355</v>
      </c>
      <c r="P510">
        <v>0</v>
      </c>
      <c r="Q510">
        <v>1</v>
      </c>
      <c r="R510">
        <v>0</v>
      </c>
    </row>
    <row r="511" spans="1:18" x14ac:dyDescent="0.3">
      <c r="A511">
        <v>510</v>
      </c>
      <c r="B511">
        <v>1</v>
      </c>
      <c r="C511">
        <v>7</v>
      </c>
      <c r="D511" t="s">
        <v>345</v>
      </c>
      <c r="E511" t="s">
        <v>758</v>
      </c>
      <c r="F511">
        <v>3</v>
      </c>
      <c r="G511">
        <v>3</v>
      </c>
      <c r="H511">
        <v>4</v>
      </c>
      <c r="I511">
        <v>3</v>
      </c>
      <c r="J511">
        <v>15</v>
      </c>
      <c r="K511">
        <v>1.9810000000000001</v>
      </c>
      <c r="L511">
        <v>29</v>
      </c>
      <c r="M511">
        <v>30.29</v>
      </c>
      <c r="O511" t="s">
        <v>344</v>
      </c>
      <c r="P511">
        <v>0</v>
      </c>
      <c r="Q511">
        <v>1</v>
      </c>
      <c r="R511">
        <v>0</v>
      </c>
    </row>
    <row r="512" spans="1:18" x14ac:dyDescent="0.3">
      <c r="A512">
        <v>511</v>
      </c>
      <c r="B512">
        <v>2</v>
      </c>
      <c r="C512">
        <v>7</v>
      </c>
      <c r="D512" t="s">
        <v>377</v>
      </c>
      <c r="E512" t="s">
        <v>759</v>
      </c>
      <c r="F512">
        <v>5</v>
      </c>
      <c r="G512">
        <v>4</v>
      </c>
      <c r="H512">
        <v>3</v>
      </c>
      <c r="I512">
        <v>5</v>
      </c>
      <c r="J512">
        <v>9</v>
      </c>
      <c r="K512">
        <v>3.1930000000000001</v>
      </c>
      <c r="L512">
        <v>40</v>
      </c>
      <c r="M512">
        <v>18.79</v>
      </c>
      <c r="N512" t="s">
        <v>344</v>
      </c>
      <c r="O512" t="s">
        <v>355</v>
      </c>
      <c r="P512">
        <v>0.33300000000000002</v>
      </c>
      <c r="Q512">
        <v>1</v>
      </c>
      <c r="R512">
        <v>0.5</v>
      </c>
    </row>
    <row r="513" spans="1:18" x14ac:dyDescent="0.3">
      <c r="A513">
        <v>512</v>
      </c>
      <c r="B513">
        <v>3</v>
      </c>
      <c r="C513">
        <v>7</v>
      </c>
      <c r="D513" t="s">
        <v>379</v>
      </c>
      <c r="E513" t="s">
        <v>760</v>
      </c>
      <c r="F513">
        <v>3</v>
      </c>
      <c r="G513">
        <v>3</v>
      </c>
      <c r="H513">
        <v>2</v>
      </c>
      <c r="I513">
        <v>5</v>
      </c>
      <c r="J513">
        <v>13</v>
      </c>
      <c r="K513">
        <v>3.6669999999999998</v>
      </c>
      <c r="L513">
        <v>37</v>
      </c>
      <c r="M513">
        <v>16.36</v>
      </c>
      <c r="N513" t="s">
        <v>376</v>
      </c>
      <c r="O513" t="s">
        <v>355</v>
      </c>
      <c r="P513">
        <v>0.33300000000000002</v>
      </c>
      <c r="Q513">
        <v>1</v>
      </c>
      <c r="R513">
        <v>0.5</v>
      </c>
    </row>
    <row r="514" spans="1:18" x14ac:dyDescent="0.3">
      <c r="A514">
        <v>513</v>
      </c>
      <c r="B514">
        <v>1</v>
      </c>
      <c r="C514">
        <v>7</v>
      </c>
      <c r="D514" t="s">
        <v>381</v>
      </c>
      <c r="E514" t="s">
        <v>761</v>
      </c>
      <c r="F514">
        <v>4</v>
      </c>
      <c r="G514">
        <v>3</v>
      </c>
      <c r="H514">
        <v>3</v>
      </c>
      <c r="I514">
        <v>5</v>
      </c>
      <c r="J514">
        <v>12</v>
      </c>
      <c r="K514">
        <v>1.9590000000000001</v>
      </c>
      <c r="L514">
        <v>31</v>
      </c>
      <c r="M514">
        <v>30.63</v>
      </c>
      <c r="N514" t="s">
        <v>376</v>
      </c>
      <c r="O514" t="s">
        <v>376</v>
      </c>
      <c r="P514">
        <v>1</v>
      </c>
      <c r="Q514">
        <v>1</v>
      </c>
      <c r="R514">
        <v>1</v>
      </c>
    </row>
    <row r="515" spans="1:18" x14ac:dyDescent="0.3">
      <c r="A515">
        <v>514</v>
      </c>
      <c r="B515">
        <v>2</v>
      </c>
      <c r="C515">
        <v>7</v>
      </c>
      <c r="D515" t="s">
        <v>383</v>
      </c>
      <c r="E515" t="s">
        <v>762</v>
      </c>
      <c r="F515">
        <v>3</v>
      </c>
      <c r="G515">
        <v>2</v>
      </c>
      <c r="H515">
        <v>2</v>
      </c>
      <c r="I515">
        <v>5</v>
      </c>
      <c r="J515">
        <v>12</v>
      </c>
      <c r="K515">
        <v>3.3149999999999999</v>
      </c>
      <c r="L515">
        <v>26</v>
      </c>
      <c r="M515">
        <v>18.100000000000001</v>
      </c>
      <c r="N515" t="s">
        <v>361</v>
      </c>
      <c r="O515" t="s">
        <v>376</v>
      </c>
      <c r="P515">
        <v>1</v>
      </c>
      <c r="Q515">
        <v>0.5</v>
      </c>
      <c r="R515">
        <v>0.66700000000000004</v>
      </c>
    </row>
    <row r="516" spans="1:18" x14ac:dyDescent="0.3">
      <c r="A516">
        <v>515</v>
      </c>
      <c r="B516">
        <v>3</v>
      </c>
      <c r="C516">
        <v>7</v>
      </c>
      <c r="D516" t="s">
        <v>384</v>
      </c>
      <c r="E516" t="s">
        <v>763</v>
      </c>
      <c r="F516">
        <v>3</v>
      </c>
      <c r="G516">
        <v>2</v>
      </c>
      <c r="H516">
        <v>2</v>
      </c>
      <c r="I516">
        <v>5</v>
      </c>
      <c r="J516">
        <v>9</v>
      </c>
      <c r="K516">
        <v>3.34</v>
      </c>
      <c r="L516">
        <v>39</v>
      </c>
      <c r="M516">
        <v>17.97</v>
      </c>
      <c r="N516" t="s">
        <v>376</v>
      </c>
      <c r="O516" t="s">
        <v>376</v>
      </c>
      <c r="P516">
        <v>1</v>
      </c>
      <c r="Q516">
        <v>1</v>
      </c>
      <c r="R516">
        <v>1</v>
      </c>
    </row>
    <row r="517" spans="1:18" x14ac:dyDescent="0.3">
      <c r="A517">
        <v>516</v>
      </c>
      <c r="B517">
        <v>1</v>
      </c>
      <c r="C517">
        <v>7</v>
      </c>
      <c r="D517" t="s">
        <v>385</v>
      </c>
      <c r="E517" t="s">
        <v>764</v>
      </c>
      <c r="F517">
        <v>4</v>
      </c>
      <c r="G517">
        <v>3</v>
      </c>
      <c r="H517">
        <v>3</v>
      </c>
      <c r="I517">
        <v>5</v>
      </c>
      <c r="J517">
        <v>14</v>
      </c>
      <c r="K517">
        <v>2.0310000000000001</v>
      </c>
      <c r="L517">
        <v>31</v>
      </c>
      <c r="M517">
        <v>29.55</v>
      </c>
      <c r="N517" t="s">
        <v>361</v>
      </c>
      <c r="O517" t="s">
        <v>361</v>
      </c>
      <c r="P517">
        <v>1</v>
      </c>
      <c r="Q517">
        <v>1</v>
      </c>
      <c r="R517">
        <v>1</v>
      </c>
    </row>
    <row r="518" spans="1:18" x14ac:dyDescent="0.3">
      <c r="A518">
        <v>517</v>
      </c>
      <c r="B518">
        <v>2</v>
      </c>
      <c r="C518">
        <v>7</v>
      </c>
      <c r="D518" t="s">
        <v>387</v>
      </c>
      <c r="E518" t="s">
        <v>765</v>
      </c>
      <c r="F518">
        <v>5</v>
      </c>
      <c r="G518">
        <v>3</v>
      </c>
      <c r="H518">
        <v>4</v>
      </c>
      <c r="I518">
        <v>5</v>
      </c>
      <c r="J518">
        <v>15</v>
      </c>
      <c r="K518">
        <v>1.4650000000000001</v>
      </c>
      <c r="L518">
        <v>20</v>
      </c>
      <c r="M518">
        <v>40.94</v>
      </c>
      <c r="O518" t="s">
        <v>361</v>
      </c>
      <c r="P518">
        <v>0</v>
      </c>
      <c r="Q518">
        <v>1</v>
      </c>
      <c r="R518">
        <v>0</v>
      </c>
    </row>
    <row r="519" spans="1:18" x14ac:dyDescent="0.3">
      <c r="A519">
        <v>518</v>
      </c>
      <c r="B519">
        <v>3</v>
      </c>
      <c r="C519">
        <v>7</v>
      </c>
      <c r="D519" t="s">
        <v>389</v>
      </c>
      <c r="E519" t="s">
        <v>766</v>
      </c>
      <c r="F519">
        <v>5</v>
      </c>
      <c r="G519">
        <v>3</v>
      </c>
      <c r="H519">
        <v>4</v>
      </c>
      <c r="I519">
        <v>5</v>
      </c>
      <c r="J519">
        <v>15</v>
      </c>
      <c r="K519">
        <v>3.2429999999999999</v>
      </c>
      <c r="L519">
        <v>22</v>
      </c>
      <c r="M519">
        <v>18.5</v>
      </c>
      <c r="O519" t="s">
        <v>361</v>
      </c>
      <c r="P519">
        <v>0</v>
      </c>
      <c r="Q519">
        <v>1</v>
      </c>
      <c r="R519">
        <v>0</v>
      </c>
    </row>
    <row r="520" spans="1:18" x14ac:dyDescent="0.3">
      <c r="A520">
        <v>519</v>
      </c>
      <c r="B520">
        <v>1</v>
      </c>
      <c r="C520">
        <v>7</v>
      </c>
      <c r="D520" t="s">
        <v>213</v>
      </c>
      <c r="E520" t="s">
        <v>767</v>
      </c>
      <c r="F520">
        <v>4</v>
      </c>
      <c r="G520">
        <v>5</v>
      </c>
      <c r="H520">
        <v>2</v>
      </c>
      <c r="I520">
        <v>5</v>
      </c>
      <c r="J520">
        <v>15</v>
      </c>
      <c r="K520">
        <v>1.7370000000000001</v>
      </c>
      <c r="L520">
        <v>44</v>
      </c>
      <c r="M520">
        <v>34.549999999999997</v>
      </c>
      <c r="O520" t="s">
        <v>355</v>
      </c>
      <c r="P520">
        <v>0</v>
      </c>
      <c r="Q520">
        <v>1</v>
      </c>
      <c r="R520">
        <v>0</v>
      </c>
    </row>
    <row r="521" spans="1:18" x14ac:dyDescent="0.3">
      <c r="A521">
        <v>520</v>
      </c>
      <c r="B521">
        <v>2</v>
      </c>
      <c r="C521">
        <v>7</v>
      </c>
      <c r="D521" t="s">
        <v>211</v>
      </c>
      <c r="E521" t="s">
        <v>768</v>
      </c>
      <c r="F521">
        <v>4</v>
      </c>
      <c r="G521">
        <v>3</v>
      </c>
      <c r="H521">
        <v>2</v>
      </c>
      <c r="I521">
        <v>5</v>
      </c>
      <c r="J521">
        <v>13</v>
      </c>
      <c r="K521">
        <v>1.8660000000000001</v>
      </c>
      <c r="L521">
        <v>65</v>
      </c>
      <c r="M521">
        <v>32.159999999999997</v>
      </c>
      <c r="O521" t="s">
        <v>355</v>
      </c>
      <c r="P521">
        <v>0</v>
      </c>
      <c r="Q521">
        <v>1</v>
      </c>
      <c r="R521">
        <v>0</v>
      </c>
    </row>
    <row r="522" spans="1:18" x14ac:dyDescent="0.3">
      <c r="A522">
        <v>521</v>
      </c>
      <c r="B522">
        <v>3</v>
      </c>
      <c r="C522">
        <v>7</v>
      </c>
      <c r="D522" t="s">
        <v>740</v>
      </c>
      <c r="E522" t="s">
        <v>769</v>
      </c>
      <c r="F522">
        <v>5</v>
      </c>
      <c r="G522">
        <v>3</v>
      </c>
      <c r="H522">
        <v>4</v>
      </c>
      <c r="I522">
        <v>5</v>
      </c>
      <c r="J522">
        <v>15</v>
      </c>
      <c r="K522">
        <v>4.0590000000000002</v>
      </c>
      <c r="L522">
        <v>54</v>
      </c>
      <c r="M522">
        <v>14.78</v>
      </c>
      <c r="O522" t="s">
        <v>355</v>
      </c>
      <c r="P522">
        <v>0</v>
      </c>
      <c r="Q522">
        <v>1</v>
      </c>
      <c r="R522">
        <v>0</v>
      </c>
    </row>
    <row r="523" spans="1:18" x14ac:dyDescent="0.3">
      <c r="A523">
        <v>522</v>
      </c>
      <c r="B523">
        <v>1</v>
      </c>
      <c r="C523">
        <v>7</v>
      </c>
      <c r="D523" t="s">
        <v>395</v>
      </c>
      <c r="E523" t="s">
        <v>770</v>
      </c>
      <c r="F523">
        <v>3</v>
      </c>
      <c r="G523">
        <v>5</v>
      </c>
      <c r="H523">
        <v>3</v>
      </c>
      <c r="I523">
        <v>5</v>
      </c>
      <c r="J523">
        <v>16</v>
      </c>
      <c r="K523">
        <v>2.0739999999999998</v>
      </c>
      <c r="L523">
        <v>75</v>
      </c>
      <c r="M523">
        <v>28.92</v>
      </c>
      <c r="O523" t="s">
        <v>355</v>
      </c>
      <c r="P523">
        <v>0</v>
      </c>
      <c r="Q523">
        <v>1</v>
      </c>
      <c r="R523">
        <v>0</v>
      </c>
    </row>
    <row r="524" spans="1:18" x14ac:dyDescent="0.3">
      <c r="A524">
        <v>523</v>
      </c>
      <c r="B524">
        <v>2</v>
      </c>
      <c r="C524">
        <v>7</v>
      </c>
      <c r="D524" t="s">
        <v>397</v>
      </c>
      <c r="E524" t="s">
        <v>771</v>
      </c>
      <c r="F524">
        <v>3</v>
      </c>
      <c r="G524">
        <v>5</v>
      </c>
      <c r="H524">
        <v>3</v>
      </c>
      <c r="I524">
        <v>5</v>
      </c>
      <c r="J524">
        <v>16</v>
      </c>
      <c r="K524">
        <v>4.1890000000000001</v>
      </c>
      <c r="L524">
        <v>44</v>
      </c>
      <c r="M524">
        <v>14.32</v>
      </c>
      <c r="O524" t="s">
        <v>355</v>
      </c>
      <c r="P524">
        <v>0</v>
      </c>
      <c r="Q524">
        <v>1</v>
      </c>
      <c r="R524">
        <v>0</v>
      </c>
    </row>
    <row r="525" spans="1:18" x14ac:dyDescent="0.3">
      <c r="A525">
        <v>524</v>
      </c>
      <c r="B525">
        <v>3</v>
      </c>
      <c r="C525">
        <v>7</v>
      </c>
      <c r="D525" t="s">
        <v>399</v>
      </c>
      <c r="E525" t="s">
        <v>772</v>
      </c>
      <c r="F525">
        <v>4</v>
      </c>
      <c r="G525">
        <v>3</v>
      </c>
      <c r="H525">
        <v>4</v>
      </c>
      <c r="I525">
        <v>5</v>
      </c>
      <c r="J525">
        <v>15</v>
      </c>
      <c r="K525">
        <v>1.5529999999999999</v>
      </c>
      <c r="L525">
        <v>27</v>
      </c>
      <c r="M525">
        <v>38.619999999999997</v>
      </c>
      <c r="P525">
        <v>1</v>
      </c>
      <c r="Q525">
        <v>1</v>
      </c>
      <c r="R525">
        <v>1</v>
      </c>
    </row>
    <row r="526" spans="1:18" x14ac:dyDescent="0.3">
      <c r="A526">
        <v>525</v>
      </c>
      <c r="B526">
        <v>1</v>
      </c>
      <c r="C526">
        <v>7</v>
      </c>
      <c r="D526" t="s">
        <v>401</v>
      </c>
      <c r="E526" t="s">
        <v>773</v>
      </c>
      <c r="F526">
        <v>5</v>
      </c>
      <c r="G526">
        <v>3</v>
      </c>
      <c r="H526">
        <v>4</v>
      </c>
      <c r="I526">
        <v>5</v>
      </c>
      <c r="J526">
        <v>15</v>
      </c>
      <c r="K526">
        <v>2.0289999999999999</v>
      </c>
      <c r="L526">
        <v>35</v>
      </c>
      <c r="M526">
        <v>29.56</v>
      </c>
      <c r="O526" t="s">
        <v>355</v>
      </c>
      <c r="P526">
        <v>0</v>
      </c>
      <c r="Q526">
        <v>1</v>
      </c>
      <c r="R526">
        <v>0</v>
      </c>
    </row>
    <row r="527" spans="1:18" x14ac:dyDescent="0.3">
      <c r="A527">
        <v>526</v>
      </c>
      <c r="B527">
        <v>2</v>
      </c>
      <c r="C527">
        <v>7</v>
      </c>
      <c r="D527" t="s">
        <v>403</v>
      </c>
      <c r="E527" t="s">
        <v>774</v>
      </c>
      <c r="F527">
        <v>4</v>
      </c>
      <c r="G527">
        <v>3</v>
      </c>
      <c r="H527">
        <v>4</v>
      </c>
      <c r="I527">
        <v>5</v>
      </c>
      <c r="J527">
        <v>15</v>
      </c>
      <c r="K527">
        <v>2.145</v>
      </c>
      <c r="L527">
        <v>35</v>
      </c>
      <c r="M527">
        <v>27.97</v>
      </c>
      <c r="O527" t="s">
        <v>355</v>
      </c>
      <c r="P527">
        <v>0</v>
      </c>
      <c r="Q527">
        <v>1</v>
      </c>
      <c r="R527">
        <v>0</v>
      </c>
    </row>
    <row r="528" spans="1:18" x14ac:dyDescent="0.3">
      <c r="A528">
        <v>527</v>
      </c>
      <c r="B528">
        <v>3</v>
      </c>
      <c r="C528">
        <v>7</v>
      </c>
      <c r="D528" t="s">
        <v>405</v>
      </c>
      <c r="E528" t="s">
        <v>775</v>
      </c>
      <c r="F528">
        <v>5</v>
      </c>
      <c r="G528">
        <v>3</v>
      </c>
      <c r="H528">
        <v>3</v>
      </c>
      <c r="I528">
        <v>5</v>
      </c>
      <c r="J528">
        <v>14</v>
      </c>
      <c r="K528">
        <v>2.8149999999999999</v>
      </c>
      <c r="L528">
        <v>45</v>
      </c>
      <c r="M528">
        <v>21.32</v>
      </c>
      <c r="N528" t="s">
        <v>361</v>
      </c>
      <c r="O528" t="s">
        <v>355</v>
      </c>
      <c r="P528">
        <v>0.66700000000000004</v>
      </c>
      <c r="Q528">
        <v>1</v>
      </c>
      <c r="R528">
        <v>0.8</v>
      </c>
    </row>
    <row r="529" spans="1:18" x14ac:dyDescent="0.3">
      <c r="A529">
        <v>528</v>
      </c>
      <c r="B529">
        <v>1</v>
      </c>
      <c r="C529">
        <v>1</v>
      </c>
      <c r="D529" t="s">
        <v>18</v>
      </c>
      <c r="E529" t="s">
        <v>19</v>
      </c>
      <c r="F529">
        <v>5</v>
      </c>
      <c r="G529">
        <v>4</v>
      </c>
      <c r="H529">
        <v>3</v>
      </c>
      <c r="I529">
        <v>5</v>
      </c>
      <c r="J529">
        <f>SUM(F529:I529)</f>
        <v>17</v>
      </c>
      <c r="K529">
        <v>8.65</v>
      </c>
      <c r="L529">
        <v>61</v>
      </c>
      <c r="M529">
        <v>6.94</v>
      </c>
      <c r="N529" t="s">
        <v>20</v>
      </c>
      <c r="O529" t="s">
        <v>20</v>
      </c>
      <c r="P529">
        <v>1</v>
      </c>
      <c r="Q529">
        <v>1</v>
      </c>
      <c r="R529">
        <v>1</v>
      </c>
    </row>
    <row r="530" spans="1:18" x14ac:dyDescent="0.3">
      <c r="A530">
        <v>529</v>
      </c>
      <c r="B530">
        <v>2</v>
      </c>
      <c r="C530">
        <v>1</v>
      </c>
      <c r="D530" t="s">
        <v>21</v>
      </c>
      <c r="E530" t="s">
        <v>22</v>
      </c>
      <c r="F530">
        <v>4</v>
      </c>
      <c r="G530">
        <v>4</v>
      </c>
      <c r="H530">
        <v>3</v>
      </c>
      <c r="I530">
        <v>5</v>
      </c>
      <c r="J530">
        <f t="shared" ref="J530:J551" si="4">SUM(F530:I530)</f>
        <v>16</v>
      </c>
      <c r="K530">
        <v>7.8259999999999996</v>
      </c>
      <c r="L530">
        <v>36</v>
      </c>
      <c r="M530">
        <v>7.67</v>
      </c>
      <c r="N530" t="s">
        <v>20</v>
      </c>
      <c r="O530" t="s">
        <v>23</v>
      </c>
      <c r="P530">
        <v>0.5</v>
      </c>
      <c r="Q530">
        <v>1</v>
      </c>
      <c r="R530">
        <v>0.66700000000000004</v>
      </c>
    </row>
    <row r="531" spans="1:18" x14ac:dyDescent="0.3">
      <c r="A531">
        <v>530</v>
      </c>
      <c r="B531">
        <v>3</v>
      </c>
      <c r="C531">
        <v>1</v>
      </c>
      <c r="D531" t="s">
        <v>24</v>
      </c>
      <c r="E531" t="s">
        <v>25</v>
      </c>
      <c r="F531">
        <v>3</v>
      </c>
      <c r="G531">
        <v>5</v>
      </c>
      <c r="H531">
        <v>3</v>
      </c>
      <c r="I531">
        <v>5</v>
      </c>
      <c r="J531">
        <f t="shared" si="4"/>
        <v>16</v>
      </c>
      <c r="K531">
        <v>9.6460000000000008</v>
      </c>
      <c r="L531">
        <v>53</v>
      </c>
      <c r="M531">
        <v>6.22</v>
      </c>
      <c r="N531" t="s">
        <v>20</v>
      </c>
      <c r="O531" t="s">
        <v>20</v>
      </c>
      <c r="P531">
        <v>1</v>
      </c>
      <c r="Q531">
        <v>1</v>
      </c>
      <c r="R531">
        <v>1</v>
      </c>
    </row>
    <row r="532" spans="1:18" x14ac:dyDescent="0.3">
      <c r="A532">
        <v>531</v>
      </c>
      <c r="B532">
        <v>1</v>
      </c>
      <c r="C532">
        <v>1</v>
      </c>
      <c r="D532" t="s">
        <v>26</v>
      </c>
      <c r="E532" t="s">
        <v>27</v>
      </c>
      <c r="F532">
        <v>3</v>
      </c>
      <c r="G532">
        <v>3</v>
      </c>
      <c r="H532">
        <v>2</v>
      </c>
      <c r="I532">
        <v>3</v>
      </c>
      <c r="J532">
        <f t="shared" si="4"/>
        <v>11</v>
      </c>
      <c r="K532">
        <v>10.824</v>
      </c>
      <c r="L532">
        <v>54</v>
      </c>
      <c r="M532">
        <v>5.54</v>
      </c>
      <c r="N532" t="s">
        <v>20</v>
      </c>
      <c r="O532" t="s">
        <v>23</v>
      </c>
      <c r="P532">
        <v>0.5</v>
      </c>
      <c r="Q532">
        <v>1</v>
      </c>
      <c r="R532">
        <v>0.66700000000000004</v>
      </c>
    </row>
    <row r="533" spans="1:18" x14ac:dyDescent="0.3">
      <c r="A533">
        <v>532</v>
      </c>
      <c r="B533">
        <v>2</v>
      </c>
      <c r="C533">
        <v>1</v>
      </c>
      <c r="D533" t="s">
        <v>28</v>
      </c>
      <c r="E533" t="s">
        <v>29</v>
      </c>
      <c r="F533">
        <v>3</v>
      </c>
      <c r="G533">
        <v>5</v>
      </c>
      <c r="H533">
        <v>2</v>
      </c>
      <c r="I533">
        <v>1</v>
      </c>
      <c r="J533">
        <f t="shared" si="4"/>
        <v>11</v>
      </c>
      <c r="K533">
        <v>22.059000000000001</v>
      </c>
      <c r="L533">
        <v>40</v>
      </c>
      <c r="M533">
        <v>2.72</v>
      </c>
      <c r="N533" t="s">
        <v>30</v>
      </c>
      <c r="O533" t="s">
        <v>20</v>
      </c>
      <c r="P533">
        <v>0</v>
      </c>
      <c r="Q533">
        <v>0</v>
      </c>
      <c r="R533">
        <v>0</v>
      </c>
    </row>
    <row r="534" spans="1:18" x14ac:dyDescent="0.3">
      <c r="A534">
        <v>533</v>
      </c>
      <c r="B534">
        <v>3</v>
      </c>
      <c r="C534">
        <v>1</v>
      </c>
      <c r="D534" t="s">
        <v>31</v>
      </c>
      <c r="E534" t="s">
        <v>32</v>
      </c>
      <c r="F534">
        <v>4</v>
      </c>
      <c r="G534">
        <v>5</v>
      </c>
      <c r="H534">
        <v>4</v>
      </c>
      <c r="I534">
        <v>5</v>
      </c>
      <c r="J534">
        <f t="shared" si="4"/>
        <v>18</v>
      </c>
      <c r="K534">
        <v>9.5869999999999997</v>
      </c>
      <c r="L534">
        <v>39</v>
      </c>
      <c r="M534">
        <v>6.26</v>
      </c>
      <c r="N534" t="s">
        <v>30</v>
      </c>
      <c r="O534" t="s">
        <v>33</v>
      </c>
      <c r="P534">
        <v>1</v>
      </c>
      <c r="Q534">
        <v>0.5</v>
      </c>
      <c r="R534">
        <v>0.66700000000000004</v>
      </c>
    </row>
    <row r="535" spans="1:18" x14ac:dyDescent="0.3">
      <c r="A535">
        <v>534</v>
      </c>
      <c r="B535">
        <v>1</v>
      </c>
      <c r="C535">
        <v>1</v>
      </c>
      <c r="D535" t="s">
        <v>34</v>
      </c>
      <c r="E535" t="s">
        <v>35</v>
      </c>
      <c r="F535">
        <v>4</v>
      </c>
      <c r="G535">
        <v>5</v>
      </c>
      <c r="H535">
        <v>4</v>
      </c>
      <c r="I535">
        <v>5</v>
      </c>
      <c r="J535">
        <f t="shared" si="4"/>
        <v>18</v>
      </c>
      <c r="K535">
        <v>9.2579999999999991</v>
      </c>
      <c r="L535">
        <v>48</v>
      </c>
      <c r="M535">
        <v>6.48</v>
      </c>
      <c r="N535" t="s">
        <v>30</v>
      </c>
      <c r="O535" t="s">
        <v>23</v>
      </c>
      <c r="P535">
        <v>0.5</v>
      </c>
      <c r="Q535">
        <v>0.5</v>
      </c>
      <c r="R535">
        <v>0.5</v>
      </c>
    </row>
    <row r="536" spans="1:18" x14ac:dyDescent="0.3">
      <c r="A536">
        <v>535</v>
      </c>
      <c r="B536">
        <v>2</v>
      </c>
      <c r="C536">
        <v>1</v>
      </c>
      <c r="D536" t="s">
        <v>36</v>
      </c>
      <c r="E536" t="s">
        <v>37</v>
      </c>
      <c r="F536">
        <v>3</v>
      </c>
      <c r="G536">
        <v>3</v>
      </c>
      <c r="H536">
        <v>2</v>
      </c>
      <c r="I536">
        <v>3</v>
      </c>
      <c r="J536">
        <f t="shared" si="4"/>
        <v>11</v>
      </c>
      <c r="K536">
        <v>9.8610000000000007</v>
      </c>
      <c r="L536">
        <v>54</v>
      </c>
      <c r="M536">
        <v>6.08</v>
      </c>
      <c r="N536" t="s">
        <v>30</v>
      </c>
      <c r="O536" t="s">
        <v>20</v>
      </c>
      <c r="P536">
        <v>0</v>
      </c>
      <c r="Q536">
        <v>0</v>
      </c>
      <c r="R536">
        <v>0</v>
      </c>
    </row>
    <row r="537" spans="1:18" x14ac:dyDescent="0.3">
      <c r="A537">
        <v>536</v>
      </c>
      <c r="B537">
        <v>3</v>
      </c>
      <c r="C537">
        <v>1</v>
      </c>
      <c r="D537" t="s">
        <v>38</v>
      </c>
      <c r="E537" t="s">
        <v>39</v>
      </c>
      <c r="F537">
        <v>4</v>
      </c>
      <c r="G537">
        <v>1</v>
      </c>
      <c r="H537">
        <v>2</v>
      </c>
      <c r="I537">
        <v>1</v>
      </c>
      <c r="J537">
        <f t="shared" si="4"/>
        <v>8</v>
      </c>
      <c r="K537">
        <v>13.058999999999999</v>
      </c>
      <c r="L537">
        <v>41</v>
      </c>
      <c r="M537">
        <v>4.59</v>
      </c>
      <c r="N537" t="s">
        <v>30</v>
      </c>
      <c r="O537" t="s">
        <v>20</v>
      </c>
      <c r="P537">
        <v>0</v>
      </c>
      <c r="Q537">
        <v>0</v>
      </c>
      <c r="R537">
        <v>0</v>
      </c>
    </row>
    <row r="538" spans="1:18" x14ac:dyDescent="0.3">
      <c r="A538">
        <v>537</v>
      </c>
      <c r="B538">
        <v>1</v>
      </c>
      <c r="C538">
        <v>1</v>
      </c>
      <c r="D538" t="s">
        <v>40</v>
      </c>
      <c r="E538" t="s">
        <v>41</v>
      </c>
      <c r="F538">
        <v>5</v>
      </c>
      <c r="G538">
        <v>5</v>
      </c>
      <c r="H538">
        <v>5</v>
      </c>
      <c r="I538">
        <v>5</v>
      </c>
      <c r="J538">
        <f t="shared" si="4"/>
        <v>20</v>
      </c>
      <c r="K538">
        <v>8.9009999999999998</v>
      </c>
      <c r="L538">
        <v>20</v>
      </c>
      <c r="M538">
        <v>6.74</v>
      </c>
      <c r="N538" t="s">
        <v>30</v>
      </c>
      <c r="O538" t="s">
        <v>20</v>
      </c>
      <c r="P538">
        <v>0</v>
      </c>
      <c r="Q538">
        <v>0</v>
      </c>
      <c r="R538">
        <v>0</v>
      </c>
    </row>
    <row r="539" spans="1:18" x14ac:dyDescent="0.3">
      <c r="A539">
        <v>538</v>
      </c>
      <c r="B539">
        <v>2</v>
      </c>
      <c r="C539">
        <v>1</v>
      </c>
      <c r="D539" t="s">
        <v>42</v>
      </c>
      <c r="E539" t="s">
        <v>43</v>
      </c>
      <c r="F539">
        <v>4</v>
      </c>
      <c r="G539">
        <v>4</v>
      </c>
      <c r="H539">
        <v>4</v>
      </c>
      <c r="I539">
        <v>5</v>
      </c>
      <c r="J539">
        <f t="shared" si="4"/>
        <v>17</v>
      </c>
      <c r="K539">
        <v>8.4779999999999998</v>
      </c>
      <c r="L539">
        <v>36</v>
      </c>
      <c r="M539">
        <v>7.08</v>
      </c>
      <c r="N539" t="s">
        <v>23</v>
      </c>
      <c r="O539" t="s">
        <v>20</v>
      </c>
      <c r="P539">
        <v>1</v>
      </c>
      <c r="Q539">
        <v>0.5</v>
      </c>
      <c r="R539">
        <v>0.66700000000000004</v>
      </c>
    </row>
    <row r="540" spans="1:18" x14ac:dyDescent="0.3">
      <c r="A540">
        <v>539</v>
      </c>
      <c r="B540">
        <v>3</v>
      </c>
      <c r="C540">
        <v>1</v>
      </c>
      <c r="D540" t="s">
        <v>44</v>
      </c>
      <c r="E540" t="s">
        <v>45</v>
      </c>
      <c r="F540">
        <v>4</v>
      </c>
      <c r="G540">
        <v>5</v>
      </c>
      <c r="H540">
        <v>2</v>
      </c>
      <c r="I540">
        <v>5</v>
      </c>
      <c r="J540">
        <f t="shared" si="4"/>
        <v>16</v>
      </c>
      <c r="K540">
        <v>14.977</v>
      </c>
      <c r="L540">
        <v>54</v>
      </c>
      <c r="M540">
        <v>4.01</v>
      </c>
      <c r="N540" t="s">
        <v>30</v>
      </c>
      <c r="O540" t="s">
        <v>23</v>
      </c>
      <c r="P540">
        <v>0.5</v>
      </c>
      <c r="Q540">
        <v>0.5</v>
      </c>
      <c r="R540">
        <v>0.5</v>
      </c>
    </row>
    <row r="541" spans="1:18" x14ac:dyDescent="0.3">
      <c r="A541">
        <v>540</v>
      </c>
      <c r="B541">
        <v>1</v>
      </c>
      <c r="C541">
        <v>1</v>
      </c>
      <c r="D541" t="s">
        <v>46</v>
      </c>
      <c r="E541" t="s">
        <v>47</v>
      </c>
      <c r="F541">
        <v>4</v>
      </c>
      <c r="G541">
        <v>3</v>
      </c>
      <c r="H541">
        <v>5</v>
      </c>
      <c r="I541">
        <v>4</v>
      </c>
      <c r="J541">
        <f t="shared" si="4"/>
        <v>16</v>
      </c>
      <c r="K541">
        <v>9.5709999999999997</v>
      </c>
      <c r="L541">
        <v>33</v>
      </c>
      <c r="M541">
        <v>6.27</v>
      </c>
      <c r="N541" t="s">
        <v>30</v>
      </c>
      <c r="O541" t="s">
        <v>23</v>
      </c>
      <c r="P541">
        <v>0.5</v>
      </c>
      <c r="Q541">
        <v>0.5</v>
      </c>
      <c r="R541">
        <v>0.5</v>
      </c>
    </row>
    <row r="542" spans="1:18" x14ac:dyDescent="0.3">
      <c r="A542">
        <v>541</v>
      </c>
      <c r="B542">
        <v>2</v>
      </c>
      <c r="C542">
        <v>1</v>
      </c>
      <c r="D542" t="s">
        <v>48</v>
      </c>
      <c r="E542" t="s">
        <v>49</v>
      </c>
      <c r="F542">
        <v>4</v>
      </c>
      <c r="G542">
        <v>5</v>
      </c>
      <c r="H542">
        <v>5</v>
      </c>
      <c r="I542">
        <v>5</v>
      </c>
      <c r="J542">
        <f t="shared" si="4"/>
        <v>19</v>
      </c>
      <c r="K542">
        <v>14.978999999999999</v>
      </c>
      <c r="L542">
        <v>31</v>
      </c>
      <c r="M542">
        <v>4.01</v>
      </c>
      <c r="N542" t="s">
        <v>30</v>
      </c>
      <c r="O542" t="s">
        <v>20</v>
      </c>
      <c r="P542">
        <v>0</v>
      </c>
      <c r="Q542">
        <v>0</v>
      </c>
      <c r="R542">
        <v>0</v>
      </c>
    </row>
    <row r="543" spans="1:18" x14ac:dyDescent="0.3">
      <c r="A543">
        <v>542</v>
      </c>
      <c r="B543">
        <v>3</v>
      </c>
      <c r="C543">
        <v>1</v>
      </c>
      <c r="D543" t="s">
        <v>50</v>
      </c>
      <c r="E543" t="s">
        <v>51</v>
      </c>
      <c r="F543">
        <v>4</v>
      </c>
      <c r="G543">
        <v>5</v>
      </c>
      <c r="H543">
        <v>3</v>
      </c>
      <c r="I543">
        <v>5</v>
      </c>
      <c r="J543">
        <f t="shared" si="4"/>
        <v>17</v>
      </c>
      <c r="K543">
        <v>7.1740000000000004</v>
      </c>
      <c r="L543">
        <v>14</v>
      </c>
      <c r="M543">
        <v>8.36</v>
      </c>
      <c r="O543" t="s">
        <v>20</v>
      </c>
      <c r="P543">
        <v>0</v>
      </c>
      <c r="Q543">
        <v>1</v>
      </c>
      <c r="R543">
        <v>0</v>
      </c>
    </row>
    <row r="544" spans="1:18" x14ac:dyDescent="0.3">
      <c r="A544">
        <v>543</v>
      </c>
      <c r="B544">
        <v>1</v>
      </c>
      <c r="C544">
        <v>1</v>
      </c>
      <c r="D544" t="s">
        <v>52</v>
      </c>
      <c r="E544" t="s">
        <v>53</v>
      </c>
      <c r="F544">
        <v>4</v>
      </c>
      <c r="G544">
        <v>5</v>
      </c>
      <c r="H544">
        <v>4</v>
      </c>
      <c r="I544">
        <v>5</v>
      </c>
      <c r="J544">
        <f t="shared" si="4"/>
        <v>18</v>
      </c>
      <c r="K544">
        <v>9.9540000000000006</v>
      </c>
      <c r="L544">
        <v>59</v>
      </c>
      <c r="M544">
        <v>6.03</v>
      </c>
      <c r="O544" t="s">
        <v>20</v>
      </c>
      <c r="P544">
        <v>0</v>
      </c>
      <c r="Q544">
        <v>1</v>
      </c>
      <c r="R544">
        <v>0</v>
      </c>
    </row>
    <row r="545" spans="1:18" x14ac:dyDescent="0.3">
      <c r="A545">
        <v>544</v>
      </c>
      <c r="B545">
        <v>2</v>
      </c>
      <c r="C545">
        <v>1</v>
      </c>
      <c r="D545" t="s">
        <v>54</v>
      </c>
      <c r="E545" t="s">
        <v>55</v>
      </c>
      <c r="F545">
        <v>4</v>
      </c>
      <c r="G545">
        <v>5</v>
      </c>
      <c r="H545">
        <v>2</v>
      </c>
      <c r="I545">
        <v>5</v>
      </c>
      <c r="J545">
        <f t="shared" si="4"/>
        <v>16</v>
      </c>
      <c r="K545">
        <v>13.249000000000001</v>
      </c>
      <c r="L545">
        <v>45</v>
      </c>
      <c r="M545">
        <v>4.53</v>
      </c>
      <c r="N545" t="s">
        <v>30</v>
      </c>
      <c r="O545" t="s">
        <v>23</v>
      </c>
      <c r="P545">
        <v>0.5</v>
      </c>
      <c r="Q545">
        <v>0.5</v>
      </c>
      <c r="R545">
        <v>0.5</v>
      </c>
    </row>
    <row r="546" spans="1:18" x14ac:dyDescent="0.3">
      <c r="A546">
        <v>545</v>
      </c>
      <c r="B546">
        <v>3</v>
      </c>
      <c r="C546">
        <v>1</v>
      </c>
      <c r="D546" t="s">
        <v>56</v>
      </c>
      <c r="E546" t="s">
        <v>57</v>
      </c>
      <c r="F546">
        <v>5</v>
      </c>
      <c r="G546">
        <v>5</v>
      </c>
      <c r="H546">
        <v>5</v>
      </c>
      <c r="I546">
        <v>2</v>
      </c>
      <c r="J546">
        <f t="shared" si="4"/>
        <v>17</v>
      </c>
      <c r="K546">
        <v>1.2210000000000001</v>
      </c>
      <c r="L546">
        <v>35</v>
      </c>
      <c r="M546">
        <v>49.14</v>
      </c>
      <c r="P546">
        <v>1</v>
      </c>
      <c r="Q546">
        <v>1</v>
      </c>
      <c r="R546">
        <v>1</v>
      </c>
    </row>
    <row r="547" spans="1:18" x14ac:dyDescent="0.3">
      <c r="A547">
        <v>546</v>
      </c>
      <c r="B547">
        <v>1</v>
      </c>
      <c r="C547">
        <v>1</v>
      </c>
      <c r="D547" t="s">
        <v>58</v>
      </c>
      <c r="E547" t="s">
        <v>59</v>
      </c>
      <c r="F547">
        <v>5</v>
      </c>
      <c r="G547">
        <v>5</v>
      </c>
      <c r="H547">
        <v>5</v>
      </c>
      <c r="I547">
        <v>5</v>
      </c>
      <c r="J547">
        <f t="shared" si="4"/>
        <v>20</v>
      </c>
      <c r="K547">
        <v>7.5330000000000004</v>
      </c>
      <c r="L547">
        <v>28</v>
      </c>
      <c r="M547">
        <v>7.97</v>
      </c>
      <c r="N547" t="s">
        <v>30</v>
      </c>
      <c r="O547" t="s">
        <v>33</v>
      </c>
      <c r="P547">
        <v>1</v>
      </c>
      <c r="Q547">
        <v>0.5</v>
      </c>
      <c r="R547">
        <v>0.66700000000000004</v>
      </c>
    </row>
    <row r="548" spans="1:18" x14ac:dyDescent="0.3">
      <c r="A548">
        <v>547</v>
      </c>
      <c r="B548">
        <v>2</v>
      </c>
      <c r="C548">
        <v>1</v>
      </c>
      <c r="D548" t="s">
        <v>60</v>
      </c>
      <c r="E548" t="s">
        <v>61</v>
      </c>
      <c r="F548">
        <v>5</v>
      </c>
      <c r="G548">
        <v>5</v>
      </c>
      <c r="H548">
        <v>4</v>
      </c>
      <c r="I548">
        <v>5</v>
      </c>
      <c r="J548">
        <f t="shared" si="4"/>
        <v>19</v>
      </c>
      <c r="K548">
        <v>14.775</v>
      </c>
      <c r="L548">
        <v>40</v>
      </c>
      <c r="M548">
        <v>4.0599999999999996</v>
      </c>
      <c r="N548" t="s">
        <v>30</v>
      </c>
      <c r="O548" t="s">
        <v>23</v>
      </c>
      <c r="P548">
        <v>0.5</v>
      </c>
      <c r="Q548">
        <v>0.5</v>
      </c>
      <c r="R548">
        <v>0.5</v>
      </c>
    </row>
    <row r="549" spans="1:18" x14ac:dyDescent="0.3">
      <c r="A549">
        <v>548</v>
      </c>
      <c r="B549">
        <v>3</v>
      </c>
      <c r="C549">
        <v>1</v>
      </c>
      <c r="D549" t="s">
        <v>62</v>
      </c>
      <c r="E549" t="s">
        <v>63</v>
      </c>
      <c r="F549">
        <v>5</v>
      </c>
      <c r="G549">
        <v>5</v>
      </c>
      <c r="H549">
        <v>4</v>
      </c>
      <c r="I549">
        <v>5</v>
      </c>
      <c r="J549">
        <f t="shared" si="4"/>
        <v>19</v>
      </c>
      <c r="K549">
        <v>9.5470000000000006</v>
      </c>
      <c r="L549">
        <v>55</v>
      </c>
      <c r="M549">
        <v>6.28</v>
      </c>
      <c r="N549" t="s">
        <v>30</v>
      </c>
      <c r="O549" t="s">
        <v>23</v>
      </c>
      <c r="P549">
        <v>0.5</v>
      </c>
      <c r="Q549">
        <v>0.5</v>
      </c>
      <c r="R549">
        <v>0.5</v>
      </c>
    </row>
    <row r="550" spans="1:18" x14ac:dyDescent="0.3">
      <c r="A550">
        <v>549</v>
      </c>
      <c r="B550">
        <v>1</v>
      </c>
      <c r="C550">
        <v>1</v>
      </c>
      <c r="D550" t="s">
        <v>64</v>
      </c>
      <c r="E550" t="s">
        <v>65</v>
      </c>
      <c r="F550">
        <v>4</v>
      </c>
      <c r="G550">
        <v>5</v>
      </c>
      <c r="H550">
        <v>4</v>
      </c>
      <c r="I550">
        <v>5</v>
      </c>
      <c r="J550">
        <f t="shared" si="4"/>
        <v>18</v>
      </c>
      <c r="K550">
        <v>8.6890000000000001</v>
      </c>
      <c r="L550">
        <v>45</v>
      </c>
      <c r="M550">
        <v>6.9</v>
      </c>
      <c r="N550" t="s">
        <v>30</v>
      </c>
      <c r="O550" t="s">
        <v>20</v>
      </c>
      <c r="P550">
        <v>0</v>
      </c>
      <c r="Q550">
        <v>0</v>
      </c>
      <c r="R550">
        <v>0</v>
      </c>
    </row>
    <row r="553" spans="1:18" x14ac:dyDescent="0.3">
      <c r="F553">
        <f>AVERAGE(F2:F551)</f>
        <v>3.6830601092896176</v>
      </c>
      <c r="G553">
        <f t="shared" ref="G553:R553" si="5">AVERAGE(G2:G551)</f>
        <v>4.2477231329690346</v>
      </c>
      <c r="H553">
        <f t="shared" si="5"/>
        <v>3.4225865209471769</v>
      </c>
      <c r="I553">
        <f t="shared" si="5"/>
        <v>4.6703096539162114</v>
      </c>
      <c r="J553">
        <f t="shared" si="5"/>
        <v>14.570127504553733</v>
      </c>
      <c r="K553">
        <f t="shared" si="5"/>
        <v>5.3617213114754128</v>
      </c>
      <c r="L553">
        <f t="shared" si="5"/>
        <v>41.116575591985431</v>
      </c>
      <c r="M553">
        <f t="shared" si="5"/>
        <v>27.70712204007285</v>
      </c>
      <c r="P553">
        <f t="shared" si="5"/>
        <v>0.47206739526411651</v>
      </c>
      <c r="Q553">
        <f t="shared" si="5"/>
        <v>0.58044626593806914</v>
      </c>
      <c r="R553">
        <f t="shared" si="5"/>
        <v>0.33246812386156677</v>
      </c>
    </row>
  </sheetData>
  <pageMargins left="0.75" right="0.75" top="1" bottom="1" header="0.5" footer="0.5"/>
  <pageSetup paperSize="9" scale="21" fitToWidth="0" fitToHeight="0"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baseColWidth="10" defaultColWidth="8.88671875" defaultRowHeight="14.4" x14ac:dyDescent="0.3"/>
  <sheetData>
    <row r="1" spans="1:2" x14ac:dyDescent="0.3">
      <c r="A1" s="1" t="s">
        <v>407</v>
      </c>
      <c r="B1" s="1" t="s">
        <v>408</v>
      </c>
    </row>
    <row r="2" spans="1:2" x14ac:dyDescent="0.3">
      <c r="A2" t="s">
        <v>409</v>
      </c>
      <c r="B2" t="s">
        <v>410</v>
      </c>
    </row>
    <row r="3" spans="1:2" x14ac:dyDescent="0.3">
      <c r="A3" t="s">
        <v>411</v>
      </c>
      <c r="B3" t="s">
        <v>412</v>
      </c>
    </row>
    <row r="4" spans="1:2" x14ac:dyDescent="0.3">
      <c r="A4" t="s">
        <v>413</v>
      </c>
      <c r="B4" t="s">
        <v>414</v>
      </c>
    </row>
    <row r="5" spans="1:2" x14ac:dyDescent="0.3">
      <c r="A5" t="s">
        <v>415</v>
      </c>
      <c r="B5" t="s">
        <v>416</v>
      </c>
    </row>
    <row r="6" spans="1:2" x14ac:dyDescent="0.3">
      <c r="A6" t="s">
        <v>417</v>
      </c>
      <c r="B6">
        <v>198</v>
      </c>
    </row>
    <row r="7" spans="1:2" x14ac:dyDescent="0.3">
      <c r="A7" t="s">
        <v>418</v>
      </c>
      <c r="B7" t="s">
        <v>419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
  <sheetViews>
    <sheetView workbookViewId="0"/>
  </sheetViews>
  <sheetFormatPr baseColWidth="10" defaultColWidth="8.88671875" defaultRowHeight="14.4" x14ac:dyDescent="0.3"/>
  <sheetData>
    <row r="1" spans="1:17" x14ac:dyDescent="0.3">
      <c r="A1" t="s">
        <v>420</v>
      </c>
      <c r="B1" t="s">
        <v>421</v>
      </c>
      <c r="C1" t="s">
        <v>422</v>
      </c>
      <c r="D1" t="s">
        <v>423</v>
      </c>
      <c r="E1" t="s">
        <v>424</v>
      </c>
      <c r="F1" t="s">
        <v>425</v>
      </c>
      <c r="G1" t="s">
        <v>426</v>
      </c>
      <c r="H1" t="s">
        <v>427</v>
      </c>
      <c r="I1" t="s">
        <v>428</v>
      </c>
      <c r="J1" t="s">
        <v>429</v>
      </c>
      <c r="K1" t="s">
        <v>430</v>
      </c>
      <c r="L1" t="s">
        <v>431</v>
      </c>
      <c r="M1" t="s">
        <v>432</v>
      </c>
      <c r="N1" t="s">
        <v>433</v>
      </c>
      <c r="O1" t="s">
        <v>434</v>
      </c>
      <c r="P1" t="s">
        <v>435</v>
      </c>
      <c r="Q1" t="s">
        <v>436</v>
      </c>
    </row>
    <row r="2" spans="1:17" x14ac:dyDescent="0.3">
      <c r="A2">
        <v>1</v>
      </c>
      <c r="B2" t="s">
        <v>414</v>
      </c>
      <c r="C2">
        <f>COUNTA('Results_qwen2.5_latest'!A2:A10000)</f>
        <v>549</v>
      </c>
      <c r="D2">
        <f>IFERROR(AVERAGE('Results_qwen2.5_latest'!K2:K10000),"")</f>
        <v>5.3617213114754119</v>
      </c>
      <c r="E2">
        <f>IFERROR(PERCENTILE('Results_qwen2.5_latest'!K2:K10000,0.95),"")</f>
        <v>14.518999999999995</v>
      </c>
      <c r="F2">
        <f>IFERROR(IF(AVERAGE('Results_qwen2.5_latest'!K2:K10000)&gt;0,60/AVERAGE('Results_qwen2.5_latest'!K2:K10000),0),"")</f>
        <v>11.190436151835257</v>
      </c>
      <c r="G2">
        <f>IFERROR(AVERAGE('Results_qwen2.5_latest'!L2:L10000),"")</f>
        <v>41.116575591985431</v>
      </c>
      <c r="H2">
        <f>IFERROR(AVERAGE('Results_qwen2.5_latest'!F2:F10000),"")</f>
        <v>3.6830601092896176</v>
      </c>
      <c r="I2">
        <f>IFERROR(AVERAGE('Results_qwen2.5_latest'!G2:G10000),"")</f>
        <v>4.2477231329690346</v>
      </c>
      <c r="J2">
        <f>IFERROR(AVERAGE('Results_qwen2.5_latest'!H2:H10000),"")</f>
        <v>3.4225865209471764</v>
      </c>
      <c r="K2">
        <f>IFERROR(AVERAGE('Results_qwen2.5_latest'!I2:I10000),"")</f>
        <v>4.6703096539162114</v>
      </c>
      <c r="L2">
        <f>IFERROR(AVERAGE('Results_qwen2.5_latest'!J2:J10000),"")</f>
        <v>14.570127504553735</v>
      </c>
      <c r="M2">
        <f>IFERROR(COUNTIF('Results_qwen2.5_latest'!F2:F10000,"&gt;=4")/COUNTA('Results_qwen2.5_latest'!F2:F10000)*100,"")</f>
        <v>61.818181818181813</v>
      </c>
      <c r="N2">
        <f>IFERROR(COUNTIF('Results_qwen2.5_latest'!J2:J10000,"&gt;=15")/COUNTA('Results_qwen2.5_latest'!J2:J10000)*100,"")</f>
        <v>48</v>
      </c>
      <c r="O2" t="str">
        <f>IFERROR(AVERAGE('Results_qwen2.5_latest'!S2:S10000),"")</f>
        <v/>
      </c>
      <c r="P2" t="str">
        <f>IFERROR(AVERAGE('Results_qwen2.5_latest'!T2:T10000),"")</f>
        <v/>
      </c>
      <c r="Q2">
        <f>IFERROR(COUNTIF('Results_qwen2.5_latest'!U2:U10000,"&lt;&gt;")/COUNTA('Results_qwen2.5_latest'!A2:A10000)*100,"")</f>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
  <sheetViews>
    <sheetView workbookViewId="0"/>
  </sheetViews>
  <sheetFormatPr baseColWidth="10" defaultColWidth="8.88671875" defaultRowHeight="14.4" x14ac:dyDescent="0.3"/>
  <sheetData>
    <row r="1" spans="1:10" x14ac:dyDescent="0.3">
      <c r="A1" t="s">
        <v>421</v>
      </c>
      <c r="B1" t="s">
        <v>437</v>
      </c>
      <c r="C1" t="s">
        <v>422</v>
      </c>
      <c r="D1" t="s">
        <v>438</v>
      </c>
      <c r="E1" t="s">
        <v>426</v>
      </c>
      <c r="F1" t="s">
        <v>439</v>
      </c>
      <c r="G1" t="s">
        <v>440</v>
      </c>
      <c r="H1" t="s">
        <v>441</v>
      </c>
      <c r="I1" t="s">
        <v>442</v>
      </c>
      <c r="J1" t="s">
        <v>443</v>
      </c>
    </row>
    <row r="2" spans="1:10" x14ac:dyDescent="0.3">
      <c r="A2" t="s">
        <v>414</v>
      </c>
      <c r="B2" t="s">
        <v>444</v>
      </c>
      <c r="C2">
        <f>COUNTA('Results_qwen2.5_latest'!A2:A10000)</f>
        <v>549</v>
      </c>
      <c r="D2">
        <f>IFERROR(AVERAGE('Results_qwen2.5_latest'!K2:K10000),"")</f>
        <v>5.3617213114754119</v>
      </c>
      <c r="E2">
        <f>IFERROR(AVERAGE('Results_qwen2.5_latest'!L2:L10000),"")</f>
        <v>41.116575591985431</v>
      </c>
      <c r="F2">
        <f>IFERROR(AVERAGE('Results_qwen2.5_latest'!F2:F10000),"")</f>
        <v>3.6830601092896176</v>
      </c>
      <c r="G2">
        <f>IFERROR(AVERAGE('Results_qwen2.5_latest'!G2:G10000),"")</f>
        <v>4.2477231329690346</v>
      </c>
      <c r="H2">
        <f>IFERROR(AVERAGE('Results_qwen2.5_latest'!H2:H10000),"")</f>
        <v>3.4225865209471764</v>
      </c>
      <c r="I2">
        <f>IFERROR(AVERAGE('Results_qwen2.5_latest'!I2:I10000),"")</f>
        <v>4.6703096539162114</v>
      </c>
      <c r="J2">
        <v>0.7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
  <sheetViews>
    <sheetView workbookViewId="0"/>
  </sheetViews>
  <sheetFormatPr baseColWidth="10" defaultColWidth="8.88671875" defaultRowHeight="14.4" x14ac:dyDescent="0.3"/>
  <sheetData>
    <row r="1" spans="1:5" x14ac:dyDescent="0.3">
      <c r="A1" t="s">
        <v>421</v>
      </c>
      <c r="B1" t="s">
        <v>423</v>
      </c>
      <c r="C1" t="s">
        <v>424</v>
      </c>
      <c r="D1" t="s">
        <v>425</v>
      </c>
      <c r="E1" t="s">
        <v>426</v>
      </c>
    </row>
    <row r="2" spans="1:5" x14ac:dyDescent="0.3">
      <c r="A2" t="s">
        <v>414</v>
      </c>
      <c r="B2">
        <f>IFERROR(AVERAGE('Results_qwen2.5_latest'!K2:K10000),"")</f>
        <v>5.3617213114754119</v>
      </c>
      <c r="C2">
        <f>IFERROR(PERCENTILE('Results_qwen2.5_latest'!K2:K10000,0.95),"")</f>
        <v>14.518999999999995</v>
      </c>
      <c r="D2">
        <f>IFERROR(IF(AVERAGE('Results_qwen2.5_latest'!K2:K10000)&gt;0,60/AVERAGE('Results_qwen2.5_latest'!K2:K10000),0),"")</f>
        <v>11.190436151835257</v>
      </c>
      <c r="E2">
        <f>IFERROR(AVERAGE('Results_qwen2.5_latest'!L2:L10000),"")</f>
        <v>41.116575591985431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Results_qwen2.5_latest</vt:lpstr>
      <vt:lpstr>Metadata</vt:lpstr>
      <vt:lpstr>Ranking</vt:lpstr>
      <vt:lpstr>Results_Article</vt:lpstr>
      <vt:lpstr>Efficiency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Irene Medina Garcia</cp:lastModifiedBy>
  <dcterms:created xsi:type="dcterms:W3CDTF">2026-05-22T17:25:48Z</dcterms:created>
  <dcterms:modified xsi:type="dcterms:W3CDTF">2026-05-24T13:04:19Z</dcterms:modified>
</cp:coreProperties>
</file>